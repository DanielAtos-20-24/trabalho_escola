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7.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8.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0.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1.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2.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4.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5.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6.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7.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8.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9.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0.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1.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2.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3.xml" ContentType="application/vnd.openxmlformats-officedocument.drawingml.chartshapes+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4.xml" ContentType="application/vnd.openxmlformats-officedocument.drawingml.chartshape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5.xml" ContentType="application/vnd.openxmlformats-officedocument.drawingml.chartshape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defaultThemeVersion="166925"/>
  <mc:AlternateContent xmlns:mc="http://schemas.openxmlformats.org/markup-compatibility/2006">
    <mc:Choice Requires="x15">
      <x15ac:absPath xmlns:x15ac="http://schemas.microsoft.com/office/spreadsheetml/2010/11/ac" url="C:\Users\Tecnologia\Desktop\"/>
    </mc:Choice>
  </mc:AlternateContent>
  <xr:revisionPtr revIDLastSave="0" documentId="13_ncr:1_{75A1037A-5F83-40FB-9788-FB433BE976CB}" xr6:coauthVersionLast="47" xr6:coauthVersionMax="47" xr10:uidLastSave="{00000000-0000-0000-0000-000000000000}"/>
  <bookViews>
    <workbookView xWindow="-120" yWindow="-120" windowWidth="24240" windowHeight="13020" tabRatio="657" firstSheet="4" activeTab="10" xr2:uid="{00000000-000D-0000-FFFF-FFFF00000000}"/>
  </bookViews>
  <sheets>
    <sheet name="COMPUTADOR" sheetId="1" r:id="rId1"/>
    <sheet name="LOUSA - DIGITAL" sheetId="11" r:id="rId2"/>
    <sheet name="PROJETOR" sheetId="12" r:id="rId3"/>
    <sheet name="CAMERA GO- PRO" sheetId="13" r:id="rId4"/>
    <sheet name="HOME THEATHER" sheetId="14" r:id="rId5"/>
    <sheet name="MICROFONE" sheetId="15" r:id="rId6"/>
    <sheet name="CÂMERAS DE SEGURANÇA" sheetId="16" r:id="rId7"/>
    <sheet name="ACESSORIOS" sheetId="18" r:id="rId8"/>
    <sheet name="ENERGIA" sheetId="19" r:id="rId9"/>
    <sheet name="PREVIS.COMPRAS" sheetId="20" r:id="rId10"/>
    <sheet name="APOSENTADOS " sheetId="52" r:id="rId11"/>
    <sheet name="ORÇAMENTOS" sheetId="50" r:id="rId12"/>
    <sheet name="DADOS EQUIPAMENTOS" sheetId="49" state="hidden" r:id="rId13"/>
    <sheet name="3D-PLANI" sheetId="55" state="hidden" r:id="rId14"/>
    <sheet name="TABELA DINAMICA PILH" sheetId="47" state="hidden" r:id="rId15"/>
    <sheet name="AUXILIAR" sheetId="23" state="hidden" r:id="rId16"/>
    <sheet name="CONTR. PILHAS - AUXILIAR" sheetId="45" state="hidden" r:id="rId17"/>
    <sheet name="GRÁFICOS" sheetId="21" r:id="rId18"/>
    <sheet name="Planilha1" sheetId="62" r:id="rId19"/>
    <sheet name="LANÇ. QUAL. PROJ" sheetId="40" r:id="rId20"/>
    <sheet name="1 -RESERV EQUI (2)" sheetId="46" r:id="rId21"/>
    <sheet name="3D - LANÇ" sheetId="53" state="hidden" r:id="rId22"/>
    <sheet name="CONTROLE_PILHAS" sheetId="61" r:id="rId23"/>
  </sheets>
  <externalReferences>
    <externalReference r:id="rId24"/>
    <externalReference r:id="rId25"/>
    <externalReference r:id="rId26"/>
  </externalReferences>
  <definedNames>
    <definedName name="Ano" localSheetId="15">AUXILIAR!$J$5</definedName>
    <definedName name="Ano" localSheetId="16">'CONTR. PILHAS - AUXILIAR'!$J$5</definedName>
    <definedName name="Ano">#REF!</definedName>
    <definedName name="Estado" localSheetId="15">AUXILIAR!$H$5</definedName>
    <definedName name="Estado" localSheetId="16">'CONTR. PILHAS - AUXILIAR'!$H$5</definedName>
    <definedName name="Estado">#REF!</definedName>
    <definedName name="hoteis_smart_lucro_liquido">'[1]Hotéis Smart'!$C$3:$C$9</definedName>
    <definedName name="IndiceAno" localSheetId="15">AUXILIAR!$J$6</definedName>
    <definedName name="IndiceAno" localSheetId="16">'CONTR. PILHAS - AUXILIAR'!$J$6</definedName>
    <definedName name="indiceAno">#REF!</definedName>
    <definedName name="IndiceEstado" localSheetId="15">AUXILIAR!$H$6</definedName>
    <definedName name="IndiceEstado" localSheetId="16">'CONTR. PILHAS - AUXILIAR'!$H$6</definedName>
    <definedName name="IndiceEstado">#REF!</definedName>
    <definedName name="ListaAnos" localSheetId="15">AUXILIAR!$G$11:$G$22</definedName>
    <definedName name="ListaAnos" localSheetId="16">'CONTR. PILHAS - AUXILIAR'!$G$11:$G$22</definedName>
    <definedName name="ListaAnos">#REF!</definedName>
    <definedName name="ListaEstados" localSheetId="15">AUXILIAR!$A$5:$A$31</definedName>
    <definedName name="ListaEstados" localSheetId="16">'CONTR. PILHAS - AUXILIAR'!$A$5:$A$31</definedName>
    <definedName name="ListaEstados">#REF!</definedName>
    <definedName name="ListaMeses" localSheetId="15">AUXILIAR!$H$11:$H$22</definedName>
    <definedName name="ListaMeses" localSheetId="16">'CONTR. PILHAS - AUXILIAR'!$H$11:$H$22</definedName>
    <definedName name="ListaMeses">#REF!</definedName>
    <definedName name="ListaVendas" localSheetId="15">AUXILIAR!$B$5:$B$31</definedName>
    <definedName name="ListaVendas" localSheetId="16">'CONTR. PILHAS - AUXILIAR'!$B$5:$B$31</definedName>
    <definedName name="ListaVendas">#REF!</definedName>
    <definedName name="Mes" localSheetId="15">AUXILIAR!$K$5</definedName>
    <definedName name="Mes" localSheetId="16">'CONTR. PILHAS - AUXILIAR'!$K$5</definedName>
    <definedName name="Mes">#REF!</definedName>
    <definedName name="RegrasProch">'[2]PROCV e PROCH'!$I$12:$L$13</definedName>
    <definedName name="TabelaEstados" localSheetId="15">AUXILIAR!$A$5:$B$31</definedName>
    <definedName name="TabelaEstados" localSheetId="16">'CONTR. PILHAS - AUXILIAR'!$A$5:$B$31</definedName>
    <definedName name="TabelaEstados">#REF!</definedName>
    <definedName name="taxaComissao2">'[3]Nomes de Intervalos'!$G$4</definedName>
  </definedNames>
  <calcPr calcId="191029" concurrentCalc="0"/>
  <pivotCaches>
    <pivotCache cacheId="0" r:id="rId27"/>
    <pivotCache cacheId="1" r:id="rId28"/>
  </pivotCaches>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407" i="61" l="1"/>
  <c r="K407" i="61"/>
  <c r="J407" i="61"/>
  <c r="L406" i="61"/>
  <c r="K406" i="61"/>
  <c r="J406" i="61"/>
  <c r="L405" i="61"/>
  <c r="K405" i="61"/>
  <c r="J405" i="61"/>
  <c r="L404" i="61"/>
  <c r="K404" i="61"/>
  <c r="J404" i="61"/>
  <c r="L403" i="61"/>
  <c r="K403" i="61"/>
  <c r="J403" i="61"/>
  <c r="L402" i="61"/>
  <c r="K402" i="61"/>
  <c r="J402" i="61"/>
  <c r="L401" i="61"/>
  <c r="K401" i="61"/>
  <c r="J401" i="61"/>
  <c r="J385" i="61"/>
  <c r="J386" i="61"/>
  <c r="J387" i="61"/>
  <c r="J388" i="61"/>
  <c r="J389" i="61"/>
  <c r="J390" i="61"/>
  <c r="J391" i="61"/>
  <c r="J392" i="61"/>
  <c r="J393" i="61"/>
  <c r="J394" i="61"/>
  <c r="J395" i="61"/>
  <c r="J396" i="61"/>
  <c r="J397" i="61"/>
  <c r="J398" i="61"/>
  <c r="J399" i="61"/>
  <c r="J400" i="61"/>
  <c r="K385" i="61"/>
  <c r="K386" i="61"/>
  <c r="K387" i="61"/>
  <c r="K388" i="61"/>
  <c r="K389" i="61"/>
  <c r="K390" i="61"/>
  <c r="K391" i="61"/>
  <c r="K392" i="61"/>
  <c r="K393" i="61"/>
  <c r="K394" i="61"/>
  <c r="K395" i="61"/>
  <c r="K396" i="61"/>
  <c r="K397" i="61"/>
  <c r="K398" i="61"/>
  <c r="K399" i="61"/>
  <c r="K400" i="61"/>
  <c r="L385" i="61"/>
  <c r="L386" i="61"/>
  <c r="L387" i="61"/>
  <c r="L388" i="61"/>
  <c r="L389" i="61"/>
  <c r="L390" i="61"/>
  <c r="L391" i="61"/>
  <c r="L392" i="61"/>
  <c r="L393" i="61"/>
  <c r="L394" i="61"/>
  <c r="L395" i="61"/>
  <c r="L396" i="61"/>
  <c r="L397" i="61"/>
  <c r="L398" i="61"/>
  <c r="L399" i="61"/>
  <c r="L400" i="61"/>
  <c r="J354" i="61"/>
  <c r="J355" i="61"/>
  <c r="J356" i="61"/>
  <c r="J357" i="61"/>
  <c r="J358" i="61"/>
  <c r="J359" i="61"/>
  <c r="J360" i="61"/>
  <c r="J361" i="61"/>
  <c r="J362" i="61"/>
  <c r="J363" i="61"/>
  <c r="J364" i="61"/>
  <c r="J365" i="61"/>
  <c r="J366" i="61"/>
  <c r="J367" i="61"/>
  <c r="J368" i="61"/>
  <c r="J369" i="61"/>
  <c r="J370" i="61"/>
  <c r="J371" i="61"/>
  <c r="J372" i="61"/>
  <c r="J373" i="61"/>
  <c r="J374" i="61"/>
  <c r="J375" i="61"/>
  <c r="J376" i="61"/>
  <c r="J377" i="61"/>
  <c r="J378" i="61"/>
  <c r="J379" i="61"/>
  <c r="J380" i="61"/>
  <c r="J381" i="61"/>
  <c r="J382" i="61"/>
  <c r="J383" i="61"/>
  <c r="J384" i="61"/>
  <c r="K354" i="61"/>
  <c r="K355" i="61"/>
  <c r="K356" i="61"/>
  <c r="K357" i="61"/>
  <c r="K358" i="61"/>
  <c r="K359" i="61"/>
  <c r="K360" i="61"/>
  <c r="K361" i="61"/>
  <c r="K362" i="61"/>
  <c r="K363" i="61"/>
  <c r="K364" i="61"/>
  <c r="K365" i="61"/>
  <c r="K366" i="61"/>
  <c r="K367" i="61"/>
  <c r="K368" i="61"/>
  <c r="K369" i="61"/>
  <c r="K370" i="61"/>
  <c r="K371" i="61"/>
  <c r="K372" i="61"/>
  <c r="K373" i="61"/>
  <c r="K374" i="61"/>
  <c r="K375" i="61"/>
  <c r="K376" i="61"/>
  <c r="K377" i="61"/>
  <c r="K378" i="61"/>
  <c r="K379" i="61"/>
  <c r="K380" i="61"/>
  <c r="K381" i="61"/>
  <c r="K382" i="61"/>
  <c r="K383" i="61"/>
  <c r="K384" i="61"/>
  <c r="L354" i="61"/>
  <c r="L355" i="61"/>
  <c r="L356" i="61"/>
  <c r="L357" i="61"/>
  <c r="L358" i="61"/>
  <c r="L359" i="61"/>
  <c r="L360" i="61"/>
  <c r="L361" i="61"/>
  <c r="L362" i="61"/>
  <c r="L363" i="61"/>
  <c r="L364" i="61"/>
  <c r="L365" i="61"/>
  <c r="L366" i="61"/>
  <c r="L367" i="61"/>
  <c r="L368" i="61"/>
  <c r="L369" i="61"/>
  <c r="L370" i="61"/>
  <c r="L371" i="61"/>
  <c r="L372" i="61"/>
  <c r="L373" i="61"/>
  <c r="L374" i="61"/>
  <c r="L375" i="61"/>
  <c r="L376" i="61"/>
  <c r="L377" i="61"/>
  <c r="L378" i="61"/>
  <c r="L379" i="61"/>
  <c r="L380" i="61"/>
  <c r="L381" i="61"/>
  <c r="L382" i="61"/>
  <c r="L383" i="61"/>
  <c r="L384" i="61"/>
  <c r="J346" i="61"/>
  <c r="J347" i="61"/>
  <c r="J348" i="61"/>
  <c r="J349" i="61"/>
  <c r="J350" i="61"/>
  <c r="J351" i="61"/>
  <c r="J352" i="61"/>
  <c r="J353" i="61"/>
  <c r="K346" i="61"/>
  <c r="K347" i="61"/>
  <c r="K348" i="61"/>
  <c r="K349" i="61"/>
  <c r="K350" i="61"/>
  <c r="K351" i="61"/>
  <c r="K352" i="61"/>
  <c r="K353" i="61"/>
  <c r="L346" i="61"/>
  <c r="L347" i="61"/>
  <c r="L348" i="61"/>
  <c r="L349" i="61"/>
  <c r="L350" i="61"/>
  <c r="L351" i="61"/>
  <c r="L352" i="61"/>
  <c r="L353" i="61"/>
  <c r="L345" i="61"/>
  <c r="K345" i="61"/>
  <c r="J345" i="61"/>
  <c r="L344" i="61"/>
  <c r="K344" i="61"/>
  <c r="J344" i="61"/>
  <c r="L343" i="61"/>
  <c r="K343" i="61"/>
  <c r="J343" i="61"/>
  <c r="L342" i="61"/>
  <c r="K342" i="61"/>
  <c r="J342" i="61"/>
  <c r="L341" i="61"/>
  <c r="K341" i="61"/>
  <c r="J341" i="61"/>
  <c r="L340" i="61"/>
  <c r="K340" i="61"/>
  <c r="J340" i="61"/>
  <c r="L339" i="61"/>
  <c r="K339" i="61"/>
  <c r="J339" i="61"/>
  <c r="L338" i="61"/>
  <c r="K338" i="61"/>
  <c r="J338" i="61"/>
  <c r="L337" i="61"/>
  <c r="K337" i="61"/>
  <c r="J337" i="61"/>
  <c r="L336" i="61"/>
  <c r="K336" i="61"/>
  <c r="J336" i="61"/>
  <c r="L335" i="61"/>
  <c r="K335" i="61"/>
  <c r="J335" i="61"/>
  <c r="L334" i="61"/>
  <c r="K334" i="61"/>
  <c r="J334" i="61"/>
  <c r="L333" i="61"/>
  <c r="K333" i="61"/>
  <c r="J333" i="61"/>
  <c r="L332" i="61"/>
  <c r="K332" i="61"/>
  <c r="J332" i="61"/>
  <c r="L331" i="61"/>
  <c r="K331" i="61"/>
  <c r="J331" i="61"/>
  <c r="L330" i="61"/>
  <c r="K330" i="61"/>
  <c r="J330" i="61"/>
  <c r="L329" i="61"/>
  <c r="K329" i="61"/>
  <c r="J329" i="61"/>
  <c r="L328" i="61"/>
  <c r="K328" i="61"/>
  <c r="J328" i="61"/>
  <c r="L327" i="61"/>
  <c r="K327" i="61"/>
  <c r="J327" i="61"/>
  <c r="L326" i="61"/>
  <c r="K326" i="61"/>
  <c r="J326" i="61"/>
  <c r="L325" i="61"/>
  <c r="K325" i="61"/>
  <c r="J325" i="61"/>
  <c r="L324" i="61"/>
  <c r="K324" i="61"/>
  <c r="J324" i="61"/>
  <c r="L323" i="61"/>
  <c r="K323" i="61"/>
  <c r="J323" i="61"/>
  <c r="L322" i="61"/>
  <c r="K322" i="61"/>
  <c r="J322" i="61"/>
  <c r="L321" i="61"/>
  <c r="K321" i="61"/>
  <c r="J321" i="61"/>
  <c r="L320" i="61"/>
  <c r="K320" i="61"/>
  <c r="J320" i="61"/>
  <c r="L319" i="61"/>
  <c r="K319" i="61"/>
  <c r="J319" i="61"/>
  <c r="L318" i="61"/>
  <c r="K318" i="61"/>
  <c r="J318" i="61"/>
  <c r="L317" i="61"/>
  <c r="K317" i="61"/>
  <c r="J317" i="61"/>
  <c r="L316" i="61"/>
  <c r="K316" i="61"/>
  <c r="J316" i="61"/>
  <c r="L315" i="61"/>
  <c r="K315" i="61"/>
  <c r="J315" i="61"/>
  <c r="L314" i="61"/>
  <c r="K314" i="61"/>
  <c r="J314" i="61"/>
  <c r="L313" i="61"/>
  <c r="K313" i="61"/>
  <c r="J313" i="61"/>
  <c r="L312" i="61"/>
  <c r="K312" i="61"/>
  <c r="J312" i="61"/>
  <c r="L311" i="61"/>
  <c r="K311" i="61"/>
  <c r="J311" i="61"/>
  <c r="L310" i="61"/>
  <c r="K310" i="61"/>
  <c r="J310" i="61"/>
  <c r="L309" i="61"/>
  <c r="K309" i="61"/>
  <c r="J309" i="61"/>
  <c r="L308" i="61"/>
  <c r="K308" i="61"/>
  <c r="J308" i="61"/>
  <c r="L307" i="61"/>
  <c r="K307" i="61"/>
  <c r="J307" i="61"/>
  <c r="L306" i="61"/>
  <c r="K306" i="61"/>
  <c r="J306" i="61"/>
  <c r="L305" i="61"/>
  <c r="K305" i="61"/>
  <c r="J305" i="61"/>
  <c r="L304" i="61"/>
  <c r="K304" i="61"/>
  <c r="J304" i="61"/>
  <c r="L303" i="61"/>
  <c r="K303" i="61"/>
  <c r="J303" i="61"/>
  <c r="L302" i="61"/>
  <c r="K302" i="61"/>
  <c r="J302" i="61"/>
  <c r="L301" i="61"/>
  <c r="K301" i="61"/>
  <c r="J301" i="61"/>
  <c r="L300" i="61"/>
  <c r="K300" i="61"/>
  <c r="J300" i="61"/>
  <c r="L299" i="61"/>
  <c r="K299" i="61"/>
  <c r="J299" i="61"/>
  <c r="L298" i="61"/>
  <c r="K298" i="61"/>
  <c r="J298" i="61"/>
  <c r="L297" i="61"/>
  <c r="K297" i="61"/>
  <c r="J297" i="61"/>
  <c r="L296" i="61"/>
  <c r="K296" i="61"/>
  <c r="J296" i="61"/>
  <c r="L295" i="61"/>
  <c r="K295" i="61"/>
  <c r="J295" i="61"/>
  <c r="L294" i="61"/>
  <c r="K294" i="61"/>
  <c r="J294" i="61"/>
  <c r="L293" i="61"/>
  <c r="K293" i="61"/>
  <c r="J293" i="61"/>
  <c r="L292" i="61"/>
  <c r="K292" i="61"/>
  <c r="J292" i="61"/>
  <c r="L291" i="61"/>
  <c r="K291" i="61"/>
  <c r="J291" i="61"/>
  <c r="L290" i="61"/>
  <c r="K290" i="61"/>
  <c r="J290" i="61"/>
  <c r="L289" i="61"/>
  <c r="K289" i="61"/>
  <c r="J289" i="61"/>
  <c r="L288" i="61"/>
  <c r="K288" i="61"/>
  <c r="J288" i="61"/>
  <c r="L287" i="61"/>
  <c r="K287" i="61"/>
  <c r="J287" i="61"/>
  <c r="L286" i="61"/>
  <c r="K286" i="61"/>
  <c r="J286" i="61"/>
  <c r="L285" i="61"/>
  <c r="K285" i="61"/>
  <c r="J285" i="61"/>
  <c r="L284" i="61"/>
  <c r="K284" i="61"/>
  <c r="J284" i="61"/>
  <c r="L283" i="61"/>
  <c r="K283" i="61"/>
  <c r="J283" i="61"/>
  <c r="J1067" i="46"/>
  <c r="K1067" i="46"/>
  <c r="L1067" i="46"/>
  <c r="J958" i="46"/>
  <c r="K958" i="46"/>
  <c r="L958" i="46"/>
  <c r="J937" i="46"/>
  <c r="K937" i="46"/>
  <c r="L937" i="46"/>
  <c r="J1105" i="46"/>
  <c r="K1105" i="46"/>
  <c r="L1105" i="46"/>
  <c r="J1106" i="46"/>
  <c r="K1106" i="46"/>
  <c r="L1106" i="46"/>
  <c r="J1099" i="46"/>
  <c r="K1099" i="46"/>
  <c r="L1099" i="46"/>
  <c r="J1100" i="46"/>
  <c r="K1100" i="46"/>
  <c r="L1100" i="46"/>
  <c r="J1101" i="46"/>
  <c r="K1101" i="46"/>
  <c r="L1101" i="46"/>
  <c r="J1097" i="46"/>
  <c r="K1097" i="46"/>
  <c r="L1097" i="46"/>
  <c r="J1098" i="46"/>
  <c r="K1098" i="46"/>
  <c r="L1098" i="46"/>
  <c r="J1082" i="46"/>
  <c r="K1082" i="46"/>
  <c r="L1082" i="46"/>
  <c r="J1083" i="46"/>
  <c r="K1083" i="46"/>
  <c r="L1083" i="46"/>
  <c r="J1080" i="46"/>
  <c r="K1080" i="46"/>
  <c r="L1080" i="46"/>
  <c r="J1081" i="46"/>
  <c r="K1081" i="46"/>
  <c r="L1081" i="46"/>
  <c r="J1074" i="46"/>
  <c r="K1074" i="46"/>
  <c r="L1074" i="46"/>
  <c r="J1075" i="46"/>
  <c r="K1075" i="46"/>
  <c r="L1075" i="46"/>
  <c r="J1076" i="46"/>
  <c r="K1076" i="46"/>
  <c r="L1076" i="46"/>
  <c r="J1077" i="46"/>
  <c r="K1077" i="46"/>
  <c r="L1077" i="46"/>
  <c r="J1070" i="46"/>
  <c r="K1070" i="46"/>
  <c r="L1070" i="46"/>
  <c r="J1071" i="46"/>
  <c r="K1071" i="46"/>
  <c r="L1071" i="46"/>
  <c r="J1066" i="46"/>
  <c r="K1066" i="46"/>
  <c r="L1066" i="46"/>
  <c r="J1068" i="46"/>
  <c r="K1068" i="46"/>
  <c r="L1068" i="46"/>
  <c r="J1069" i="46"/>
  <c r="K1069" i="46"/>
  <c r="L1069" i="46"/>
  <c r="J1064" i="46"/>
  <c r="K1064" i="46"/>
  <c r="L1064" i="46"/>
  <c r="J1059" i="46"/>
  <c r="K1059" i="46"/>
  <c r="L1059" i="46"/>
  <c r="J1060" i="46"/>
  <c r="K1060" i="46"/>
  <c r="L1060" i="46"/>
  <c r="J1054" i="46"/>
  <c r="K1054" i="46"/>
  <c r="L1054" i="46"/>
  <c r="J1055" i="46"/>
  <c r="K1055" i="46"/>
  <c r="L1055" i="46"/>
  <c r="J1053" i="46"/>
  <c r="K1053" i="46"/>
  <c r="L1053" i="46"/>
  <c r="J1052" i="46"/>
  <c r="K1052" i="46"/>
  <c r="L1052" i="46"/>
  <c r="J1047" i="46"/>
  <c r="K1047" i="46"/>
  <c r="L1047" i="46"/>
  <c r="J1048" i="46"/>
  <c r="K1048" i="46"/>
  <c r="L1048" i="46"/>
  <c r="J1049" i="46"/>
  <c r="K1049" i="46"/>
  <c r="L1049" i="46"/>
  <c r="J1041" i="46"/>
  <c r="K1041" i="46"/>
  <c r="L1041" i="46"/>
  <c r="J1042" i="46"/>
  <c r="K1042" i="46"/>
  <c r="L1042" i="46"/>
  <c r="J1036" i="46"/>
  <c r="K1036" i="46"/>
  <c r="L1036" i="46"/>
  <c r="J1037" i="46"/>
  <c r="K1037" i="46"/>
  <c r="L1037" i="46"/>
  <c r="J1035" i="46"/>
  <c r="K1035" i="46"/>
  <c r="L1035" i="46"/>
  <c r="J1032" i="46"/>
  <c r="K1032" i="46"/>
  <c r="L1032" i="46"/>
  <c r="J1033" i="46"/>
  <c r="K1033" i="46"/>
  <c r="L1033" i="46"/>
  <c r="J1031" i="46"/>
  <c r="K1031" i="46"/>
  <c r="L1031" i="46"/>
  <c r="J1029" i="46"/>
  <c r="K1029" i="46"/>
  <c r="L1029" i="46"/>
  <c r="J1027" i="46"/>
  <c r="K1027" i="46"/>
  <c r="L1027" i="46"/>
  <c r="J1022" i="46"/>
  <c r="K1022" i="46"/>
  <c r="L1022" i="46"/>
  <c r="J1023" i="46"/>
  <c r="K1023" i="46"/>
  <c r="L1023" i="46"/>
  <c r="J1019" i="46"/>
  <c r="K1019" i="46"/>
  <c r="L1019" i="46"/>
  <c r="J1020" i="46"/>
  <c r="K1020" i="46"/>
  <c r="L1020" i="46"/>
  <c r="J1017" i="46"/>
  <c r="K1017" i="46"/>
  <c r="L1017" i="46"/>
  <c r="J1018" i="46"/>
  <c r="K1018" i="46"/>
  <c r="L1018" i="46"/>
  <c r="J1015" i="46"/>
  <c r="K1015" i="46"/>
  <c r="L1015" i="46"/>
  <c r="J1013" i="46"/>
  <c r="K1013" i="46"/>
  <c r="L1013" i="46"/>
  <c r="J1014" i="46"/>
  <c r="K1014" i="46"/>
  <c r="L1014" i="46"/>
  <c r="J1010" i="46"/>
  <c r="K1010" i="46"/>
  <c r="L1010" i="46"/>
  <c r="J1011" i="46"/>
  <c r="K1011" i="46"/>
  <c r="L1011" i="46"/>
  <c r="J1008" i="46"/>
  <c r="K1008" i="46"/>
  <c r="L1008" i="46"/>
  <c r="J1009" i="46"/>
  <c r="K1009" i="46"/>
  <c r="L1009" i="46"/>
  <c r="J1005" i="46"/>
  <c r="K1005" i="46"/>
  <c r="L1005" i="46"/>
  <c r="J1002" i="46"/>
  <c r="K1002" i="46"/>
  <c r="L1002" i="46"/>
  <c r="J1003" i="46"/>
  <c r="K1003" i="46"/>
  <c r="L1003" i="46"/>
  <c r="J1004" i="46"/>
  <c r="K1004" i="46"/>
  <c r="L1004" i="46"/>
  <c r="J997" i="46"/>
  <c r="K997" i="46"/>
  <c r="L997" i="46"/>
  <c r="J998" i="46"/>
  <c r="K998" i="46"/>
  <c r="L998" i="46"/>
  <c r="J999" i="46"/>
  <c r="K999" i="46"/>
  <c r="L999" i="46"/>
  <c r="J990" i="46"/>
  <c r="K990" i="46"/>
  <c r="L990" i="46"/>
  <c r="J991" i="46"/>
  <c r="K991" i="46"/>
  <c r="L991" i="46"/>
  <c r="J988" i="46"/>
  <c r="K988" i="46"/>
  <c r="L988" i="46"/>
  <c r="J984" i="46"/>
  <c r="K984" i="46"/>
  <c r="L984" i="46"/>
  <c r="J985" i="46"/>
  <c r="K985" i="46"/>
  <c r="L985" i="46"/>
  <c r="J986" i="46"/>
  <c r="K986" i="46"/>
  <c r="L986" i="46"/>
  <c r="J979" i="46"/>
  <c r="K979" i="46"/>
  <c r="L979" i="46"/>
  <c r="J980" i="46"/>
  <c r="K980" i="46"/>
  <c r="L980" i="46"/>
  <c r="J977" i="46"/>
  <c r="K977" i="46"/>
  <c r="L977" i="46"/>
  <c r="J975" i="46"/>
  <c r="K975" i="46"/>
  <c r="L975" i="46"/>
  <c r="J976" i="46"/>
  <c r="K976" i="46"/>
  <c r="L976" i="46"/>
  <c r="J974" i="46"/>
  <c r="K974" i="46"/>
  <c r="L974" i="46"/>
  <c r="J971" i="46"/>
  <c r="K971" i="46"/>
  <c r="L971" i="46"/>
  <c r="J972" i="46"/>
  <c r="K972" i="46"/>
  <c r="L972" i="46"/>
  <c r="J969" i="46"/>
  <c r="K969" i="46"/>
  <c r="L969" i="46"/>
  <c r="J970" i="46"/>
  <c r="K970" i="46"/>
  <c r="L970" i="46"/>
  <c r="J963" i="46"/>
  <c r="K963" i="46"/>
  <c r="L963" i="46"/>
  <c r="J964" i="46"/>
  <c r="K964" i="46"/>
  <c r="L964" i="46"/>
  <c r="J965" i="46"/>
  <c r="K965" i="46"/>
  <c r="L965" i="46"/>
  <c r="J966" i="46"/>
  <c r="K966" i="46"/>
  <c r="L966" i="46"/>
  <c r="J967" i="46"/>
  <c r="K967" i="46"/>
  <c r="L967" i="46"/>
  <c r="J960" i="46"/>
  <c r="K960" i="46"/>
  <c r="L960" i="46"/>
  <c r="J961" i="46"/>
  <c r="K961" i="46"/>
  <c r="L961" i="46"/>
  <c r="J954" i="46"/>
  <c r="K954" i="46"/>
  <c r="L954" i="46"/>
  <c r="J955" i="46"/>
  <c r="K955" i="46"/>
  <c r="L955" i="46"/>
  <c r="J956" i="46"/>
  <c r="K956" i="46"/>
  <c r="L956" i="46"/>
  <c r="J952" i="46"/>
  <c r="K952" i="46"/>
  <c r="L952" i="46"/>
  <c r="J948" i="46"/>
  <c r="K948" i="46"/>
  <c r="L948" i="46"/>
  <c r="J949" i="46"/>
  <c r="K949" i="46"/>
  <c r="L949" i="46"/>
  <c r="J943" i="46"/>
  <c r="K943" i="46"/>
  <c r="L943" i="46"/>
  <c r="J944" i="46"/>
  <c r="K944" i="46"/>
  <c r="L944" i="46"/>
  <c r="J945" i="46"/>
  <c r="K945" i="46"/>
  <c r="L945" i="46"/>
  <c r="J939" i="46"/>
  <c r="K939" i="46"/>
  <c r="L939" i="46"/>
  <c r="J940" i="46"/>
  <c r="K940" i="46"/>
  <c r="L940" i="46"/>
  <c r="J941" i="46"/>
  <c r="K941" i="46"/>
  <c r="L941" i="46"/>
  <c r="J934" i="46"/>
  <c r="K934" i="46"/>
  <c r="L934" i="46"/>
  <c r="J927" i="46"/>
  <c r="K927" i="46"/>
  <c r="L927" i="46"/>
  <c r="J928" i="46"/>
  <c r="K928" i="46"/>
  <c r="L928" i="46"/>
  <c r="J929" i="46"/>
  <c r="K929" i="46"/>
  <c r="L929" i="46"/>
  <c r="J930" i="46"/>
  <c r="K930" i="46"/>
  <c r="L930" i="46"/>
  <c r="J931" i="46"/>
  <c r="K931" i="46"/>
  <c r="L931" i="46"/>
  <c r="J932" i="46"/>
  <c r="K932" i="46"/>
  <c r="L932" i="46"/>
  <c r="J920" i="46"/>
  <c r="K920" i="46"/>
  <c r="L920" i="46"/>
  <c r="J921" i="46"/>
  <c r="K921" i="46"/>
  <c r="L921" i="46"/>
  <c r="J922" i="46"/>
  <c r="K922" i="46"/>
  <c r="L922" i="46"/>
  <c r="J923" i="46"/>
  <c r="K923" i="46"/>
  <c r="L923" i="46"/>
  <c r="J924" i="46"/>
  <c r="K924" i="46"/>
  <c r="L924" i="46"/>
  <c r="J925" i="46"/>
  <c r="K925" i="46"/>
  <c r="L925" i="46"/>
  <c r="J916" i="46"/>
  <c r="K916" i="46"/>
  <c r="L916" i="46"/>
  <c r="J914" i="46"/>
  <c r="K914" i="46"/>
  <c r="L914" i="46"/>
  <c r="J915" i="46"/>
  <c r="K915" i="46"/>
  <c r="L915" i="46"/>
  <c r="J917" i="46"/>
  <c r="K917" i="46"/>
  <c r="L917" i="46"/>
  <c r="J912" i="46"/>
  <c r="K912" i="46"/>
  <c r="L912" i="46"/>
  <c r="J913" i="46"/>
  <c r="K913" i="46"/>
  <c r="L913" i="46"/>
  <c r="J910" i="46"/>
  <c r="K910" i="46"/>
  <c r="L910" i="46"/>
  <c r="J901" i="46"/>
  <c r="K901" i="46"/>
  <c r="L901" i="46"/>
  <c r="J902" i="46"/>
  <c r="K902" i="46"/>
  <c r="L902" i="46"/>
  <c r="J903" i="46"/>
  <c r="K903" i="46"/>
  <c r="L903" i="46"/>
  <c r="J904" i="46"/>
  <c r="K904" i="46"/>
  <c r="L904" i="46"/>
  <c r="J905" i="46"/>
  <c r="K905" i="46"/>
  <c r="L905" i="46"/>
  <c r="J906" i="46"/>
  <c r="K906" i="46"/>
  <c r="L906" i="46"/>
  <c r="J907" i="46"/>
  <c r="K907" i="46"/>
  <c r="L907" i="46"/>
  <c r="J908" i="46"/>
  <c r="K908" i="46"/>
  <c r="L908" i="46"/>
  <c r="J898" i="46"/>
  <c r="K898" i="46"/>
  <c r="L898" i="46"/>
  <c r="J899" i="46"/>
  <c r="K899" i="46"/>
  <c r="L899" i="46"/>
  <c r="J888" i="46"/>
  <c r="K888" i="46"/>
  <c r="L888" i="46"/>
  <c r="J889" i="46"/>
  <c r="K889" i="46"/>
  <c r="L889" i="46"/>
  <c r="J890" i="46"/>
  <c r="K890" i="46"/>
  <c r="L890" i="46"/>
  <c r="J891" i="46"/>
  <c r="K891" i="46"/>
  <c r="L891" i="46"/>
  <c r="J892" i="46"/>
  <c r="K892" i="46"/>
  <c r="L892" i="46"/>
  <c r="J893" i="46"/>
  <c r="K893" i="46"/>
  <c r="L893" i="46"/>
  <c r="J894" i="46"/>
  <c r="K894" i="46"/>
  <c r="L894" i="46"/>
  <c r="J895" i="46"/>
  <c r="K895" i="46"/>
  <c r="L895" i="46"/>
  <c r="J896" i="46"/>
  <c r="K896" i="46"/>
  <c r="L896" i="46"/>
  <c r="J897" i="46"/>
  <c r="K897" i="46"/>
  <c r="L897" i="46"/>
  <c r="J882" i="46"/>
  <c r="K882" i="46"/>
  <c r="L882" i="46"/>
  <c r="J883" i="46"/>
  <c r="K883" i="46"/>
  <c r="L883" i="46"/>
  <c r="J884" i="46"/>
  <c r="K884" i="46"/>
  <c r="L884" i="46"/>
  <c r="J879" i="46"/>
  <c r="K879" i="46"/>
  <c r="L879" i="46"/>
  <c r="J880" i="46"/>
  <c r="K880" i="46"/>
  <c r="L880" i="46"/>
  <c r="J881" i="46"/>
  <c r="K881" i="46"/>
  <c r="L881" i="46"/>
  <c r="J885" i="46"/>
  <c r="K885" i="46"/>
  <c r="L885" i="46"/>
  <c r="J886" i="46"/>
  <c r="K886" i="46"/>
  <c r="L886" i="46"/>
  <c r="J878" i="46"/>
  <c r="K878" i="46"/>
  <c r="L878" i="46"/>
  <c r="J871" i="46"/>
  <c r="K871" i="46"/>
  <c r="L871" i="46"/>
  <c r="J872" i="46"/>
  <c r="K872" i="46"/>
  <c r="L872" i="46"/>
  <c r="J873" i="46"/>
  <c r="K873" i="46"/>
  <c r="L873" i="46"/>
  <c r="J874" i="46"/>
  <c r="K874" i="46"/>
  <c r="L874" i="46"/>
  <c r="J875" i="46"/>
  <c r="K875" i="46"/>
  <c r="L875" i="46"/>
  <c r="J876" i="46"/>
  <c r="K876" i="46"/>
  <c r="L876" i="46"/>
  <c r="J863" i="46"/>
  <c r="K863" i="46"/>
  <c r="L863" i="46"/>
  <c r="J864" i="46"/>
  <c r="K864" i="46"/>
  <c r="L864" i="46"/>
  <c r="J865" i="46"/>
  <c r="K865" i="46"/>
  <c r="L865" i="46"/>
  <c r="J866" i="46"/>
  <c r="K866" i="46"/>
  <c r="L866" i="46"/>
  <c r="J867" i="46"/>
  <c r="K867" i="46"/>
  <c r="L867" i="46"/>
  <c r="J868" i="46"/>
  <c r="K868" i="46"/>
  <c r="L868" i="46"/>
  <c r="J869" i="46"/>
  <c r="K869" i="46"/>
  <c r="L869" i="46"/>
  <c r="J852" i="46"/>
  <c r="K852" i="46"/>
  <c r="L852" i="46"/>
  <c r="J853" i="46"/>
  <c r="K853" i="46"/>
  <c r="L853" i="46"/>
  <c r="J854" i="46"/>
  <c r="K854" i="46"/>
  <c r="L854" i="46"/>
  <c r="J855" i="46"/>
  <c r="K855" i="46"/>
  <c r="L855" i="46"/>
  <c r="J856" i="46"/>
  <c r="K856" i="46"/>
  <c r="L856" i="46"/>
  <c r="J857" i="46"/>
  <c r="K857" i="46"/>
  <c r="L857" i="46"/>
  <c r="J858" i="46"/>
  <c r="K858" i="46"/>
  <c r="L858" i="46"/>
  <c r="J859" i="46"/>
  <c r="K859" i="46"/>
  <c r="L859" i="46"/>
  <c r="J860" i="46"/>
  <c r="K860" i="46"/>
  <c r="L860" i="46"/>
  <c r="J861" i="46"/>
  <c r="K861" i="46"/>
  <c r="L861" i="46"/>
  <c r="J850" i="46"/>
  <c r="K850" i="46"/>
  <c r="L850" i="46"/>
  <c r="J846" i="46"/>
  <c r="K846" i="46"/>
  <c r="L846" i="46"/>
  <c r="J847" i="46"/>
  <c r="K847" i="46"/>
  <c r="L847" i="46"/>
  <c r="J848" i="46"/>
  <c r="K848" i="46"/>
  <c r="L848" i="46"/>
  <c r="J849" i="46"/>
  <c r="K849" i="46"/>
  <c r="L849" i="46"/>
  <c r="J851" i="46"/>
  <c r="K851" i="46"/>
  <c r="L851" i="46"/>
  <c r="J845" i="46"/>
  <c r="K845" i="46"/>
  <c r="L845" i="46"/>
  <c r="J870" i="46"/>
  <c r="K870" i="46"/>
  <c r="L870" i="46"/>
  <c r="J229" i="61"/>
  <c r="K229" i="61"/>
  <c r="L229" i="61"/>
  <c r="J230" i="61"/>
  <c r="K230" i="61"/>
  <c r="L230" i="61"/>
  <c r="J231" i="61"/>
  <c r="K231" i="61"/>
  <c r="L231" i="61"/>
  <c r="J226" i="61"/>
  <c r="K226" i="61"/>
  <c r="L226" i="61"/>
  <c r="J225" i="61"/>
  <c r="K225" i="61"/>
  <c r="L225" i="61"/>
  <c r="J227" i="61"/>
  <c r="K227" i="61"/>
  <c r="L227" i="61"/>
  <c r="J224" i="61"/>
  <c r="K224" i="61"/>
  <c r="L224" i="61"/>
  <c r="J5" i="45"/>
  <c r="J3" i="61"/>
  <c r="J197" i="61"/>
  <c r="J208" i="61"/>
  <c r="J220" i="61"/>
  <c r="J4" i="61"/>
  <c r="J5" i="61"/>
  <c r="J6" i="61"/>
  <c r="J7" i="61"/>
  <c r="J8" i="61"/>
  <c r="J9" i="61"/>
  <c r="J10" i="61"/>
  <c r="J11" i="61"/>
  <c r="J12" i="61"/>
  <c r="J13" i="61"/>
  <c r="J14" i="61"/>
  <c r="J15" i="61"/>
  <c r="J16" i="61"/>
  <c r="J17" i="61"/>
  <c r="J18" i="61"/>
  <c r="J19" i="61"/>
  <c r="J20" i="61"/>
  <c r="J21" i="61"/>
  <c r="J22" i="61"/>
  <c r="J23" i="61"/>
  <c r="J24" i="61"/>
  <c r="J25" i="61"/>
  <c r="J26" i="61"/>
  <c r="J27" i="61"/>
  <c r="J28" i="61"/>
  <c r="J29" i="61"/>
  <c r="J30" i="61"/>
  <c r="J31" i="61"/>
  <c r="J32" i="61"/>
  <c r="J33" i="61"/>
  <c r="J34" i="61"/>
  <c r="J35" i="61"/>
  <c r="J36" i="61"/>
  <c r="J37" i="61"/>
  <c r="J38" i="61"/>
  <c r="J39" i="61"/>
  <c r="J40" i="61"/>
  <c r="J41" i="61"/>
  <c r="J42" i="61"/>
  <c r="J43" i="61"/>
  <c r="J44" i="61"/>
  <c r="J45" i="61"/>
  <c r="J46" i="61"/>
  <c r="J47" i="61"/>
  <c r="J48" i="61"/>
  <c r="J49" i="61"/>
  <c r="J50" i="61"/>
  <c r="J51" i="61"/>
  <c r="J52" i="61"/>
  <c r="J53" i="61"/>
  <c r="J54" i="61"/>
  <c r="J55" i="61"/>
  <c r="J56" i="61"/>
  <c r="J57" i="61"/>
  <c r="J58" i="61"/>
  <c r="J59" i="61"/>
  <c r="J60" i="61"/>
  <c r="J61" i="61"/>
  <c r="J62" i="61"/>
  <c r="J63" i="61"/>
  <c r="J64" i="61"/>
  <c r="J65" i="61"/>
  <c r="J66" i="61"/>
  <c r="J67" i="61"/>
  <c r="J68" i="61"/>
  <c r="J69" i="61"/>
  <c r="J70" i="61"/>
  <c r="J71" i="61"/>
  <c r="J72" i="61"/>
  <c r="J73" i="61"/>
  <c r="J74" i="61"/>
  <c r="J75" i="61"/>
  <c r="J76" i="61"/>
  <c r="J77" i="61"/>
  <c r="J78" i="61"/>
  <c r="J79" i="61"/>
  <c r="J80" i="61"/>
  <c r="J81" i="61"/>
  <c r="J82" i="61"/>
  <c r="J83" i="61"/>
  <c r="J84" i="61"/>
  <c r="J85" i="61"/>
  <c r="J86" i="61"/>
  <c r="J87" i="61"/>
  <c r="J88" i="61"/>
  <c r="J89" i="61"/>
  <c r="J90" i="61"/>
  <c r="J91" i="61"/>
  <c r="J92" i="61"/>
  <c r="J93" i="61"/>
  <c r="J94" i="61"/>
  <c r="J95" i="61"/>
  <c r="J96" i="61"/>
  <c r="J97" i="61"/>
  <c r="J98" i="61"/>
  <c r="J99" i="61"/>
  <c r="J100" i="61"/>
  <c r="J101" i="61"/>
  <c r="J102" i="61"/>
  <c r="J103" i="61"/>
  <c r="J104" i="61"/>
  <c r="J105" i="61"/>
  <c r="J106" i="61"/>
  <c r="J107" i="61"/>
  <c r="J108" i="61"/>
  <c r="J109" i="61"/>
  <c r="J110" i="61"/>
  <c r="J111" i="61"/>
  <c r="J112" i="61"/>
  <c r="J113" i="61"/>
  <c r="J114" i="61"/>
  <c r="J115" i="61"/>
  <c r="J116" i="61"/>
  <c r="J117" i="61"/>
  <c r="J118" i="61"/>
  <c r="J119" i="61"/>
  <c r="J120" i="61"/>
  <c r="J121" i="61"/>
  <c r="J122" i="61"/>
  <c r="J123" i="61"/>
  <c r="J124" i="61"/>
  <c r="J125" i="61"/>
  <c r="J126" i="61"/>
  <c r="J127" i="61"/>
  <c r="J128" i="61"/>
  <c r="J129" i="61"/>
  <c r="J130" i="61"/>
  <c r="J131" i="61"/>
  <c r="J132" i="61"/>
  <c r="J133" i="61"/>
  <c r="J134" i="61"/>
  <c r="J135" i="61"/>
  <c r="J136" i="61"/>
  <c r="J137" i="61"/>
  <c r="J138" i="61"/>
  <c r="J139" i="61"/>
  <c r="J140" i="61"/>
  <c r="J141" i="61"/>
  <c r="J142" i="61"/>
  <c r="J143" i="61"/>
  <c r="J144" i="61"/>
  <c r="J145" i="61"/>
  <c r="J146" i="61"/>
  <c r="J147" i="61"/>
  <c r="J148" i="61"/>
  <c r="J149" i="61"/>
  <c r="J150" i="61"/>
  <c r="J151" i="61"/>
  <c r="J152" i="61"/>
  <c r="J153" i="61"/>
  <c r="J154" i="61"/>
  <c r="J155" i="61"/>
  <c r="J156" i="61"/>
  <c r="J157" i="61"/>
  <c r="J158" i="61"/>
  <c r="J159" i="61"/>
  <c r="J160" i="61"/>
  <c r="J161" i="61"/>
  <c r="J162" i="61"/>
  <c r="J163" i="61"/>
  <c r="J164" i="61"/>
  <c r="J165" i="61"/>
  <c r="J166" i="61"/>
  <c r="J167" i="61"/>
  <c r="J168" i="61"/>
  <c r="J169" i="61"/>
  <c r="J170" i="61"/>
  <c r="J171" i="61"/>
  <c r="J172" i="61"/>
  <c r="J173" i="61"/>
  <c r="J174" i="61"/>
  <c r="J175" i="61"/>
  <c r="J176" i="61"/>
  <c r="J177" i="61"/>
  <c r="J178" i="61"/>
  <c r="J179" i="61"/>
  <c r="J180" i="61"/>
  <c r="J181" i="61"/>
  <c r="J182" i="61"/>
  <c r="J183" i="61"/>
  <c r="J184" i="61"/>
  <c r="J185" i="61"/>
  <c r="J186" i="61"/>
  <c r="J187" i="61"/>
  <c r="J188" i="61"/>
  <c r="J189" i="61"/>
  <c r="J190" i="61"/>
  <c r="J191" i="61"/>
  <c r="J192" i="61"/>
  <c r="J193" i="61"/>
  <c r="J194" i="61"/>
  <c r="J195" i="61"/>
  <c r="J196" i="61"/>
  <c r="J198" i="61"/>
  <c r="J199" i="61"/>
  <c r="J200" i="61"/>
  <c r="J201" i="61"/>
  <c r="J202" i="61"/>
  <c r="J203" i="61"/>
  <c r="J204" i="61"/>
  <c r="J205" i="61"/>
  <c r="J206" i="61"/>
  <c r="J207" i="61"/>
  <c r="J209" i="61"/>
  <c r="J210" i="61"/>
  <c r="J211" i="61"/>
  <c r="J212" i="61"/>
  <c r="J213" i="61"/>
  <c r="J214" i="61"/>
  <c r="J215" i="61"/>
  <c r="J216" i="61"/>
  <c r="J217" i="61"/>
  <c r="J218" i="61"/>
  <c r="J219" i="61"/>
  <c r="J221" i="61"/>
  <c r="J222" i="61"/>
  <c r="J223" i="61"/>
  <c r="J228" i="61"/>
  <c r="J232" i="61"/>
  <c r="J233" i="61"/>
  <c r="J234" i="61"/>
  <c r="K3" i="61"/>
  <c r="K4" i="61"/>
  <c r="K5" i="61"/>
  <c r="K6" i="61"/>
  <c r="K7" i="61"/>
  <c r="K8" i="61"/>
  <c r="K9" i="61"/>
  <c r="K10" i="61"/>
  <c r="K11" i="61"/>
  <c r="K12" i="61"/>
  <c r="K13" i="61"/>
  <c r="K14" i="61"/>
  <c r="K15" i="61"/>
  <c r="K16" i="61"/>
  <c r="K17" i="61"/>
  <c r="K18" i="61"/>
  <c r="K19" i="61"/>
  <c r="K20" i="61"/>
  <c r="K21" i="61"/>
  <c r="K22" i="61"/>
  <c r="K23" i="61"/>
  <c r="K24" i="61"/>
  <c r="K25" i="61"/>
  <c r="K26" i="61"/>
  <c r="K27" i="61"/>
  <c r="K28" i="61"/>
  <c r="K29" i="61"/>
  <c r="K30" i="61"/>
  <c r="K31" i="61"/>
  <c r="K32" i="61"/>
  <c r="K33" i="61"/>
  <c r="K34" i="61"/>
  <c r="K35" i="61"/>
  <c r="K36" i="61"/>
  <c r="K37" i="61"/>
  <c r="K38" i="61"/>
  <c r="K39" i="61"/>
  <c r="K40" i="61"/>
  <c r="K41" i="61"/>
  <c r="K42" i="61"/>
  <c r="K43" i="61"/>
  <c r="K44" i="61"/>
  <c r="K45" i="61"/>
  <c r="K46" i="61"/>
  <c r="K47" i="61"/>
  <c r="K48" i="61"/>
  <c r="K49" i="61"/>
  <c r="K50" i="61"/>
  <c r="K51" i="61"/>
  <c r="K52" i="61"/>
  <c r="K53" i="61"/>
  <c r="K54" i="61"/>
  <c r="K55" i="61"/>
  <c r="K56" i="61"/>
  <c r="K57" i="61"/>
  <c r="K58" i="61"/>
  <c r="K59" i="61"/>
  <c r="K60" i="61"/>
  <c r="K61" i="61"/>
  <c r="K62" i="61"/>
  <c r="K63" i="61"/>
  <c r="K64" i="61"/>
  <c r="K65" i="61"/>
  <c r="K66" i="61"/>
  <c r="K67" i="61"/>
  <c r="K68" i="61"/>
  <c r="K69" i="61"/>
  <c r="K70" i="61"/>
  <c r="K71" i="61"/>
  <c r="K72" i="61"/>
  <c r="K73" i="61"/>
  <c r="K74" i="61"/>
  <c r="K75" i="61"/>
  <c r="K76" i="61"/>
  <c r="K77" i="61"/>
  <c r="K78" i="61"/>
  <c r="K79" i="61"/>
  <c r="K80" i="61"/>
  <c r="K81" i="61"/>
  <c r="K82" i="61"/>
  <c r="K83" i="61"/>
  <c r="K84" i="61"/>
  <c r="K85" i="61"/>
  <c r="K86" i="61"/>
  <c r="K87" i="61"/>
  <c r="K88" i="61"/>
  <c r="K89" i="61"/>
  <c r="K90" i="61"/>
  <c r="K91" i="61"/>
  <c r="K92" i="61"/>
  <c r="K93" i="61"/>
  <c r="K94" i="61"/>
  <c r="K95" i="61"/>
  <c r="K96" i="61"/>
  <c r="K97" i="61"/>
  <c r="K98" i="61"/>
  <c r="K99" i="61"/>
  <c r="K100" i="61"/>
  <c r="K101" i="61"/>
  <c r="K102" i="61"/>
  <c r="K103" i="61"/>
  <c r="K104" i="61"/>
  <c r="K105" i="61"/>
  <c r="K106" i="61"/>
  <c r="K107" i="61"/>
  <c r="K108" i="61"/>
  <c r="K109" i="61"/>
  <c r="K110" i="61"/>
  <c r="K111" i="61"/>
  <c r="K112" i="61"/>
  <c r="K113" i="61"/>
  <c r="K114" i="61"/>
  <c r="K115" i="61"/>
  <c r="K116" i="61"/>
  <c r="K117" i="61"/>
  <c r="K118" i="61"/>
  <c r="K119" i="61"/>
  <c r="K120" i="61"/>
  <c r="K121" i="61"/>
  <c r="K122" i="61"/>
  <c r="K123" i="61"/>
  <c r="K124" i="61"/>
  <c r="K125" i="61"/>
  <c r="K126" i="61"/>
  <c r="K127" i="61"/>
  <c r="K128" i="61"/>
  <c r="K129" i="61"/>
  <c r="K130" i="61"/>
  <c r="K131" i="61"/>
  <c r="K132" i="61"/>
  <c r="K133" i="61"/>
  <c r="K134" i="61"/>
  <c r="K135" i="61"/>
  <c r="K136" i="61"/>
  <c r="K137" i="61"/>
  <c r="K138" i="61"/>
  <c r="K139" i="61"/>
  <c r="K140" i="61"/>
  <c r="K141" i="61"/>
  <c r="K142" i="61"/>
  <c r="K143" i="61"/>
  <c r="K144" i="61"/>
  <c r="K145" i="61"/>
  <c r="K146" i="61"/>
  <c r="K147" i="61"/>
  <c r="K148" i="61"/>
  <c r="K149" i="61"/>
  <c r="K150" i="61"/>
  <c r="K151" i="61"/>
  <c r="K152" i="61"/>
  <c r="K153" i="61"/>
  <c r="K154" i="61"/>
  <c r="K155" i="61"/>
  <c r="K156" i="61"/>
  <c r="K157" i="61"/>
  <c r="K158" i="61"/>
  <c r="K159" i="61"/>
  <c r="K160" i="61"/>
  <c r="K161" i="61"/>
  <c r="K162" i="61"/>
  <c r="K163" i="61"/>
  <c r="K164" i="61"/>
  <c r="K165" i="61"/>
  <c r="K166" i="61"/>
  <c r="K167" i="61"/>
  <c r="K168" i="61"/>
  <c r="K169" i="61"/>
  <c r="K170" i="61"/>
  <c r="K171" i="61"/>
  <c r="K172" i="61"/>
  <c r="K173" i="61"/>
  <c r="K174" i="61"/>
  <c r="K175" i="61"/>
  <c r="K176" i="61"/>
  <c r="K177" i="61"/>
  <c r="K178" i="61"/>
  <c r="K179" i="61"/>
  <c r="K180" i="61"/>
  <c r="K181" i="61"/>
  <c r="K182" i="61"/>
  <c r="K183" i="61"/>
  <c r="K184" i="61"/>
  <c r="K185" i="61"/>
  <c r="K186" i="61"/>
  <c r="K187" i="61"/>
  <c r="K188" i="61"/>
  <c r="K189" i="61"/>
  <c r="K190" i="61"/>
  <c r="K191" i="61"/>
  <c r="K192" i="61"/>
  <c r="K193" i="61"/>
  <c r="K194" i="61"/>
  <c r="K195" i="61"/>
  <c r="K196" i="61"/>
  <c r="K197" i="61"/>
  <c r="K198" i="61"/>
  <c r="K199" i="61"/>
  <c r="K200" i="61"/>
  <c r="K201" i="61"/>
  <c r="K202" i="61"/>
  <c r="K203" i="61"/>
  <c r="K204" i="61"/>
  <c r="K205" i="61"/>
  <c r="K206" i="61"/>
  <c r="K207" i="61"/>
  <c r="K208" i="61"/>
  <c r="K209" i="61"/>
  <c r="K210" i="61"/>
  <c r="K211" i="61"/>
  <c r="K212" i="61"/>
  <c r="K213" i="61"/>
  <c r="K214" i="61"/>
  <c r="K215" i="61"/>
  <c r="K216" i="61"/>
  <c r="K217" i="61"/>
  <c r="K218" i="61"/>
  <c r="K219" i="61"/>
  <c r="K220" i="61"/>
  <c r="K221" i="61"/>
  <c r="K222" i="61"/>
  <c r="K223" i="61"/>
  <c r="K228" i="61"/>
  <c r="K232" i="61"/>
  <c r="K233" i="61"/>
  <c r="K234" i="61"/>
  <c r="J242" i="61"/>
  <c r="K242" i="61"/>
  <c r="J247" i="61"/>
  <c r="J260" i="61"/>
  <c r="K247" i="61"/>
  <c r="K260" i="61"/>
  <c r="B6" i="45"/>
  <c r="J255" i="61"/>
  <c r="J274" i="61"/>
  <c r="K255" i="61"/>
  <c r="K274" i="61"/>
  <c r="B7" i="45"/>
  <c r="J261" i="61"/>
  <c r="J280" i="61"/>
  <c r="K261" i="61"/>
  <c r="K280" i="61"/>
  <c r="B8" i="45"/>
  <c r="J244" i="61"/>
  <c r="K244" i="61"/>
  <c r="J235" i="61"/>
  <c r="K235" i="61"/>
  <c r="J273" i="61"/>
  <c r="J279" i="61"/>
  <c r="J282" i="61"/>
  <c r="K273" i="61"/>
  <c r="K279" i="61"/>
  <c r="K282" i="61"/>
  <c r="B9" i="45"/>
  <c r="J246" i="61"/>
  <c r="K246" i="61"/>
  <c r="B10" i="45"/>
  <c r="J236" i="61"/>
  <c r="K236" i="61"/>
  <c r="J256" i="61"/>
  <c r="J272" i="61"/>
  <c r="K256" i="61"/>
  <c r="K272" i="61"/>
  <c r="B11" i="45"/>
  <c r="J250" i="61"/>
  <c r="K250" i="61"/>
  <c r="B12" i="45"/>
  <c r="B13" i="45"/>
  <c r="J237" i="61"/>
  <c r="K237" i="61"/>
  <c r="J267" i="61"/>
  <c r="K267" i="61"/>
  <c r="B14" i="45"/>
  <c r="J253" i="61"/>
  <c r="J276" i="61"/>
  <c r="K253" i="61"/>
  <c r="K276" i="61"/>
  <c r="B15" i="45"/>
  <c r="J262" i="61"/>
  <c r="J269" i="61"/>
  <c r="K262" i="61"/>
  <c r="K269" i="61"/>
  <c r="B16" i="45"/>
  <c r="J248" i="61"/>
  <c r="K248" i="61"/>
  <c r="B17" i="45"/>
  <c r="J238" i="61"/>
  <c r="K238" i="61"/>
  <c r="J252" i="61"/>
  <c r="J259" i="61"/>
  <c r="J277" i="61"/>
  <c r="K252" i="61"/>
  <c r="K259" i="61"/>
  <c r="K277" i="61"/>
  <c r="B18" i="45"/>
  <c r="J266" i="61"/>
  <c r="J278" i="61"/>
  <c r="K266" i="61"/>
  <c r="K278" i="61"/>
  <c r="B19" i="45"/>
  <c r="J239" i="61"/>
  <c r="K239" i="61"/>
  <c r="J258" i="61"/>
  <c r="K258" i="61"/>
  <c r="B20" i="45"/>
  <c r="J270" i="61"/>
  <c r="K270" i="61"/>
  <c r="B21" i="45"/>
  <c r="J240" i="61"/>
  <c r="K240" i="61"/>
  <c r="J245" i="61"/>
  <c r="J249" i="61"/>
  <c r="J271" i="61"/>
  <c r="K249" i="61"/>
  <c r="K271" i="61"/>
  <c r="B22" i="45"/>
  <c r="J243" i="61"/>
  <c r="K243" i="61"/>
  <c r="J275" i="61"/>
  <c r="K275" i="61"/>
  <c r="B23" i="45"/>
  <c r="J251" i="61"/>
  <c r="K251" i="61"/>
  <c r="B24" i="45"/>
  <c r="B25" i="45"/>
  <c r="B26" i="45"/>
  <c r="J264" i="61"/>
  <c r="K264" i="61"/>
  <c r="B27" i="45"/>
  <c r="B28" i="45"/>
  <c r="B29" i="45"/>
  <c r="B30" i="45"/>
  <c r="B31" i="45"/>
  <c r="J265" i="61"/>
  <c r="K265" i="61"/>
  <c r="B32" i="45"/>
  <c r="J241" i="61"/>
  <c r="K241" i="61"/>
  <c r="J254" i="61"/>
  <c r="K254" i="61"/>
  <c r="B33" i="45"/>
  <c r="J257" i="61"/>
  <c r="J263" i="61"/>
  <c r="J268" i="61"/>
  <c r="J281" i="61"/>
  <c r="K257" i="61"/>
  <c r="K263" i="61"/>
  <c r="K268" i="61"/>
  <c r="K281" i="61"/>
  <c r="B34" i="45"/>
  <c r="B35" i="45"/>
  <c r="B36" i="45"/>
  <c r="B37" i="45"/>
  <c r="B38" i="45"/>
  <c r="B5" i="45"/>
  <c r="L3" i="61"/>
  <c r="L4" i="61"/>
  <c r="L5" i="61"/>
  <c r="L6" i="61"/>
  <c r="L7" i="61"/>
  <c r="L8" i="61"/>
  <c r="L9" i="61"/>
  <c r="L10" i="61"/>
  <c r="L11" i="61"/>
  <c r="L12" i="61"/>
  <c r="L13" i="61"/>
  <c r="L14" i="61"/>
  <c r="L15" i="61"/>
  <c r="L16" i="61"/>
  <c r="L17" i="61"/>
  <c r="L18" i="61"/>
  <c r="L19" i="61"/>
  <c r="L20" i="61"/>
  <c r="L21" i="61"/>
  <c r="L22" i="61"/>
  <c r="L23" i="61"/>
  <c r="L24" i="61"/>
  <c r="L25" i="61"/>
  <c r="L26" i="61"/>
  <c r="L27" i="61"/>
  <c r="L28" i="61"/>
  <c r="L29" i="61"/>
  <c r="L30" i="61"/>
  <c r="L31" i="61"/>
  <c r="L32" i="61"/>
  <c r="L33" i="61"/>
  <c r="L34" i="61"/>
  <c r="L35" i="61"/>
  <c r="L36" i="61"/>
  <c r="L37" i="61"/>
  <c r="L38" i="61"/>
  <c r="L39" i="61"/>
  <c r="L40" i="61"/>
  <c r="L41" i="61"/>
  <c r="L42" i="61"/>
  <c r="L43" i="61"/>
  <c r="L44" i="61"/>
  <c r="L45" i="61"/>
  <c r="L46" i="61"/>
  <c r="L47" i="61"/>
  <c r="L48" i="61"/>
  <c r="L49" i="61"/>
  <c r="L50" i="61"/>
  <c r="L51" i="61"/>
  <c r="L52" i="61"/>
  <c r="L53" i="61"/>
  <c r="L54" i="61"/>
  <c r="L55" i="61"/>
  <c r="L56" i="61"/>
  <c r="L57" i="61"/>
  <c r="L58" i="61"/>
  <c r="L59" i="61"/>
  <c r="L60" i="61"/>
  <c r="L61" i="61"/>
  <c r="L62" i="61"/>
  <c r="L63" i="61"/>
  <c r="L64" i="61"/>
  <c r="L65" i="61"/>
  <c r="L66" i="61"/>
  <c r="L67" i="61"/>
  <c r="L68" i="61"/>
  <c r="L69" i="61"/>
  <c r="L70" i="61"/>
  <c r="L71" i="61"/>
  <c r="L72" i="61"/>
  <c r="L73" i="61"/>
  <c r="L74" i="61"/>
  <c r="L75" i="61"/>
  <c r="L76" i="61"/>
  <c r="L77" i="61"/>
  <c r="L78" i="61"/>
  <c r="L79" i="61"/>
  <c r="L80" i="61"/>
  <c r="L81" i="61"/>
  <c r="L82" i="61"/>
  <c r="L83" i="61"/>
  <c r="L84" i="61"/>
  <c r="L85" i="61"/>
  <c r="L86" i="61"/>
  <c r="L87" i="61"/>
  <c r="L88" i="61"/>
  <c r="L89" i="61"/>
  <c r="L90" i="61"/>
  <c r="L91" i="61"/>
  <c r="L92" i="61"/>
  <c r="L93" i="61"/>
  <c r="L94" i="61"/>
  <c r="L95" i="61"/>
  <c r="L96" i="61"/>
  <c r="L97" i="61"/>
  <c r="L98" i="61"/>
  <c r="L99" i="61"/>
  <c r="L100" i="61"/>
  <c r="L101" i="61"/>
  <c r="L102" i="61"/>
  <c r="L103" i="61"/>
  <c r="L104" i="61"/>
  <c r="L105" i="61"/>
  <c r="L106" i="61"/>
  <c r="L107" i="61"/>
  <c r="L108" i="61"/>
  <c r="L109" i="61"/>
  <c r="L110" i="61"/>
  <c r="L111" i="61"/>
  <c r="L112" i="61"/>
  <c r="L113" i="61"/>
  <c r="L114" i="61"/>
  <c r="L115" i="61"/>
  <c r="L116" i="61"/>
  <c r="L117" i="61"/>
  <c r="L118" i="61"/>
  <c r="L119" i="61"/>
  <c r="L120" i="61"/>
  <c r="L121" i="61"/>
  <c r="L122" i="61"/>
  <c r="L123" i="61"/>
  <c r="L124" i="61"/>
  <c r="L125" i="61"/>
  <c r="L126" i="61"/>
  <c r="L127" i="61"/>
  <c r="L128" i="61"/>
  <c r="L129" i="61"/>
  <c r="L130" i="61"/>
  <c r="L131" i="61"/>
  <c r="L132" i="61"/>
  <c r="L133" i="61"/>
  <c r="L134" i="61"/>
  <c r="L135" i="61"/>
  <c r="L136" i="61"/>
  <c r="L137" i="61"/>
  <c r="L138" i="61"/>
  <c r="L139" i="61"/>
  <c r="L140" i="61"/>
  <c r="L141" i="61"/>
  <c r="L142" i="61"/>
  <c r="L143" i="61"/>
  <c r="L144" i="61"/>
  <c r="L145" i="61"/>
  <c r="L146" i="61"/>
  <c r="L147" i="61"/>
  <c r="L148" i="61"/>
  <c r="L149" i="61"/>
  <c r="L150" i="61"/>
  <c r="L151" i="61"/>
  <c r="L152" i="61"/>
  <c r="L153" i="61"/>
  <c r="L154" i="61"/>
  <c r="L155" i="61"/>
  <c r="L156" i="61"/>
  <c r="L157" i="61"/>
  <c r="L158" i="61"/>
  <c r="L159" i="61"/>
  <c r="L160" i="61"/>
  <c r="L161" i="61"/>
  <c r="L162" i="61"/>
  <c r="L163" i="61"/>
  <c r="L164" i="61"/>
  <c r="L165" i="61"/>
  <c r="L166" i="61"/>
  <c r="L167" i="61"/>
  <c r="L168" i="61"/>
  <c r="L169" i="61"/>
  <c r="L170" i="61"/>
  <c r="L171" i="61"/>
  <c r="L172" i="61"/>
  <c r="L173" i="61"/>
  <c r="L174" i="61"/>
  <c r="L175" i="61"/>
  <c r="L176" i="61"/>
  <c r="L177" i="61"/>
  <c r="L178" i="61"/>
  <c r="L179" i="61"/>
  <c r="L180" i="61"/>
  <c r="L181" i="61"/>
  <c r="L182" i="61"/>
  <c r="L183" i="61"/>
  <c r="L184" i="61"/>
  <c r="L185" i="61"/>
  <c r="L186" i="61"/>
  <c r="L187" i="61"/>
  <c r="L188" i="61"/>
  <c r="L189" i="61"/>
  <c r="L190" i="61"/>
  <c r="L191" i="61"/>
  <c r="L192" i="61"/>
  <c r="L193" i="61"/>
  <c r="L194" i="61"/>
  <c r="L195" i="61"/>
  <c r="L196" i="61"/>
  <c r="L197" i="61"/>
  <c r="L198" i="61"/>
  <c r="L199" i="61"/>
  <c r="L200" i="61"/>
  <c r="L201" i="61"/>
  <c r="L202" i="61"/>
  <c r="L203" i="61"/>
  <c r="L204" i="61"/>
  <c r="L205" i="61"/>
  <c r="L206" i="61"/>
  <c r="L207" i="61"/>
  <c r="L208" i="61"/>
  <c r="L209" i="61"/>
  <c r="L210" i="61"/>
  <c r="L211" i="61"/>
  <c r="L212" i="61"/>
  <c r="L213" i="61"/>
  <c r="L214" i="61"/>
  <c r="L215" i="61"/>
  <c r="L216" i="61"/>
  <c r="L217" i="61"/>
  <c r="L218" i="61"/>
  <c r="L219" i="61"/>
  <c r="L220" i="61"/>
  <c r="L221" i="61"/>
  <c r="L222" i="61"/>
  <c r="L223" i="61"/>
  <c r="L228" i="61"/>
  <c r="L232" i="61"/>
  <c r="L233" i="61"/>
  <c r="L234" i="61"/>
  <c r="L235" i="61"/>
  <c r="L236" i="61"/>
  <c r="L237" i="61"/>
  <c r="L238" i="61"/>
  <c r="L239" i="61"/>
  <c r="L240" i="61"/>
  <c r="L241" i="61"/>
  <c r="L242" i="61"/>
  <c r="L243" i="61"/>
  <c r="L244" i="61"/>
  <c r="L245" i="61"/>
  <c r="L246" i="61"/>
  <c r="L247" i="61"/>
  <c r="L248" i="61"/>
  <c r="L249" i="61"/>
  <c r="L250" i="61"/>
  <c r="L251" i="61"/>
  <c r="L252" i="61"/>
  <c r="L253" i="61"/>
  <c r="L254" i="61"/>
  <c r="L255" i="61"/>
  <c r="L256" i="61"/>
  <c r="L257" i="61"/>
  <c r="L258" i="61"/>
  <c r="L259" i="61"/>
  <c r="L260" i="61"/>
  <c r="L261" i="61"/>
  <c r="L262" i="61"/>
  <c r="L263" i="61"/>
  <c r="L264" i="61"/>
  <c r="L265" i="61"/>
  <c r="L266" i="61"/>
  <c r="L267" i="61"/>
  <c r="L268" i="61"/>
  <c r="L269" i="61"/>
  <c r="L270" i="61"/>
  <c r="L271" i="61"/>
  <c r="L272" i="61"/>
  <c r="L273" i="61"/>
  <c r="L274" i="61"/>
  <c r="L275" i="61"/>
  <c r="L276" i="61"/>
  <c r="L277" i="61"/>
  <c r="L278" i="61"/>
  <c r="L279" i="61"/>
  <c r="L280" i="61"/>
  <c r="L281" i="61"/>
  <c r="L282" i="61"/>
  <c r="K245" i="61"/>
  <c r="J1534" i="46"/>
  <c r="J1535" i="46"/>
  <c r="J1536" i="46"/>
  <c r="J1537" i="46"/>
  <c r="J1538" i="46"/>
  <c r="J1539" i="46"/>
  <c r="J1540" i="46"/>
  <c r="J1541" i="46"/>
  <c r="J1542" i="46"/>
  <c r="J1543" i="46"/>
  <c r="J1544" i="46"/>
  <c r="J1545" i="46"/>
  <c r="J1546" i="46"/>
  <c r="J1547" i="46"/>
  <c r="J1548" i="46"/>
  <c r="J1549" i="46"/>
  <c r="K1534" i="46"/>
  <c r="K1535" i="46"/>
  <c r="K1536" i="46"/>
  <c r="K1537" i="46"/>
  <c r="K1538" i="46"/>
  <c r="K1539" i="46"/>
  <c r="K1540" i="46"/>
  <c r="K1541" i="46"/>
  <c r="K1542" i="46"/>
  <c r="K1543" i="46"/>
  <c r="K1544" i="46"/>
  <c r="K1545" i="46"/>
  <c r="K1546" i="46"/>
  <c r="K1547" i="46"/>
  <c r="K1548" i="46"/>
  <c r="K1549" i="46"/>
  <c r="L1534" i="46"/>
  <c r="L1535" i="46"/>
  <c r="L1536" i="46"/>
  <c r="L1537" i="46"/>
  <c r="L1538" i="46"/>
  <c r="L1539" i="46"/>
  <c r="L1540" i="46"/>
  <c r="L1541" i="46"/>
  <c r="L1542" i="46"/>
  <c r="L1543" i="46"/>
  <c r="L1544" i="46"/>
  <c r="L1545" i="46"/>
  <c r="L1546" i="46"/>
  <c r="L1547" i="46"/>
  <c r="L1548" i="46"/>
  <c r="L1549" i="46"/>
  <c r="J1550" i="46"/>
  <c r="J1551" i="46"/>
  <c r="J1552" i="46"/>
  <c r="J1553" i="46"/>
  <c r="J1554" i="46"/>
  <c r="J1555" i="46"/>
  <c r="J1556" i="46"/>
  <c r="J1557" i="46"/>
  <c r="J1558" i="46"/>
  <c r="J1559" i="46"/>
  <c r="J1560" i="46"/>
  <c r="J1561" i="46"/>
  <c r="J1562" i="46"/>
  <c r="J1563" i="46"/>
  <c r="J1564" i="46"/>
  <c r="J1565" i="46"/>
  <c r="K1550" i="46"/>
  <c r="K1551" i="46"/>
  <c r="K1552" i="46"/>
  <c r="K1553" i="46"/>
  <c r="K1554" i="46"/>
  <c r="K1555" i="46"/>
  <c r="K1556" i="46"/>
  <c r="K1557" i="46"/>
  <c r="K1558" i="46"/>
  <c r="K1559" i="46"/>
  <c r="K1560" i="46"/>
  <c r="K1561" i="46"/>
  <c r="K1562" i="46"/>
  <c r="K1563" i="46"/>
  <c r="K1564" i="46"/>
  <c r="K1565" i="46"/>
  <c r="L1550" i="46"/>
  <c r="L1551" i="46"/>
  <c r="L1552" i="46"/>
  <c r="L1553" i="46"/>
  <c r="L1554" i="46"/>
  <c r="L1555" i="46"/>
  <c r="L1556" i="46"/>
  <c r="L1557" i="46"/>
  <c r="L1558" i="46"/>
  <c r="L1559" i="46"/>
  <c r="L1560" i="46"/>
  <c r="L1561" i="46"/>
  <c r="L1562" i="46"/>
  <c r="L1563" i="46"/>
  <c r="L1564" i="46"/>
  <c r="L1565" i="46"/>
  <c r="J5" i="23"/>
  <c r="J4" i="46"/>
  <c r="J5" i="46"/>
  <c r="J6" i="46"/>
  <c r="J7" i="46"/>
  <c r="J8" i="46"/>
  <c r="J9" i="46"/>
  <c r="J10" i="46"/>
  <c r="J11" i="46"/>
  <c r="J12" i="46"/>
  <c r="J13" i="46"/>
  <c r="J14" i="46"/>
  <c r="J15" i="46"/>
  <c r="J16" i="46"/>
  <c r="J17" i="46"/>
  <c r="J18" i="46"/>
  <c r="J19" i="46"/>
  <c r="J20" i="46"/>
  <c r="J21" i="46"/>
  <c r="J22" i="46"/>
  <c r="J23" i="46"/>
  <c r="J24" i="46"/>
  <c r="J25" i="46"/>
  <c r="J26" i="46"/>
  <c r="J27" i="46"/>
  <c r="J28" i="46"/>
  <c r="J29" i="46"/>
  <c r="J30" i="46"/>
  <c r="J31" i="46"/>
  <c r="J32" i="46"/>
  <c r="J33" i="46"/>
  <c r="J34" i="46"/>
  <c r="J35" i="46"/>
  <c r="J36" i="46"/>
  <c r="J37" i="46"/>
  <c r="J38" i="46"/>
  <c r="J39" i="46"/>
  <c r="J40" i="46"/>
  <c r="J41" i="46"/>
  <c r="J42" i="46"/>
  <c r="J43" i="46"/>
  <c r="J44" i="46"/>
  <c r="J45" i="46"/>
  <c r="J46" i="46"/>
  <c r="J47" i="46"/>
  <c r="J48" i="46"/>
  <c r="J49" i="46"/>
  <c r="J50" i="46"/>
  <c r="J51" i="46"/>
  <c r="J52" i="46"/>
  <c r="J53" i="46"/>
  <c r="J54" i="46"/>
  <c r="J55" i="46"/>
  <c r="J56" i="46"/>
  <c r="J57" i="46"/>
  <c r="J58"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214" i="46"/>
  <c r="J215" i="46"/>
  <c r="J216" i="46"/>
  <c r="J217" i="46"/>
  <c r="J218" i="46"/>
  <c r="J219" i="46"/>
  <c r="J220" i="46"/>
  <c r="J221" i="46"/>
  <c r="J222" i="46"/>
  <c r="J223" i="46"/>
  <c r="J224" i="46"/>
  <c r="J225" i="46"/>
  <c r="J226" i="46"/>
  <c r="J227" i="46"/>
  <c r="J228" i="46"/>
  <c r="J229" i="46"/>
  <c r="J230" i="46"/>
  <c r="J231" i="46"/>
  <c r="J232" i="46"/>
  <c r="J233" i="46"/>
  <c r="J234" i="46"/>
  <c r="J235" i="46"/>
  <c r="J236" i="46"/>
  <c r="J237" i="46"/>
  <c r="J238" i="46"/>
  <c r="J239" i="46"/>
  <c r="J240" i="46"/>
  <c r="J241" i="46"/>
  <c r="J242" i="46"/>
  <c r="J243" i="46"/>
  <c r="J244" i="46"/>
  <c r="J245" i="46"/>
  <c r="J246" i="46"/>
  <c r="J247" i="46"/>
  <c r="J248" i="46"/>
  <c r="J249" i="46"/>
  <c r="J250" i="46"/>
  <c r="J251" i="46"/>
  <c r="J252" i="46"/>
  <c r="J253" i="46"/>
  <c r="J254" i="46"/>
  <c r="J255" i="46"/>
  <c r="J256" i="46"/>
  <c r="J257" i="46"/>
  <c r="J258" i="46"/>
  <c r="J259" i="46"/>
  <c r="J260" i="46"/>
  <c r="J261" i="46"/>
  <c r="J262" i="46"/>
  <c r="J263" i="46"/>
  <c r="J264" i="46"/>
  <c r="J265" i="46"/>
  <c r="J266" i="46"/>
  <c r="J267" i="46"/>
  <c r="J268" i="46"/>
  <c r="J269" i="46"/>
  <c r="J270" i="46"/>
  <c r="J271" i="46"/>
  <c r="J272" i="46"/>
  <c r="J273" i="46"/>
  <c r="J274" i="46"/>
  <c r="J275" i="46"/>
  <c r="J276" i="46"/>
  <c r="J277" i="46"/>
  <c r="J278" i="46"/>
  <c r="J279" i="46"/>
  <c r="J280" i="46"/>
  <c r="J281" i="46"/>
  <c r="J282" i="46"/>
  <c r="J283" i="46"/>
  <c r="J284" i="46"/>
  <c r="J285" i="46"/>
  <c r="J286" i="46"/>
  <c r="J287" i="46"/>
  <c r="J288" i="46"/>
  <c r="J289" i="46"/>
  <c r="J290" i="46"/>
  <c r="J291" i="46"/>
  <c r="J292" i="46"/>
  <c r="J293" i="46"/>
  <c r="J294" i="46"/>
  <c r="J295" i="46"/>
  <c r="J296" i="46"/>
  <c r="J297" i="46"/>
  <c r="J298" i="46"/>
  <c r="J299" i="46"/>
  <c r="J300" i="46"/>
  <c r="J301" i="46"/>
  <c r="J302" i="46"/>
  <c r="J303" i="46"/>
  <c r="J304" i="46"/>
  <c r="J305" i="46"/>
  <c r="J306" i="46"/>
  <c r="J307" i="46"/>
  <c r="J308" i="46"/>
  <c r="J309" i="46"/>
  <c r="J310" i="46"/>
  <c r="J311" i="46"/>
  <c r="J312" i="46"/>
  <c r="J313" i="46"/>
  <c r="J314" i="46"/>
  <c r="J315" i="46"/>
  <c r="J316" i="46"/>
  <c r="J317" i="46"/>
  <c r="J318" i="46"/>
  <c r="J319" i="46"/>
  <c r="J320" i="46"/>
  <c r="J321" i="46"/>
  <c r="J322" i="46"/>
  <c r="J323" i="46"/>
  <c r="J324" i="46"/>
  <c r="J325" i="46"/>
  <c r="J326" i="46"/>
  <c r="J327" i="46"/>
  <c r="J328" i="46"/>
  <c r="J329" i="46"/>
  <c r="J330" i="46"/>
  <c r="J331" i="46"/>
  <c r="J332" i="46"/>
  <c r="J333" i="46"/>
  <c r="J334" i="46"/>
  <c r="J335" i="46"/>
  <c r="J336" i="46"/>
  <c r="J337" i="46"/>
  <c r="J338" i="46"/>
  <c r="J339" i="46"/>
  <c r="J340" i="46"/>
  <c r="J341" i="46"/>
  <c r="J342" i="46"/>
  <c r="J343" i="46"/>
  <c r="J344" i="46"/>
  <c r="J345" i="46"/>
  <c r="J346" i="46"/>
  <c r="J347" i="46"/>
  <c r="J348" i="46"/>
  <c r="J349" i="46"/>
  <c r="J350" i="46"/>
  <c r="J351" i="46"/>
  <c r="J352" i="46"/>
  <c r="J353" i="46"/>
  <c r="J354" i="46"/>
  <c r="J355" i="46"/>
  <c r="J356" i="46"/>
  <c r="J357" i="46"/>
  <c r="J358" i="46"/>
  <c r="J359" i="46"/>
  <c r="J360" i="46"/>
  <c r="J361" i="46"/>
  <c r="J362" i="46"/>
  <c r="J363" i="46"/>
  <c r="J364" i="46"/>
  <c r="J365" i="46"/>
  <c r="J366" i="46"/>
  <c r="J367" i="46"/>
  <c r="J368" i="46"/>
  <c r="J369" i="46"/>
  <c r="J370" i="46"/>
  <c r="J371" i="46"/>
  <c r="J372" i="46"/>
  <c r="J373" i="46"/>
  <c r="J374" i="46"/>
  <c r="J375" i="46"/>
  <c r="J376" i="46"/>
  <c r="J377" i="46"/>
  <c r="J378" i="46"/>
  <c r="J379" i="46"/>
  <c r="J380" i="46"/>
  <c r="J381" i="46"/>
  <c r="J382" i="46"/>
  <c r="J383" i="46"/>
  <c r="J384" i="46"/>
  <c r="J385" i="46"/>
  <c r="J386" i="46"/>
  <c r="J387" i="46"/>
  <c r="J388" i="46"/>
  <c r="J389" i="46"/>
  <c r="J390" i="46"/>
  <c r="J391" i="46"/>
  <c r="J392" i="46"/>
  <c r="J393" i="46"/>
  <c r="J394" i="46"/>
  <c r="J395" i="46"/>
  <c r="J396" i="46"/>
  <c r="J397" i="46"/>
  <c r="J398" i="46"/>
  <c r="J399" i="46"/>
  <c r="J400" i="46"/>
  <c r="J401" i="46"/>
  <c r="J402" i="46"/>
  <c r="J403" i="46"/>
  <c r="J404" i="46"/>
  <c r="J405" i="46"/>
  <c r="J406" i="46"/>
  <c r="J407" i="46"/>
  <c r="J408" i="46"/>
  <c r="J409" i="46"/>
  <c r="J410" i="46"/>
  <c r="J411" i="46"/>
  <c r="J412" i="46"/>
  <c r="J413" i="46"/>
  <c r="J414" i="46"/>
  <c r="J415" i="46"/>
  <c r="J416" i="46"/>
  <c r="J417" i="46"/>
  <c r="J418" i="46"/>
  <c r="J419" i="46"/>
  <c r="J420" i="46"/>
  <c r="J421" i="46"/>
  <c r="J422" i="46"/>
  <c r="J423" i="46"/>
  <c r="J424" i="46"/>
  <c r="J425" i="46"/>
  <c r="J426" i="46"/>
  <c r="J427" i="46"/>
  <c r="J428" i="46"/>
  <c r="J429" i="46"/>
  <c r="J430" i="46"/>
  <c r="J431" i="46"/>
  <c r="J432" i="46"/>
  <c r="J433" i="46"/>
  <c r="J434" i="46"/>
  <c r="J435" i="46"/>
  <c r="J436" i="46"/>
  <c r="J437" i="46"/>
  <c r="J438" i="46"/>
  <c r="J439" i="46"/>
  <c r="J440" i="46"/>
  <c r="J441" i="46"/>
  <c r="J442" i="46"/>
  <c r="J443" i="46"/>
  <c r="J444" i="46"/>
  <c r="J445" i="46"/>
  <c r="J446" i="46"/>
  <c r="J447" i="46"/>
  <c r="J448" i="46"/>
  <c r="J449" i="46"/>
  <c r="J450" i="46"/>
  <c r="J451" i="46"/>
  <c r="J452" i="46"/>
  <c r="J453" i="46"/>
  <c r="J454" i="46"/>
  <c r="J455" i="46"/>
  <c r="J456" i="46"/>
  <c r="J457" i="46"/>
  <c r="J458" i="46"/>
  <c r="J459" i="46"/>
  <c r="J460" i="46"/>
  <c r="J461" i="46"/>
  <c r="J462" i="46"/>
  <c r="J463" i="46"/>
  <c r="J464" i="46"/>
  <c r="J465" i="46"/>
  <c r="J466" i="46"/>
  <c r="J467" i="46"/>
  <c r="J468" i="46"/>
  <c r="J469" i="46"/>
  <c r="J470" i="46"/>
  <c r="J471" i="46"/>
  <c r="J472" i="46"/>
  <c r="J473" i="46"/>
  <c r="J474" i="46"/>
  <c r="J475" i="46"/>
  <c r="J476" i="46"/>
  <c r="J477" i="46"/>
  <c r="J478" i="46"/>
  <c r="J479" i="46"/>
  <c r="J480" i="46"/>
  <c r="J481" i="46"/>
  <c r="J482" i="46"/>
  <c r="J483" i="46"/>
  <c r="J484" i="46"/>
  <c r="J485" i="46"/>
  <c r="J486" i="46"/>
  <c r="J487" i="46"/>
  <c r="J488" i="46"/>
  <c r="J489" i="46"/>
  <c r="J490" i="46"/>
  <c r="J491" i="46"/>
  <c r="J492" i="46"/>
  <c r="J493" i="46"/>
  <c r="J494" i="46"/>
  <c r="J495" i="46"/>
  <c r="J496" i="46"/>
  <c r="J497" i="46"/>
  <c r="J498" i="46"/>
  <c r="J499" i="46"/>
  <c r="J500" i="46"/>
  <c r="J501" i="46"/>
  <c r="J502" i="46"/>
  <c r="J503" i="46"/>
  <c r="J504" i="46"/>
  <c r="J505" i="46"/>
  <c r="J506" i="46"/>
  <c r="J507" i="46"/>
  <c r="J508" i="46"/>
  <c r="J509" i="46"/>
  <c r="J510" i="46"/>
  <c r="J511" i="46"/>
  <c r="J512" i="46"/>
  <c r="J513" i="46"/>
  <c r="J514" i="46"/>
  <c r="J515" i="46"/>
  <c r="J516" i="46"/>
  <c r="J517" i="46"/>
  <c r="J518" i="46"/>
  <c r="J519" i="46"/>
  <c r="J520" i="46"/>
  <c r="J521" i="46"/>
  <c r="J522" i="46"/>
  <c r="J523" i="46"/>
  <c r="J524" i="46"/>
  <c r="J525" i="46"/>
  <c r="J526" i="46"/>
  <c r="J527" i="46"/>
  <c r="J528" i="46"/>
  <c r="J529" i="46"/>
  <c r="J530" i="46"/>
  <c r="J531" i="46"/>
  <c r="J532" i="46"/>
  <c r="J533" i="46"/>
  <c r="J534" i="46"/>
  <c r="J535" i="46"/>
  <c r="J536" i="46"/>
  <c r="J537" i="46"/>
  <c r="J538" i="46"/>
  <c r="J539" i="46"/>
  <c r="J540" i="46"/>
  <c r="J541" i="46"/>
  <c r="J542" i="46"/>
  <c r="J543" i="46"/>
  <c r="J544" i="46"/>
  <c r="J545" i="46"/>
  <c r="J546" i="46"/>
  <c r="J547" i="46"/>
  <c r="J548" i="46"/>
  <c r="J549" i="46"/>
  <c r="J550" i="46"/>
  <c r="J551" i="46"/>
  <c r="J552" i="46"/>
  <c r="J553" i="46"/>
  <c r="J554" i="46"/>
  <c r="J555" i="46"/>
  <c r="J556" i="46"/>
  <c r="J557" i="46"/>
  <c r="J558" i="46"/>
  <c r="J559" i="46"/>
  <c r="J560" i="46"/>
  <c r="J561" i="46"/>
  <c r="J562" i="46"/>
  <c r="J563" i="46"/>
  <c r="J564" i="46"/>
  <c r="J565" i="46"/>
  <c r="J566" i="46"/>
  <c r="J567" i="46"/>
  <c r="J568" i="46"/>
  <c r="J569" i="46"/>
  <c r="J570" i="46"/>
  <c r="J571" i="46"/>
  <c r="J572" i="46"/>
  <c r="J573" i="46"/>
  <c r="J574" i="46"/>
  <c r="J575" i="46"/>
  <c r="J576" i="46"/>
  <c r="J577" i="46"/>
  <c r="J578" i="46"/>
  <c r="J579" i="46"/>
  <c r="J580" i="46"/>
  <c r="J581" i="46"/>
  <c r="J582" i="46"/>
  <c r="J583" i="46"/>
  <c r="J584" i="46"/>
  <c r="J585" i="46"/>
  <c r="J586" i="46"/>
  <c r="J587" i="46"/>
  <c r="J588" i="46"/>
  <c r="J589" i="46"/>
  <c r="J590" i="46"/>
  <c r="J591" i="46"/>
  <c r="J592" i="46"/>
  <c r="J593" i="46"/>
  <c r="J594" i="46"/>
  <c r="J595" i="46"/>
  <c r="J596" i="46"/>
  <c r="J597" i="46"/>
  <c r="J598" i="46"/>
  <c r="J599" i="46"/>
  <c r="J600" i="46"/>
  <c r="J601" i="46"/>
  <c r="J602" i="46"/>
  <c r="J603" i="46"/>
  <c r="J604" i="46"/>
  <c r="J605" i="46"/>
  <c r="J606" i="46"/>
  <c r="J607" i="46"/>
  <c r="J608" i="46"/>
  <c r="J609" i="46"/>
  <c r="J610" i="46"/>
  <c r="J611" i="46"/>
  <c r="J612" i="46"/>
  <c r="J613" i="46"/>
  <c r="J614" i="46"/>
  <c r="J615" i="46"/>
  <c r="J616" i="46"/>
  <c r="J617" i="46"/>
  <c r="J618" i="46"/>
  <c r="J619" i="46"/>
  <c r="J620" i="46"/>
  <c r="J621" i="46"/>
  <c r="J622" i="46"/>
  <c r="J623" i="46"/>
  <c r="J624" i="46"/>
  <c r="J625" i="46"/>
  <c r="J626" i="46"/>
  <c r="J627" i="46"/>
  <c r="J628" i="46"/>
  <c r="J629" i="46"/>
  <c r="J630" i="46"/>
  <c r="J631" i="46"/>
  <c r="J632" i="46"/>
  <c r="J633" i="46"/>
  <c r="J634" i="46"/>
  <c r="J635" i="46"/>
  <c r="J636" i="46"/>
  <c r="J637" i="46"/>
  <c r="J638" i="46"/>
  <c r="J639" i="46"/>
  <c r="J640" i="46"/>
  <c r="J641" i="46"/>
  <c r="J642" i="46"/>
  <c r="J643" i="46"/>
  <c r="J644" i="46"/>
  <c r="J645" i="46"/>
  <c r="J646" i="46"/>
  <c r="J647" i="46"/>
  <c r="J648" i="46"/>
  <c r="J649" i="46"/>
  <c r="J650" i="46"/>
  <c r="J651" i="46"/>
  <c r="J652" i="46"/>
  <c r="J653" i="46"/>
  <c r="J654" i="46"/>
  <c r="J655" i="46"/>
  <c r="J656" i="46"/>
  <c r="J657" i="46"/>
  <c r="J658" i="46"/>
  <c r="J659" i="46"/>
  <c r="J660" i="46"/>
  <c r="J661" i="46"/>
  <c r="J662" i="46"/>
  <c r="J663" i="46"/>
  <c r="J664" i="46"/>
  <c r="J665" i="46"/>
  <c r="J666" i="46"/>
  <c r="J667" i="46"/>
  <c r="J668" i="46"/>
  <c r="J669" i="46"/>
  <c r="J670" i="46"/>
  <c r="J671" i="46"/>
  <c r="J672" i="46"/>
  <c r="J673" i="46"/>
  <c r="J674" i="46"/>
  <c r="J675" i="46"/>
  <c r="J676" i="46"/>
  <c r="J677" i="46"/>
  <c r="J678" i="46"/>
  <c r="J679" i="46"/>
  <c r="J680" i="46"/>
  <c r="J681" i="46"/>
  <c r="J682" i="46"/>
  <c r="J683" i="46"/>
  <c r="J684" i="46"/>
  <c r="J685" i="46"/>
  <c r="J686" i="46"/>
  <c r="J687" i="46"/>
  <c r="J688" i="46"/>
  <c r="J689" i="46"/>
  <c r="J690" i="46"/>
  <c r="J691" i="46"/>
  <c r="J692" i="46"/>
  <c r="J693" i="46"/>
  <c r="J694" i="46"/>
  <c r="J695" i="46"/>
  <c r="J696" i="46"/>
  <c r="J697" i="46"/>
  <c r="J698" i="46"/>
  <c r="J699" i="46"/>
  <c r="J700" i="46"/>
  <c r="J701" i="46"/>
  <c r="J702" i="46"/>
  <c r="J703" i="46"/>
  <c r="J704" i="46"/>
  <c r="J705" i="46"/>
  <c r="J706" i="46"/>
  <c r="J707" i="46"/>
  <c r="J708" i="46"/>
  <c r="J709" i="46"/>
  <c r="J710" i="46"/>
  <c r="J711" i="46"/>
  <c r="J712" i="46"/>
  <c r="J713" i="46"/>
  <c r="J714" i="46"/>
  <c r="J715" i="46"/>
  <c r="J716" i="46"/>
  <c r="J717" i="46"/>
  <c r="J718" i="46"/>
  <c r="J719" i="46"/>
  <c r="J720" i="46"/>
  <c r="J721" i="46"/>
  <c r="J722" i="46"/>
  <c r="J723" i="46"/>
  <c r="J724" i="46"/>
  <c r="J725" i="46"/>
  <c r="J726" i="46"/>
  <c r="J727" i="46"/>
  <c r="J728" i="46"/>
  <c r="J729" i="46"/>
  <c r="J730" i="46"/>
  <c r="J731" i="46"/>
  <c r="J732" i="46"/>
  <c r="J733" i="46"/>
  <c r="J734" i="46"/>
  <c r="J735" i="46"/>
  <c r="J736" i="46"/>
  <c r="J737" i="46"/>
  <c r="J738" i="46"/>
  <c r="J739" i="46"/>
  <c r="J740" i="46"/>
  <c r="J741" i="46"/>
  <c r="J742" i="46"/>
  <c r="J743" i="46"/>
  <c r="J744" i="46"/>
  <c r="J745" i="46"/>
  <c r="J746" i="46"/>
  <c r="J747" i="46"/>
  <c r="J748" i="46"/>
  <c r="J749" i="46"/>
  <c r="J750" i="46"/>
  <c r="J751" i="46"/>
  <c r="J752" i="46"/>
  <c r="J753" i="46"/>
  <c r="J754" i="46"/>
  <c r="J755" i="46"/>
  <c r="J756" i="46"/>
  <c r="J757" i="46"/>
  <c r="J758" i="46"/>
  <c r="J759" i="46"/>
  <c r="J760" i="46"/>
  <c r="J761" i="46"/>
  <c r="J762" i="46"/>
  <c r="J763" i="46"/>
  <c r="J764" i="46"/>
  <c r="J765" i="46"/>
  <c r="J766" i="46"/>
  <c r="J767" i="46"/>
  <c r="J768" i="46"/>
  <c r="J769" i="46"/>
  <c r="J770" i="46"/>
  <c r="J771" i="46"/>
  <c r="J772" i="46"/>
  <c r="J773" i="46"/>
  <c r="J774" i="46"/>
  <c r="J775" i="46"/>
  <c r="J776" i="46"/>
  <c r="J777" i="46"/>
  <c r="J778" i="46"/>
  <c r="J779" i="46"/>
  <c r="J780" i="46"/>
  <c r="J781" i="46"/>
  <c r="J782" i="46"/>
  <c r="J783" i="46"/>
  <c r="J784" i="46"/>
  <c r="J785" i="46"/>
  <c r="J786" i="46"/>
  <c r="J787" i="46"/>
  <c r="J788" i="46"/>
  <c r="J789" i="46"/>
  <c r="J790" i="46"/>
  <c r="J791" i="46"/>
  <c r="J792" i="46"/>
  <c r="J793" i="46"/>
  <c r="J794" i="46"/>
  <c r="J795" i="46"/>
  <c r="J796" i="46"/>
  <c r="J797" i="46"/>
  <c r="J798" i="46"/>
  <c r="J799" i="46"/>
  <c r="J800" i="46"/>
  <c r="J801" i="46"/>
  <c r="J802" i="46"/>
  <c r="J803" i="46"/>
  <c r="J804" i="46"/>
  <c r="J805" i="46"/>
  <c r="J806" i="46"/>
  <c r="J807" i="46"/>
  <c r="J808" i="46"/>
  <c r="J809" i="46"/>
  <c r="J810" i="46"/>
  <c r="J811" i="46"/>
  <c r="J812" i="46"/>
  <c r="J813" i="46"/>
  <c r="J814" i="46"/>
  <c r="J815" i="46"/>
  <c r="J816" i="46"/>
  <c r="J817" i="46"/>
  <c r="J818" i="46"/>
  <c r="J819" i="46"/>
  <c r="J820" i="46"/>
  <c r="J821" i="46"/>
  <c r="J822" i="46"/>
  <c r="J823" i="46"/>
  <c r="J824" i="46"/>
  <c r="J825" i="46"/>
  <c r="J826" i="46"/>
  <c r="J827" i="46"/>
  <c r="J828" i="46"/>
  <c r="J829" i="46"/>
  <c r="J830" i="46"/>
  <c r="J831" i="46"/>
  <c r="J832" i="46"/>
  <c r="J833" i="46"/>
  <c r="J834" i="46"/>
  <c r="J835" i="46"/>
  <c r="J836" i="46"/>
  <c r="J837" i="46"/>
  <c r="J838" i="46"/>
  <c r="J839" i="46"/>
  <c r="J840" i="46"/>
  <c r="J841" i="46"/>
  <c r="J842" i="46"/>
  <c r="J843" i="46"/>
  <c r="K4" i="46"/>
  <c r="K5" i="46"/>
  <c r="K6" i="46"/>
  <c r="K7" i="46"/>
  <c r="K8" i="46"/>
  <c r="K9" i="46"/>
  <c r="K10" i="46"/>
  <c r="K11" i="46"/>
  <c r="K12" i="46"/>
  <c r="K13" i="46"/>
  <c r="K14" i="46"/>
  <c r="K15" i="46"/>
  <c r="K16" i="46"/>
  <c r="K17" i="46"/>
  <c r="K18" i="46"/>
  <c r="K19" i="46"/>
  <c r="K20" i="46"/>
  <c r="K21" i="46"/>
  <c r="K22" i="46"/>
  <c r="K23" i="46"/>
  <c r="K24" i="46"/>
  <c r="K25" i="46"/>
  <c r="K26" i="46"/>
  <c r="K27" i="46"/>
  <c r="K28" i="46"/>
  <c r="K29" i="46"/>
  <c r="K30" i="46"/>
  <c r="K31" i="46"/>
  <c r="K32" i="46"/>
  <c r="K33" i="46"/>
  <c r="K34" i="46"/>
  <c r="K35" i="46"/>
  <c r="K36" i="46"/>
  <c r="K37" i="46"/>
  <c r="K38" i="46"/>
  <c r="K39" i="46"/>
  <c r="K40" i="46"/>
  <c r="K41" i="46"/>
  <c r="K42" i="46"/>
  <c r="K43" i="46"/>
  <c r="K44" i="46"/>
  <c r="K45" i="46"/>
  <c r="K46" i="46"/>
  <c r="K47" i="46"/>
  <c r="K48" i="46"/>
  <c r="K49" i="46"/>
  <c r="K50" i="46"/>
  <c r="K51" i="46"/>
  <c r="K52" i="46"/>
  <c r="K53" i="46"/>
  <c r="K54" i="46"/>
  <c r="K55" i="46"/>
  <c r="K56" i="46"/>
  <c r="K57" i="46"/>
  <c r="K58" i="46"/>
  <c r="K59" i="46"/>
  <c r="K60" i="46"/>
  <c r="K61" i="46"/>
  <c r="K62" i="46"/>
  <c r="K63" i="46"/>
  <c r="K64" i="46"/>
  <c r="K65" i="46"/>
  <c r="K66" i="46"/>
  <c r="K67" i="46"/>
  <c r="K68" i="46"/>
  <c r="K69" i="46"/>
  <c r="K70" i="46"/>
  <c r="K71" i="46"/>
  <c r="K72" i="46"/>
  <c r="K73" i="46"/>
  <c r="K74" i="46"/>
  <c r="K75" i="46"/>
  <c r="K76" i="46"/>
  <c r="K77" i="46"/>
  <c r="K78" i="46"/>
  <c r="K79" i="46"/>
  <c r="K80" i="46"/>
  <c r="K81" i="46"/>
  <c r="K82" i="46"/>
  <c r="K83" i="46"/>
  <c r="K84" i="46"/>
  <c r="K85" i="46"/>
  <c r="K86" i="46"/>
  <c r="K87" i="46"/>
  <c r="K88" i="46"/>
  <c r="K89" i="46"/>
  <c r="K90" i="46"/>
  <c r="K91" i="46"/>
  <c r="K92" i="46"/>
  <c r="K93" i="46"/>
  <c r="K94" i="46"/>
  <c r="K95" i="46"/>
  <c r="K96" i="46"/>
  <c r="K97" i="46"/>
  <c r="K98" i="46"/>
  <c r="K99" i="46"/>
  <c r="K100" i="46"/>
  <c r="K101" i="46"/>
  <c r="K102" i="46"/>
  <c r="K103" i="46"/>
  <c r="K104" i="46"/>
  <c r="K105" i="46"/>
  <c r="K106" i="46"/>
  <c r="K107" i="46"/>
  <c r="K108" i="46"/>
  <c r="K109" i="46"/>
  <c r="K110" i="46"/>
  <c r="K111" i="46"/>
  <c r="K112" i="46"/>
  <c r="K113" i="46"/>
  <c r="K114" i="46"/>
  <c r="K115" i="46"/>
  <c r="K116" i="46"/>
  <c r="K117" i="46"/>
  <c r="K118" i="46"/>
  <c r="K119" i="46"/>
  <c r="K120" i="46"/>
  <c r="K121" i="46"/>
  <c r="K122" i="46"/>
  <c r="K123" i="46"/>
  <c r="K124" i="46"/>
  <c r="K125" i="46"/>
  <c r="K126" i="46"/>
  <c r="K127" i="46"/>
  <c r="K128" i="46"/>
  <c r="K129" i="46"/>
  <c r="K130" i="46"/>
  <c r="K131" i="46"/>
  <c r="K132" i="46"/>
  <c r="K133" i="46"/>
  <c r="K134" i="46"/>
  <c r="K135" i="46"/>
  <c r="K136" i="46"/>
  <c r="K137" i="46"/>
  <c r="K138" i="46"/>
  <c r="K139" i="46"/>
  <c r="K140" i="46"/>
  <c r="K141" i="46"/>
  <c r="K142" i="46"/>
  <c r="K143" i="46"/>
  <c r="K144" i="46"/>
  <c r="K145" i="46"/>
  <c r="K146" i="46"/>
  <c r="K147" i="46"/>
  <c r="K148" i="46"/>
  <c r="K149" i="46"/>
  <c r="K150" i="46"/>
  <c r="K151" i="46"/>
  <c r="K152" i="46"/>
  <c r="K153" i="46"/>
  <c r="K154" i="46"/>
  <c r="K155" i="46"/>
  <c r="K156" i="46"/>
  <c r="K157" i="46"/>
  <c r="K158" i="46"/>
  <c r="K159" i="46"/>
  <c r="K160" i="46"/>
  <c r="K161" i="46"/>
  <c r="K162" i="46"/>
  <c r="K163" i="46"/>
  <c r="K164" i="46"/>
  <c r="K165" i="46"/>
  <c r="K166" i="46"/>
  <c r="K167" i="46"/>
  <c r="K168" i="46"/>
  <c r="K169" i="46"/>
  <c r="K170" i="46"/>
  <c r="K171" i="46"/>
  <c r="K172" i="46"/>
  <c r="K173" i="46"/>
  <c r="K174" i="46"/>
  <c r="K175" i="46"/>
  <c r="K176" i="46"/>
  <c r="K177" i="46"/>
  <c r="K178" i="46"/>
  <c r="K179" i="46"/>
  <c r="K180" i="46"/>
  <c r="K181" i="46"/>
  <c r="K182" i="46"/>
  <c r="K183" i="46"/>
  <c r="K184" i="46"/>
  <c r="K185" i="46"/>
  <c r="K186" i="46"/>
  <c r="K187" i="46"/>
  <c r="K188" i="46"/>
  <c r="K189" i="46"/>
  <c r="K190" i="46"/>
  <c r="K191" i="46"/>
  <c r="K192" i="46"/>
  <c r="K193" i="46"/>
  <c r="K194" i="46"/>
  <c r="K195" i="46"/>
  <c r="K196" i="46"/>
  <c r="K197" i="46"/>
  <c r="K198" i="46"/>
  <c r="K199" i="46"/>
  <c r="K200" i="46"/>
  <c r="K201" i="46"/>
  <c r="K202" i="46"/>
  <c r="K203" i="46"/>
  <c r="K204" i="46"/>
  <c r="K205" i="46"/>
  <c r="K206" i="46"/>
  <c r="K207" i="46"/>
  <c r="K208" i="46"/>
  <c r="K209" i="46"/>
  <c r="K210" i="46"/>
  <c r="K211" i="46"/>
  <c r="K212" i="46"/>
  <c r="K213" i="46"/>
  <c r="K214" i="46"/>
  <c r="K215" i="46"/>
  <c r="K216" i="46"/>
  <c r="K217" i="46"/>
  <c r="K218" i="46"/>
  <c r="K219" i="46"/>
  <c r="K220" i="46"/>
  <c r="K221" i="46"/>
  <c r="K222" i="46"/>
  <c r="K223" i="46"/>
  <c r="K224" i="46"/>
  <c r="K225" i="46"/>
  <c r="K226" i="46"/>
  <c r="K227" i="46"/>
  <c r="K228" i="46"/>
  <c r="K229" i="46"/>
  <c r="K230" i="46"/>
  <c r="K231" i="46"/>
  <c r="K232" i="46"/>
  <c r="K233" i="46"/>
  <c r="K234" i="46"/>
  <c r="K235" i="46"/>
  <c r="K236" i="46"/>
  <c r="K237" i="46"/>
  <c r="K238" i="46"/>
  <c r="K239" i="46"/>
  <c r="K240" i="46"/>
  <c r="K241" i="46"/>
  <c r="K242" i="46"/>
  <c r="K243" i="46"/>
  <c r="K244" i="46"/>
  <c r="K245" i="46"/>
  <c r="K246" i="46"/>
  <c r="K247" i="46"/>
  <c r="K248" i="46"/>
  <c r="K249" i="46"/>
  <c r="K250" i="46"/>
  <c r="K251" i="46"/>
  <c r="K252" i="46"/>
  <c r="K253" i="46"/>
  <c r="K254" i="46"/>
  <c r="K255" i="46"/>
  <c r="K256" i="46"/>
  <c r="K257" i="46"/>
  <c r="K258" i="46"/>
  <c r="K259" i="46"/>
  <c r="K260" i="46"/>
  <c r="K261" i="46"/>
  <c r="K262" i="46"/>
  <c r="K263" i="46"/>
  <c r="K264" i="46"/>
  <c r="K265" i="46"/>
  <c r="K266" i="46"/>
  <c r="K267" i="46"/>
  <c r="K268" i="46"/>
  <c r="K269" i="46"/>
  <c r="K270" i="46"/>
  <c r="K271" i="46"/>
  <c r="K272" i="46"/>
  <c r="K273" i="46"/>
  <c r="K274" i="46"/>
  <c r="K275" i="46"/>
  <c r="K276" i="46"/>
  <c r="K277" i="46"/>
  <c r="K278" i="46"/>
  <c r="K279" i="46"/>
  <c r="K280" i="46"/>
  <c r="K281" i="46"/>
  <c r="K282" i="46"/>
  <c r="K283" i="46"/>
  <c r="K284" i="46"/>
  <c r="K285" i="46"/>
  <c r="K286" i="46"/>
  <c r="K287" i="46"/>
  <c r="K288" i="46"/>
  <c r="K289" i="46"/>
  <c r="K290" i="46"/>
  <c r="K291" i="46"/>
  <c r="K292" i="46"/>
  <c r="K293" i="46"/>
  <c r="K294" i="46"/>
  <c r="K295" i="46"/>
  <c r="K296" i="46"/>
  <c r="K297" i="46"/>
  <c r="K298" i="46"/>
  <c r="K299" i="46"/>
  <c r="K300" i="46"/>
  <c r="K301" i="46"/>
  <c r="K302" i="46"/>
  <c r="K303" i="46"/>
  <c r="K304" i="46"/>
  <c r="K305" i="46"/>
  <c r="K306" i="46"/>
  <c r="K307" i="46"/>
  <c r="K308" i="46"/>
  <c r="K309" i="46"/>
  <c r="K310" i="46"/>
  <c r="K311" i="46"/>
  <c r="K312" i="46"/>
  <c r="K313" i="46"/>
  <c r="K314" i="46"/>
  <c r="K315" i="46"/>
  <c r="K316" i="46"/>
  <c r="K317" i="46"/>
  <c r="K318" i="46"/>
  <c r="K319" i="46"/>
  <c r="K320" i="46"/>
  <c r="K321" i="46"/>
  <c r="K322" i="46"/>
  <c r="K323" i="46"/>
  <c r="K324" i="46"/>
  <c r="K325" i="46"/>
  <c r="K326" i="46"/>
  <c r="K327" i="46"/>
  <c r="K328" i="46"/>
  <c r="K329" i="46"/>
  <c r="K330" i="46"/>
  <c r="K331" i="46"/>
  <c r="K332" i="46"/>
  <c r="K333" i="46"/>
  <c r="K334" i="46"/>
  <c r="K335" i="46"/>
  <c r="K336" i="46"/>
  <c r="K337" i="46"/>
  <c r="K338" i="46"/>
  <c r="K339" i="46"/>
  <c r="K340" i="46"/>
  <c r="K341" i="46"/>
  <c r="K342" i="46"/>
  <c r="K343" i="46"/>
  <c r="K344" i="46"/>
  <c r="K345" i="46"/>
  <c r="K346" i="46"/>
  <c r="K347" i="46"/>
  <c r="K348" i="46"/>
  <c r="K349" i="46"/>
  <c r="K350" i="46"/>
  <c r="K351" i="46"/>
  <c r="K352" i="46"/>
  <c r="K353" i="46"/>
  <c r="K354" i="46"/>
  <c r="K355" i="46"/>
  <c r="K356" i="46"/>
  <c r="K357" i="46"/>
  <c r="K358" i="46"/>
  <c r="K359" i="46"/>
  <c r="K360" i="46"/>
  <c r="K361" i="46"/>
  <c r="K362" i="46"/>
  <c r="K363" i="46"/>
  <c r="K364" i="46"/>
  <c r="K365" i="46"/>
  <c r="K366" i="46"/>
  <c r="K367" i="46"/>
  <c r="K368" i="46"/>
  <c r="K369" i="46"/>
  <c r="K370" i="46"/>
  <c r="K371" i="46"/>
  <c r="K372" i="46"/>
  <c r="K373" i="46"/>
  <c r="K374" i="46"/>
  <c r="K375" i="46"/>
  <c r="K376" i="46"/>
  <c r="K377" i="46"/>
  <c r="K378" i="46"/>
  <c r="K379" i="46"/>
  <c r="K380" i="46"/>
  <c r="K381" i="46"/>
  <c r="K382" i="46"/>
  <c r="K383" i="46"/>
  <c r="K384" i="46"/>
  <c r="K385" i="46"/>
  <c r="K386" i="46"/>
  <c r="K387" i="46"/>
  <c r="K388" i="46"/>
  <c r="K389" i="46"/>
  <c r="K390" i="46"/>
  <c r="K391" i="46"/>
  <c r="K392" i="46"/>
  <c r="K393" i="46"/>
  <c r="K394" i="46"/>
  <c r="K395" i="46"/>
  <c r="K396" i="46"/>
  <c r="K397" i="46"/>
  <c r="K398" i="46"/>
  <c r="K399" i="46"/>
  <c r="K400" i="46"/>
  <c r="K401" i="46"/>
  <c r="K402" i="46"/>
  <c r="K403" i="46"/>
  <c r="K404" i="46"/>
  <c r="K405" i="46"/>
  <c r="K406" i="46"/>
  <c r="K407" i="46"/>
  <c r="K408" i="46"/>
  <c r="K409" i="46"/>
  <c r="K410" i="46"/>
  <c r="K411" i="46"/>
  <c r="K412" i="46"/>
  <c r="K413" i="46"/>
  <c r="K414" i="46"/>
  <c r="K415" i="46"/>
  <c r="K416" i="46"/>
  <c r="K417" i="46"/>
  <c r="K418" i="46"/>
  <c r="K419" i="46"/>
  <c r="K420" i="46"/>
  <c r="K421" i="46"/>
  <c r="K422" i="46"/>
  <c r="K423" i="46"/>
  <c r="K424" i="46"/>
  <c r="K425" i="46"/>
  <c r="K426" i="46"/>
  <c r="K427" i="46"/>
  <c r="K428" i="46"/>
  <c r="K429" i="46"/>
  <c r="K430" i="46"/>
  <c r="K431" i="46"/>
  <c r="K432" i="46"/>
  <c r="K433" i="46"/>
  <c r="K434" i="46"/>
  <c r="K435" i="46"/>
  <c r="K436" i="46"/>
  <c r="K437" i="46"/>
  <c r="K438" i="46"/>
  <c r="K439" i="46"/>
  <c r="K440" i="46"/>
  <c r="K441" i="46"/>
  <c r="K442" i="46"/>
  <c r="K443" i="46"/>
  <c r="K444" i="46"/>
  <c r="K445" i="46"/>
  <c r="K446" i="46"/>
  <c r="K447" i="46"/>
  <c r="K448" i="46"/>
  <c r="K449" i="46"/>
  <c r="K450" i="46"/>
  <c r="K451" i="46"/>
  <c r="K452" i="46"/>
  <c r="K453" i="46"/>
  <c r="K454" i="46"/>
  <c r="K455" i="46"/>
  <c r="K456" i="46"/>
  <c r="K457" i="46"/>
  <c r="K458" i="46"/>
  <c r="K459" i="46"/>
  <c r="K460" i="46"/>
  <c r="K461" i="46"/>
  <c r="K462" i="46"/>
  <c r="K463" i="46"/>
  <c r="K464" i="46"/>
  <c r="K465" i="46"/>
  <c r="K466" i="46"/>
  <c r="K467" i="46"/>
  <c r="K468" i="46"/>
  <c r="K469" i="46"/>
  <c r="K470" i="46"/>
  <c r="K471" i="46"/>
  <c r="K472" i="46"/>
  <c r="K473" i="46"/>
  <c r="K474" i="46"/>
  <c r="K475" i="46"/>
  <c r="K476" i="46"/>
  <c r="K477" i="46"/>
  <c r="K478" i="46"/>
  <c r="K479" i="46"/>
  <c r="K480" i="46"/>
  <c r="K481" i="46"/>
  <c r="K482" i="46"/>
  <c r="K483" i="46"/>
  <c r="K484" i="46"/>
  <c r="K485" i="46"/>
  <c r="K486" i="46"/>
  <c r="K487" i="46"/>
  <c r="K488" i="46"/>
  <c r="K489" i="46"/>
  <c r="K490" i="46"/>
  <c r="K491" i="46"/>
  <c r="K492" i="46"/>
  <c r="K493" i="46"/>
  <c r="K494" i="46"/>
  <c r="K495" i="46"/>
  <c r="K496" i="46"/>
  <c r="K497" i="46"/>
  <c r="K498" i="46"/>
  <c r="K499" i="46"/>
  <c r="K500" i="46"/>
  <c r="K501" i="46"/>
  <c r="K502" i="46"/>
  <c r="K503" i="46"/>
  <c r="K504" i="46"/>
  <c r="K505" i="46"/>
  <c r="K506" i="46"/>
  <c r="K507" i="46"/>
  <c r="K508" i="46"/>
  <c r="K509" i="46"/>
  <c r="K510" i="46"/>
  <c r="K511" i="46"/>
  <c r="K512" i="46"/>
  <c r="K513" i="46"/>
  <c r="K514" i="46"/>
  <c r="K515" i="46"/>
  <c r="K516" i="46"/>
  <c r="K517" i="46"/>
  <c r="K518" i="46"/>
  <c r="K519" i="46"/>
  <c r="K520" i="46"/>
  <c r="K521" i="46"/>
  <c r="K522" i="46"/>
  <c r="K523" i="46"/>
  <c r="K524" i="46"/>
  <c r="K525" i="46"/>
  <c r="K526" i="46"/>
  <c r="K527" i="46"/>
  <c r="K528" i="46"/>
  <c r="K529" i="46"/>
  <c r="K530" i="46"/>
  <c r="K531" i="46"/>
  <c r="K532" i="46"/>
  <c r="K533" i="46"/>
  <c r="K534" i="46"/>
  <c r="K535" i="46"/>
  <c r="K536" i="46"/>
  <c r="K537" i="46"/>
  <c r="K538" i="46"/>
  <c r="K539" i="46"/>
  <c r="K540" i="46"/>
  <c r="K541" i="46"/>
  <c r="K542" i="46"/>
  <c r="K543" i="46"/>
  <c r="K544" i="46"/>
  <c r="K545" i="46"/>
  <c r="K546" i="46"/>
  <c r="K547" i="46"/>
  <c r="K548" i="46"/>
  <c r="K549" i="46"/>
  <c r="K550" i="46"/>
  <c r="K551" i="46"/>
  <c r="K552" i="46"/>
  <c r="K553" i="46"/>
  <c r="K554" i="46"/>
  <c r="K555" i="46"/>
  <c r="K556" i="46"/>
  <c r="K557" i="46"/>
  <c r="K558" i="46"/>
  <c r="K559" i="46"/>
  <c r="K560" i="46"/>
  <c r="K561" i="46"/>
  <c r="K562" i="46"/>
  <c r="K563" i="46"/>
  <c r="K564" i="46"/>
  <c r="K565" i="46"/>
  <c r="K566" i="46"/>
  <c r="K567" i="46"/>
  <c r="K568" i="46"/>
  <c r="K569" i="46"/>
  <c r="K570" i="46"/>
  <c r="K571" i="46"/>
  <c r="K572" i="46"/>
  <c r="K573" i="46"/>
  <c r="K574" i="46"/>
  <c r="K575" i="46"/>
  <c r="K576" i="46"/>
  <c r="K577" i="46"/>
  <c r="K578" i="46"/>
  <c r="K579" i="46"/>
  <c r="K580" i="46"/>
  <c r="K581" i="46"/>
  <c r="K582" i="46"/>
  <c r="K583" i="46"/>
  <c r="K584" i="46"/>
  <c r="K585" i="46"/>
  <c r="K586" i="46"/>
  <c r="K587" i="46"/>
  <c r="K588" i="46"/>
  <c r="K589" i="46"/>
  <c r="K590" i="46"/>
  <c r="K591" i="46"/>
  <c r="K592" i="46"/>
  <c r="K593" i="46"/>
  <c r="K594" i="46"/>
  <c r="K595" i="46"/>
  <c r="K596" i="46"/>
  <c r="K597" i="46"/>
  <c r="K598" i="46"/>
  <c r="K599" i="46"/>
  <c r="K600" i="46"/>
  <c r="K601" i="46"/>
  <c r="K602" i="46"/>
  <c r="K603" i="46"/>
  <c r="K604" i="46"/>
  <c r="K605" i="46"/>
  <c r="K606" i="46"/>
  <c r="K607" i="46"/>
  <c r="K608" i="46"/>
  <c r="K609" i="46"/>
  <c r="K610" i="46"/>
  <c r="K611" i="46"/>
  <c r="K612" i="46"/>
  <c r="K613" i="46"/>
  <c r="K614" i="46"/>
  <c r="K615" i="46"/>
  <c r="K616" i="46"/>
  <c r="K617" i="46"/>
  <c r="K618" i="46"/>
  <c r="K619" i="46"/>
  <c r="K620" i="46"/>
  <c r="K621" i="46"/>
  <c r="K622" i="46"/>
  <c r="K623" i="46"/>
  <c r="K624" i="46"/>
  <c r="K625" i="46"/>
  <c r="K626" i="46"/>
  <c r="K627" i="46"/>
  <c r="K628" i="46"/>
  <c r="K629" i="46"/>
  <c r="K630" i="46"/>
  <c r="K631" i="46"/>
  <c r="K632" i="46"/>
  <c r="K633" i="46"/>
  <c r="K634" i="46"/>
  <c r="K635" i="46"/>
  <c r="K636" i="46"/>
  <c r="K637" i="46"/>
  <c r="K638" i="46"/>
  <c r="K639" i="46"/>
  <c r="K640" i="46"/>
  <c r="K641" i="46"/>
  <c r="K642" i="46"/>
  <c r="K643" i="46"/>
  <c r="K644" i="46"/>
  <c r="K645" i="46"/>
  <c r="K646" i="46"/>
  <c r="K647" i="46"/>
  <c r="K648" i="46"/>
  <c r="K649" i="46"/>
  <c r="K650" i="46"/>
  <c r="K651" i="46"/>
  <c r="K652" i="46"/>
  <c r="K653" i="46"/>
  <c r="K654" i="46"/>
  <c r="K655" i="46"/>
  <c r="K656" i="46"/>
  <c r="K657" i="46"/>
  <c r="K658" i="46"/>
  <c r="K659" i="46"/>
  <c r="K660" i="46"/>
  <c r="K661" i="46"/>
  <c r="K662" i="46"/>
  <c r="K663" i="46"/>
  <c r="K664" i="46"/>
  <c r="K665" i="46"/>
  <c r="K666" i="46"/>
  <c r="K667" i="46"/>
  <c r="K668" i="46"/>
  <c r="K669" i="46"/>
  <c r="K670" i="46"/>
  <c r="K671" i="46"/>
  <c r="K672" i="46"/>
  <c r="K673" i="46"/>
  <c r="K674" i="46"/>
  <c r="K675" i="46"/>
  <c r="K676" i="46"/>
  <c r="K677" i="46"/>
  <c r="K678" i="46"/>
  <c r="K679" i="46"/>
  <c r="K680" i="46"/>
  <c r="K681" i="46"/>
  <c r="K682" i="46"/>
  <c r="K683" i="46"/>
  <c r="K684" i="46"/>
  <c r="K685" i="46"/>
  <c r="K686" i="46"/>
  <c r="K687" i="46"/>
  <c r="K688" i="46"/>
  <c r="K689" i="46"/>
  <c r="K690" i="46"/>
  <c r="K691" i="46"/>
  <c r="K692" i="46"/>
  <c r="K693" i="46"/>
  <c r="K694" i="46"/>
  <c r="K695" i="46"/>
  <c r="K696" i="46"/>
  <c r="K697" i="46"/>
  <c r="K698" i="46"/>
  <c r="K699" i="46"/>
  <c r="K700" i="46"/>
  <c r="K701" i="46"/>
  <c r="K702" i="46"/>
  <c r="K703" i="46"/>
  <c r="K704" i="46"/>
  <c r="K705" i="46"/>
  <c r="K706" i="46"/>
  <c r="K707" i="46"/>
  <c r="K708" i="46"/>
  <c r="K709" i="46"/>
  <c r="K710" i="46"/>
  <c r="K711" i="46"/>
  <c r="K712" i="46"/>
  <c r="K713" i="46"/>
  <c r="K714" i="46"/>
  <c r="K715" i="46"/>
  <c r="K716" i="46"/>
  <c r="K717" i="46"/>
  <c r="K718" i="46"/>
  <c r="K719" i="46"/>
  <c r="K720" i="46"/>
  <c r="K721" i="46"/>
  <c r="K722" i="46"/>
  <c r="K723" i="46"/>
  <c r="K724" i="46"/>
  <c r="K725" i="46"/>
  <c r="K726" i="46"/>
  <c r="K727" i="46"/>
  <c r="K728" i="46"/>
  <c r="K729" i="46"/>
  <c r="K730" i="46"/>
  <c r="K731" i="46"/>
  <c r="K732" i="46"/>
  <c r="K733" i="46"/>
  <c r="K734" i="46"/>
  <c r="K735" i="46"/>
  <c r="K736" i="46"/>
  <c r="K737" i="46"/>
  <c r="K738" i="46"/>
  <c r="K739" i="46"/>
  <c r="K740" i="46"/>
  <c r="K741" i="46"/>
  <c r="K742" i="46"/>
  <c r="K743" i="46"/>
  <c r="K744" i="46"/>
  <c r="K745" i="46"/>
  <c r="K746" i="46"/>
  <c r="K747" i="46"/>
  <c r="K748" i="46"/>
  <c r="K749" i="46"/>
  <c r="K750" i="46"/>
  <c r="K751" i="46"/>
  <c r="K752" i="46"/>
  <c r="K753" i="46"/>
  <c r="K754" i="46"/>
  <c r="K755" i="46"/>
  <c r="K756" i="46"/>
  <c r="K757" i="46"/>
  <c r="K758" i="46"/>
  <c r="K759" i="46"/>
  <c r="K760" i="46"/>
  <c r="K761" i="46"/>
  <c r="K762" i="46"/>
  <c r="K763" i="46"/>
  <c r="K764" i="46"/>
  <c r="K765" i="46"/>
  <c r="K766" i="46"/>
  <c r="K767" i="46"/>
  <c r="K768" i="46"/>
  <c r="K769" i="46"/>
  <c r="K770" i="46"/>
  <c r="K771" i="46"/>
  <c r="K772" i="46"/>
  <c r="K773" i="46"/>
  <c r="K774" i="46"/>
  <c r="K775" i="46"/>
  <c r="K776" i="46"/>
  <c r="K777" i="46"/>
  <c r="K778" i="46"/>
  <c r="K779" i="46"/>
  <c r="K780" i="46"/>
  <c r="K781" i="46"/>
  <c r="K782" i="46"/>
  <c r="K783" i="46"/>
  <c r="K784" i="46"/>
  <c r="K785" i="46"/>
  <c r="K786" i="46"/>
  <c r="K787" i="46"/>
  <c r="K788" i="46"/>
  <c r="K789" i="46"/>
  <c r="K790" i="46"/>
  <c r="K791" i="46"/>
  <c r="K792" i="46"/>
  <c r="K793" i="46"/>
  <c r="K794" i="46"/>
  <c r="K795" i="46"/>
  <c r="K796" i="46"/>
  <c r="K797" i="46"/>
  <c r="K798" i="46"/>
  <c r="K799" i="46"/>
  <c r="K800" i="46"/>
  <c r="K801" i="46"/>
  <c r="K802" i="46"/>
  <c r="K803" i="46"/>
  <c r="K804" i="46"/>
  <c r="K805" i="46"/>
  <c r="K806" i="46"/>
  <c r="K807" i="46"/>
  <c r="K808" i="46"/>
  <c r="K809" i="46"/>
  <c r="K810" i="46"/>
  <c r="K811" i="46"/>
  <c r="K812" i="46"/>
  <c r="K813" i="46"/>
  <c r="K814" i="46"/>
  <c r="K815" i="46"/>
  <c r="K816" i="46"/>
  <c r="K817" i="46"/>
  <c r="K818" i="46"/>
  <c r="K819" i="46"/>
  <c r="K820" i="46"/>
  <c r="K821" i="46"/>
  <c r="K822" i="46"/>
  <c r="K823" i="46"/>
  <c r="K824" i="46"/>
  <c r="K825" i="46"/>
  <c r="K826" i="46"/>
  <c r="K827" i="46"/>
  <c r="K828" i="46"/>
  <c r="K829" i="46"/>
  <c r="K830" i="46"/>
  <c r="K831" i="46"/>
  <c r="K832" i="46"/>
  <c r="K833" i="46"/>
  <c r="K834" i="46"/>
  <c r="K835" i="46"/>
  <c r="K836" i="46"/>
  <c r="K837" i="46"/>
  <c r="K838" i="46"/>
  <c r="K839" i="46"/>
  <c r="K840" i="46"/>
  <c r="K841" i="46"/>
  <c r="K842" i="46"/>
  <c r="K843" i="46"/>
  <c r="B6" i="23"/>
  <c r="B7" i="23"/>
  <c r="B8" i="23"/>
  <c r="B9" i="23"/>
  <c r="B10" i="23"/>
  <c r="J1111" i="46"/>
  <c r="K1111" i="46"/>
  <c r="B11" i="23"/>
  <c r="B12" i="23"/>
  <c r="B13" i="23"/>
  <c r="J911" i="46"/>
  <c r="J1046" i="46"/>
  <c r="K911" i="46"/>
  <c r="K1046" i="46"/>
  <c r="B14" i="23"/>
  <c r="J862" i="46"/>
  <c r="K862" i="46"/>
  <c r="J887" i="46"/>
  <c r="J909" i="46"/>
  <c r="J933" i="46"/>
  <c r="J950" i="46"/>
  <c r="J1025" i="46"/>
  <c r="J1026" i="46"/>
  <c r="J1057" i="46"/>
  <c r="J1078" i="46"/>
  <c r="J1102" i="46"/>
  <c r="K1102" i="46"/>
  <c r="J1103" i="46"/>
  <c r="K1103" i="46"/>
  <c r="J1104" i="46"/>
  <c r="K1104" i="46"/>
  <c r="K887" i="46"/>
  <c r="K909" i="46"/>
  <c r="K933" i="46"/>
  <c r="K950" i="46"/>
  <c r="J877" i="46"/>
  <c r="J900" i="46"/>
  <c r="J918" i="46"/>
  <c r="J919" i="46"/>
  <c r="J926" i="46"/>
  <c r="J935" i="46"/>
  <c r="J936" i="46"/>
  <c r="J938" i="46"/>
  <c r="J942" i="46"/>
  <c r="J946" i="46"/>
  <c r="J947" i="46"/>
  <c r="J951" i="46"/>
  <c r="J953" i="46"/>
  <c r="J957" i="46"/>
  <c r="J959" i="46"/>
  <c r="J962" i="46"/>
  <c r="J968" i="46"/>
  <c r="J973" i="46"/>
  <c r="J978" i="46"/>
  <c r="J981" i="46"/>
  <c r="J982" i="46"/>
  <c r="J983" i="46"/>
  <c r="J987" i="46"/>
  <c r="J989" i="46"/>
  <c r="J992" i="46"/>
  <c r="J993" i="46"/>
  <c r="J994" i="46"/>
  <c r="J995" i="46"/>
  <c r="J996" i="46"/>
  <c r="J1000" i="46"/>
  <c r="J1001" i="46"/>
  <c r="J1006" i="46"/>
  <c r="J1007" i="46"/>
  <c r="J1012" i="46"/>
  <c r="J1016" i="46"/>
  <c r="J1021" i="46"/>
  <c r="J1024" i="46"/>
  <c r="J1028" i="46"/>
  <c r="J1030" i="46"/>
  <c r="J1034" i="46"/>
  <c r="J1038" i="46"/>
  <c r="J1039" i="46"/>
  <c r="J1040" i="46"/>
  <c r="J1043" i="46"/>
  <c r="J1044" i="46"/>
  <c r="J1045" i="46"/>
  <c r="J1050" i="46"/>
  <c r="J1051" i="46"/>
  <c r="J1056" i="46"/>
  <c r="J1058" i="46"/>
  <c r="J1061" i="46"/>
  <c r="J1062" i="46"/>
  <c r="J1063" i="46"/>
  <c r="J1065" i="46"/>
  <c r="J1072" i="46"/>
  <c r="J1073" i="46"/>
  <c r="J1079" i="46"/>
  <c r="J1084" i="46"/>
  <c r="J1085" i="46"/>
  <c r="J1086" i="46"/>
  <c r="J1087" i="46"/>
  <c r="J1088" i="46"/>
  <c r="J1089" i="46"/>
  <c r="J1090" i="46"/>
  <c r="J1091" i="46"/>
  <c r="J1092" i="46"/>
  <c r="J1093" i="46"/>
  <c r="J1094" i="46"/>
  <c r="J1095" i="46"/>
  <c r="J1096" i="46"/>
  <c r="J1107" i="46"/>
  <c r="J1108" i="46"/>
  <c r="J1109" i="46"/>
  <c r="J1110" i="46"/>
  <c r="J1112" i="46"/>
  <c r="J1113" i="46"/>
  <c r="J1114" i="46"/>
  <c r="J1115" i="46"/>
  <c r="J1116" i="46"/>
  <c r="J1117" i="46"/>
  <c r="J1118" i="46"/>
  <c r="J1119" i="46"/>
  <c r="J1120" i="46"/>
  <c r="J1121" i="46"/>
  <c r="J1122" i="46"/>
  <c r="J1123" i="46"/>
  <c r="J1124" i="46"/>
  <c r="J1125" i="46"/>
  <c r="J1126" i="46"/>
  <c r="J1127" i="46"/>
  <c r="J1128" i="46"/>
  <c r="J1129" i="46"/>
  <c r="J1130" i="46"/>
  <c r="J1131" i="46"/>
  <c r="J1132" i="46"/>
  <c r="J1133" i="46"/>
  <c r="J1134" i="46"/>
  <c r="J1135" i="46"/>
  <c r="J1136" i="46"/>
  <c r="J1137" i="46"/>
  <c r="J1138" i="46"/>
  <c r="J1139" i="46"/>
  <c r="J1140" i="46"/>
  <c r="J1141" i="46"/>
  <c r="J1142" i="46"/>
  <c r="J1143" i="46"/>
  <c r="J1144" i="46"/>
  <c r="J1145" i="46"/>
  <c r="J1146" i="46"/>
  <c r="J1147" i="46"/>
  <c r="J1148" i="46"/>
  <c r="J1149" i="46"/>
  <c r="J1150" i="46"/>
  <c r="J1151" i="46"/>
  <c r="J1152" i="46"/>
  <c r="J1153" i="46"/>
  <c r="J1154" i="46"/>
  <c r="J1155" i="46"/>
  <c r="J1156" i="46"/>
  <c r="J1157" i="46"/>
  <c r="J1158" i="46"/>
  <c r="J1159" i="46"/>
  <c r="J1160" i="46"/>
  <c r="J1161" i="46"/>
  <c r="J1162" i="46"/>
  <c r="J1163" i="46"/>
  <c r="J1164" i="46"/>
  <c r="J1165" i="46"/>
  <c r="J1166" i="46"/>
  <c r="J1167" i="46"/>
  <c r="J1168" i="46"/>
  <c r="J1169" i="46"/>
  <c r="J1170" i="46"/>
  <c r="J1171" i="46"/>
  <c r="J1172" i="46"/>
  <c r="J1173" i="46"/>
  <c r="J1174" i="46"/>
  <c r="J1175" i="46"/>
  <c r="J1176" i="46"/>
  <c r="J1177" i="46"/>
  <c r="J1178" i="46"/>
  <c r="J1179" i="46"/>
  <c r="J1180" i="46"/>
  <c r="J1181" i="46"/>
  <c r="J1182" i="46"/>
  <c r="J1183" i="46"/>
  <c r="J1184" i="46"/>
  <c r="J1185" i="46"/>
  <c r="J1186" i="46"/>
  <c r="J1187" i="46"/>
  <c r="J1188" i="46"/>
  <c r="J1189" i="46"/>
  <c r="J1190" i="46"/>
  <c r="J1191" i="46"/>
  <c r="J1192" i="46"/>
  <c r="J1193" i="46"/>
  <c r="J1194" i="46"/>
  <c r="J1195" i="46"/>
  <c r="J1196" i="46"/>
  <c r="J1197" i="46"/>
  <c r="J1198" i="46"/>
  <c r="J1199" i="46"/>
  <c r="J1200" i="46"/>
  <c r="J1201" i="46"/>
  <c r="J1202" i="46"/>
  <c r="J1203" i="46"/>
  <c r="J1204" i="46"/>
  <c r="J1205" i="46"/>
  <c r="J1206" i="46"/>
  <c r="J1207" i="46"/>
  <c r="J1208" i="46"/>
  <c r="J1209" i="46"/>
  <c r="J1210" i="46"/>
  <c r="J1211" i="46"/>
  <c r="J1212" i="46"/>
  <c r="J1213" i="46"/>
  <c r="J1214" i="46"/>
  <c r="J1215" i="46"/>
  <c r="J1216" i="46"/>
  <c r="J1217" i="46"/>
  <c r="J1218" i="46"/>
  <c r="J1219" i="46"/>
  <c r="J1220" i="46"/>
  <c r="J1221" i="46"/>
  <c r="J1222" i="46"/>
  <c r="J1223" i="46"/>
  <c r="J1224" i="46"/>
  <c r="J1225" i="46"/>
  <c r="J1226" i="46"/>
  <c r="J1227" i="46"/>
  <c r="J1228" i="46"/>
  <c r="J1229" i="46"/>
  <c r="J1230" i="46"/>
  <c r="J1231" i="46"/>
  <c r="J1232" i="46"/>
  <c r="J1233" i="46"/>
  <c r="J1234" i="46"/>
  <c r="J1235" i="46"/>
  <c r="J1236" i="46"/>
  <c r="J1237" i="46"/>
  <c r="J1238" i="46"/>
  <c r="J1239" i="46"/>
  <c r="J1240" i="46"/>
  <c r="J1241" i="46"/>
  <c r="J1242" i="46"/>
  <c r="J1243" i="46"/>
  <c r="J1244" i="46"/>
  <c r="J1245" i="46"/>
  <c r="J1246" i="46"/>
  <c r="J1247" i="46"/>
  <c r="J1248" i="46"/>
  <c r="J1249" i="46"/>
  <c r="J1250" i="46"/>
  <c r="J1251" i="46"/>
  <c r="J1252" i="46"/>
  <c r="J1253" i="46"/>
  <c r="J1254" i="46"/>
  <c r="J1255" i="46"/>
  <c r="J1256" i="46"/>
  <c r="J1257" i="46"/>
  <c r="J1258" i="46"/>
  <c r="J1259" i="46"/>
  <c r="J1260" i="46"/>
  <c r="J1261" i="46"/>
  <c r="J1262" i="46"/>
  <c r="J1263" i="46"/>
  <c r="J1264" i="46"/>
  <c r="J1265" i="46"/>
  <c r="J1266" i="46"/>
  <c r="J1267" i="46"/>
  <c r="J1268" i="46"/>
  <c r="J1269" i="46"/>
  <c r="J1270" i="46"/>
  <c r="J1271" i="46"/>
  <c r="J1272" i="46"/>
  <c r="J1273" i="46"/>
  <c r="J1274" i="46"/>
  <c r="J1275" i="46"/>
  <c r="J1276" i="46"/>
  <c r="J1277" i="46"/>
  <c r="J1278" i="46"/>
  <c r="J1279" i="46"/>
  <c r="J1280" i="46"/>
  <c r="J1281" i="46"/>
  <c r="J1282" i="46"/>
  <c r="J1283" i="46"/>
  <c r="J1284" i="46"/>
  <c r="J1285" i="46"/>
  <c r="J1286" i="46"/>
  <c r="J1287" i="46"/>
  <c r="J1288" i="46"/>
  <c r="J1289" i="46"/>
  <c r="J1290" i="46"/>
  <c r="J1291" i="46"/>
  <c r="J1292" i="46"/>
  <c r="J1293" i="46"/>
  <c r="J1294" i="46"/>
  <c r="J1295" i="46"/>
  <c r="J1296" i="46"/>
  <c r="J1297" i="46"/>
  <c r="J1298" i="46"/>
  <c r="J1299" i="46"/>
  <c r="J1300" i="46"/>
  <c r="J1301" i="46"/>
  <c r="J1302" i="46"/>
  <c r="J1303" i="46"/>
  <c r="J1304" i="46"/>
  <c r="J1305" i="46"/>
  <c r="J1306" i="46"/>
  <c r="J1307" i="46"/>
  <c r="J1308" i="46"/>
  <c r="J1309" i="46"/>
  <c r="J1310" i="46"/>
  <c r="J1311" i="46"/>
  <c r="J1312" i="46"/>
  <c r="J1313" i="46"/>
  <c r="J1314" i="46"/>
  <c r="J1315" i="46"/>
  <c r="J1316" i="46"/>
  <c r="J1317" i="46"/>
  <c r="J1318" i="46"/>
  <c r="J1319" i="46"/>
  <c r="J1320" i="46"/>
  <c r="J1321" i="46"/>
  <c r="J1322" i="46"/>
  <c r="J1323" i="46"/>
  <c r="J1324" i="46"/>
  <c r="J1325" i="46"/>
  <c r="J1326" i="46"/>
  <c r="J1327" i="46"/>
  <c r="J1328" i="46"/>
  <c r="J1329" i="46"/>
  <c r="J1330" i="46"/>
  <c r="J1331" i="46"/>
  <c r="J1332" i="46"/>
  <c r="J1333" i="46"/>
  <c r="J1334" i="46"/>
  <c r="J1335" i="46"/>
  <c r="J1336" i="46"/>
  <c r="J1337" i="46"/>
  <c r="J1338" i="46"/>
  <c r="J1339" i="46"/>
  <c r="J1340" i="46"/>
  <c r="J1341" i="46"/>
  <c r="J1342" i="46"/>
  <c r="J1343" i="46"/>
  <c r="J1344" i="46"/>
  <c r="J1345" i="46"/>
  <c r="J1346" i="46"/>
  <c r="J1347" i="46"/>
  <c r="J1348" i="46"/>
  <c r="J1349" i="46"/>
  <c r="J1350" i="46"/>
  <c r="J1351" i="46"/>
  <c r="J1352" i="46"/>
  <c r="J1353" i="46"/>
  <c r="J1354" i="46"/>
  <c r="J1355" i="46"/>
  <c r="J1356" i="46"/>
  <c r="J1357" i="46"/>
  <c r="J1358" i="46"/>
  <c r="J1359" i="46"/>
  <c r="J1360" i="46"/>
  <c r="J1361" i="46"/>
  <c r="J1362" i="46"/>
  <c r="J1363" i="46"/>
  <c r="J1364" i="46"/>
  <c r="J1365" i="46"/>
  <c r="J1366" i="46"/>
  <c r="J1367" i="46"/>
  <c r="J1368" i="46"/>
  <c r="J1369" i="46"/>
  <c r="J1370" i="46"/>
  <c r="J1371" i="46"/>
  <c r="J1372" i="46"/>
  <c r="J1373" i="46"/>
  <c r="J1374" i="46"/>
  <c r="J1375" i="46"/>
  <c r="J1376" i="46"/>
  <c r="J1377" i="46"/>
  <c r="J1378" i="46"/>
  <c r="J1379" i="46"/>
  <c r="J1380" i="46"/>
  <c r="J1381" i="46"/>
  <c r="J1382" i="46"/>
  <c r="J1383" i="46"/>
  <c r="J1384" i="46"/>
  <c r="J1385" i="46"/>
  <c r="J1386" i="46"/>
  <c r="J1387" i="46"/>
  <c r="J1388" i="46"/>
  <c r="J1389" i="46"/>
  <c r="J1390" i="46"/>
  <c r="J1391" i="46"/>
  <c r="J1392" i="46"/>
  <c r="J1393" i="46"/>
  <c r="J1394" i="46"/>
  <c r="J1395" i="46"/>
  <c r="J1396" i="46"/>
  <c r="J1397" i="46"/>
  <c r="J1398" i="46"/>
  <c r="J1399" i="46"/>
  <c r="J1400" i="46"/>
  <c r="J1401" i="46"/>
  <c r="J1402" i="46"/>
  <c r="J1403" i="46"/>
  <c r="J1404" i="46"/>
  <c r="J1405" i="46"/>
  <c r="J1406" i="46"/>
  <c r="J1407" i="46"/>
  <c r="J1408" i="46"/>
  <c r="J1409" i="46"/>
  <c r="J1410" i="46"/>
  <c r="J1411" i="46"/>
  <c r="J1412" i="46"/>
  <c r="J1413" i="46"/>
  <c r="J1414" i="46"/>
  <c r="J1415" i="46"/>
  <c r="J1416" i="46"/>
  <c r="J1417" i="46"/>
  <c r="J1418" i="46"/>
  <c r="J1419" i="46"/>
  <c r="J1420" i="46"/>
  <c r="J1421" i="46"/>
  <c r="J1422" i="46"/>
  <c r="J1423" i="46"/>
  <c r="J1424" i="46"/>
  <c r="J1425" i="46"/>
  <c r="J1426" i="46"/>
  <c r="J1427" i="46"/>
  <c r="J1428" i="46"/>
  <c r="J1429" i="46"/>
  <c r="J1430" i="46"/>
  <c r="J1431" i="46"/>
  <c r="J1432" i="46"/>
  <c r="J1433" i="46"/>
  <c r="J1434" i="46"/>
  <c r="J1435" i="46"/>
  <c r="J1436" i="46"/>
  <c r="J1437" i="46"/>
  <c r="J1438" i="46"/>
  <c r="J1439" i="46"/>
  <c r="J1440" i="46"/>
  <c r="J1441" i="46"/>
  <c r="J1442" i="46"/>
  <c r="J1443" i="46"/>
  <c r="J1444" i="46"/>
  <c r="J1445" i="46"/>
  <c r="J1446" i="46"/>
  <c r="J1447" i="46"/>
  <c r="J1448" i="46"/>
  <c r="J1449" i="46"/>
  <c r="J1450" i="46"/>
  <c r="J1451" i="46"/>
  <c r="J1452" i="46"/>
  <c r="J1453" i="46"/>
  <c r="J1454" i="46"/>
  <c r="J1455" i="46"/>
  <c r="J1456" i="46"/>
  <c r="J1457" i="46"/>
  <c r="J1458" i="46"/>
  <c r="J1459" i="46"/>
  <c r="J1460" i="46"/>
  <c r="J1461" i="46"/>
  <c r="J1462" i="46"/>
  <c r="J1463" i="46"/>
  <c r="J1464" i="46"/>
  <c r="J1465" i="46"/>
  <c r="J1466" i="46"/>
  <c r="J1467" i="46"/>
  <c r="J1468" i="46"/>
  <c r="J1469" i="46"/>
  <c r="J1470" i="46"/>
  <c r="J1471" i="46"/>
  <c r="J1472" i="46"/>
  <c r="J1473" i="46"/>
  <c r="J1474" i="46"/>
  <c r="J1475" i="46"/>
  <c r="J1476" i="46"/>
  <c r="J1477" i="46"/>
  <c r="J1478" i="46"/>
  <c r="J1479" i="46"/>
  <c r="J1480" i="46"/>
  <c r="J1481" i="46"/>
  <c r="J1482" i="46"/>
  <c r="J1483" i="46"/>
  <c r="J1484" i="46"/>
  <c r="J1485" i="46"/>
  <c r="J1486" i="46"/>
  <c r="J1487" i="46"/>
  <c r="J1488" i="46"/>
  <c r="J1489" i="46"/>
  <c r="J1490" i="46"/>
  <c r="J1491" i="46"/>
  <c r="J1492" i="46"/>
  <c r="J1493" i="46"/>
  <c r="J1494" i="46"/>
  <c r="J1495" i="46"/>
  <c r="J1496" i="46"/>
  <c r="J1497" i="46"/>
  <c r="J1498" i="46"/>
  <c r="J1499" i="46"/>
  <c r="J1500" i="46"/>
  <c r="J1501" i="46"/>
  <c r="J1502" i="46"/>
  <c r="J1503" i="46"/>
  <c r="J1504" i="46"/>
  <c r="J1505" i="46"/>
  <c r="J1506" i="46"/>
  <c r="J1507" i="46"/>
  <c r="J1508" i="46"/>
  <c r="J1509" i="46"/>
  <c r="J1510" i="46"/>
  <c r="J1511" i="46"/>
  <c r="J1512" i="46"/>
  <c r="J1513" i="46"/>
  <c r="J1514" i="46"/>
  <c r="J1515" i="46"/>
  <c r="J1516" i="46"/>
  <c r="J1517" i="46"/>
  <c r="J1518" i="46"/>
  <c r="J1519" i="46"/>
  <c r="J1520" i="46"/>
  <c r="J1521" i="46"/>
  <c r="J1522" i="46"/>
  <c r="J1523" i="46"/>
  <c r="J1524" i="46"/>
  <c r="J1525" i="46"/>
  <c r="J1526" i="46"/>
  <c r="J1527" i="46"/>
  <c r="J1528" i="46"/>
  <c r="J1529" i="46"/>
  <c r="J1530" i="46"/>
  <c r="J1531" i="46"/>
  <c r="J1532" i="46"/>
  <c r="J1533" i="46"/>
  <c r="J1566" i="46"/>
  <c r="J1567" i="46"/>
  <c r="J1568" i="46"/>
  <c r="J1569" i="46"/>
  <c r="J1570" i="46"/>
  <c r="J1571" i="46"/>
  <c r="J1572" i="46"/>
  <c r="J1573" i="46"/>
  <c r="J1574" i="46"/>
  <c r="J1575" i="46"/>
  <c r="J1576" i="46"/>
  <c r="J1577" i="46"/>
  <c r="J1578" i="46"/>
  <c r="J1579" i="46"/>
  <c r="J1580" i="46"/>
  <c r="J1581" i="46"/>
  <c r="J1582" i="46"/>
  <c r="J1583" i="46"/>
  <c r="J1584" i="46"/>
  <c r="J1585" i="46"/>
  <c r="J1586" i="46"/>
  <c r="J1587" i="46"/>
  <c r="J1588" i="46"/>
  <c r="J1589" i="46"/>
  <c r="J1590" i="46"/>
  <c r="J1591" i="46"/>
  <c r="J1592" i="46"/>
  <c r="J1593" i="46"/>
  <c r="J1594" i="46"/>
  <c r="J1595" i="46"/>
  <c r="J1596" i="46"/>
  <c r="J1597" i="46"/>
  <c r="J1598" i="46"/>
  <c r="J1599" i="46"/>
  <c r="J1600" i="46"/>
  <c r="J1601" i="46"/>
  <c r="J1602" i="46"/>
  <c r="J1603" i="46"/>
  <c r="J1604" i="46"/>
  <c r="J1605" i="46"/>
  <c r="J1606" i="46"/>
  <c r="J1607" i="46"/>
  <c r="J1608" i="46"/>
  <c r="J1609" i="46"/>
  <c r="J1610" i="46"/>
  <c r="J1611" i="46"/>
  <c r="J1612" i="46"/>
  <c r="J1613" i="46"/>
  <c r="J1614" i="46"/>
  <c r="J1615" i="46"/>
  <c r="J1616" i="46"/>
  <c r="J1617" i="46"/>
  <c r="J1618" i="46"/>
  <c r="J1619" i="46"/>
  <c r="J1620" i="46"/>
  <c r="J1621" i="46"/>
  <c r="J1622" i="46"/>
  <c r="J1623" i="46"/>
  <c r="J1624" i="46"/>
  <c r="J1625" i="46"/>
  <c r="J1626" i="46"/>
  <c r="J1627" i="46"/>
  <c r="J1628" i="46"/>
  <c r="J1629" i="46"/>
  <c r="J1630" i="46"/>
  <c r="J1631" i="46"/>
  <c r="J1632" i="46"/>
  <c r="J1633" i="46"/>
  <c r="J1634" i="46"/>
  <c r="J1635" i="46"/>
  <c r="J1636" i="46"/>
  <c r="J1637" i="46"/>
  <c r="J1638" i="46"/>
  <c r="J1639" i="46"/>
  <c r="J1640" i="46"/>
  <c r="J1641" i="46"/>
  <c r="J1642" i="46"/>
  <c r="J1643" i="46"/>
  <c r="J1644" i="46"/>
  <c r="J1645" i="46"/>
  <c r="J1646" i="46"/>
  <c r="J1647" i="46"/>
  <c r="J1648" i="46"/>
  <c r="J1649" i="46"/>
  <c r="J1650" i="46"/>
  <c r="J1651" i="46"/>
  <c r="J1652" i="46"/>
  <c r="J1653" i="46"/>
  <c r="J1654" i="46"/>
  <c r="J1655" i="46"/>
  <c r="J1656" i="46"/>
  <c r="J1657" i="46"/>
  <c r="J1658" i="46"/>
  <c r="J1659" i="46"/>
  <c r="J1660" i="46"/>
  <c r="J1661" i="46"/>
  <c r="J1662" i="46"/>
  <c r="J1663" i="46"/>
  <c r="J1664" i="46"/>
  <c r="J1665" i="46"/>
  <c r="J1666" i="46"/>
  <c r="J1667" i="46"/>
  <c r="J1668" i="46"/>
  <c r="J1669" i="46"/>
  <c r="J1670" i="46"/>
  <c r="J1671" i="46"/>
  <c r="J1672" i="46"/>
  <c r="J1673" i="46"/>
  <c r="J1674" i="46"/>
  <c r="J1675" i="46"/>
  <c r="J1676" i="46"/>
  <c r="J1677" i="46"/>
  <c r="J1678" i="46"/>
  <c r="J1679" i="46"/>
  <c r="J1680" i="46"/>
  <c r="J1681" i="46"/>
  <c r="J1682" i="46"/>
  <c r="J1683" i="46"/>
  <c r="J1684" i="46"/>
  <c r="J1685" i="46"/>
  <c r="J1686" i="46"/>
  <c r="J1687" i="46"/>
  <c r="J1688" i="46"/>
  <c r="J1689" i="46"/>
  <c r="J1690" i="46"/>
  <c r="J1691" i="46"/>
  <c r="J1692" i="46"/>
  <c r="J1693" i="46"/>
  <c r="J1694" i="46"/>
  <c r="J1695" i="46"/>
  <c r="J1696" i="46"/>
  <c r="J1697" i="46"/>
  <c r="J1698" i="46"/>
  <c r="J1699" i="46"/>
  <c r="J1700" i="46"/>
  <c r="J1701" i="46"/>
  <c r="J1702" i="46"/>
  <c r="J1703" i="46"/>
  <c r="J1704" i="46"/>
  <c r="J1705" i="46"/>
  <c r="J1706" i="46"/>
  <c r="J1707" i="46"/>
  <c r="J1708" i="46"/>
  <c r="J1709" i="46"/>
  <c r="J1710" i="46"/>
  <c r="J1711" i="46"/>
  <c r="J1712" i="46"/>
  <c r="J1713" i="46"/>
  <c r="J1714" i="46"/>
  <c r="J1715" i="46"/>
  <c r="J1716" i="46"/>
  <c r="J1717" i="46"/>
  <c r="J1718" i="46"/>
  <c r="J1719" i="46"/>
  <c r="J1720" i="46"/>
  <c r="J1721" i="46"/>
  <c r="J1722" i="46"/>
  <c r="J1723" i="46"/>
  <c r="J1724" i="46"/>
  <c r="J1725" i="46"/>
  <c r="J1726" i="46"/>
  <c r="J1727" i="46"/>
  <c r="J1728" i="46"/>
  <c r="J1729" i="46"/>
  <c r="J1730" i="46"/>
  <c r="J1731" i="46"/>
  <c r="J1732" i="46"/>
  <c r="J1733" i="46"/>
  <c r="J1734" i="46"/>
  <c r="J1735" i="46"/>
  <c r="J1736" i="46"/>
  <c r="J1737" i="46"/>
  <c r="J1738" i="46"/>
  <c r="J1739" i="46"/>
  <c r="J1740" i="46"/>
  <c r="J1741" i="46"/>
  <c r="J1742" i="46"/>
  <c r="J1743" i="46"/>
  <c r="J1744" i="46"/>
  <c r="J1745" i="46"/>
  <c r="J1746" i="46"/>
  <c r="J1747" i="46"/>
  <c r="J1748" i="46"/>
  <c r="J1749" i="46"/>
  <c r="J1750" i="46"/>
  <c r="J1751" i="46"/>
  <c r="J1752" i="46"/>
  <c r="J1753" i="46"/>
  <c r="J1754" i="46"/>
  <c r="J1755" i="46"/>
  <c r="J1756" i="46"/>
  <c r="J1757" i="46"/>
  <c r="J1758" i="46"/>
  <c r="J1759" i="46"/>
  <c r="J1760" i="46"/>
  <c r="J1761" i="46"/>
  <c r="J1762" i="46"/>
  <c r="J1763" i="46"/>
  <c r="J1764" i="46"/>
  <c r="J1765" i="46"/>
  <c r="J1766" i="46"/>
  <c r="J1767" i="46"/>
  <c r="J1768" i="46"/>
  <c r="J1769" i="46"/>
  <c r="J1770" i="46"/>
  <c r="J1771" i="46"/>
  <c r="J1772" i="46"/>
  <c r="J1773" i="46"/>
  <c r="J1774" i="46"/>
  <c r="J1775" i="46"/>
  <c r="J1776" i="46"/>
  <c r="J1777" i="46"/>
  <c r="J1778" i="46"/>
  <c r="K877" i="46"/>
  <c r="K900" i="46"/>
  <c r="K918" i="46"/>
  <c r="K919" i="46"/>
  <c r="K926" i="46"/>
  <c r="K935" i="46"/>
  <c r="K936" i="46"/>
  <c r="K938" i="46"/>
  <c r="K942" i="46"/>
  <c r="K946" i="46"/>
  <c r="K947" i="46"/>
  <c r="K951" i="46"/>
  <c r="K953" i="46"/>
  <c r="K957" i="46"/>
  <c r="K959" i="46"/>
  <c r="K962" i="46"/>
  <c r="K968" i="46"/>
  <c r="K973" i="46"/>
  <c r="K978" i="46"/>
  <c r="K981" i="46"/>
  <c r="K982" i="46"/>
  <c r="K983" i="46"/>
  <c r="K987" i="46"/>
  <c r="K989" i="46"/>
  <c r="K992" i="46"/>
  <c r="K993" i="46"/>
  <c r="K994" i="46"/>
  <c r="K995" i="46"/>
  <c r="K996" i="46"/>
  <c r="K1000" i="46"/>
  <c r="K1001" i="46"/>
  <c r="K1006" i="46"/>
  <c r="K1007" i="46"/>
  <c r="K1012" i="46"/>
  <c r="K1016" i="46"/>
  <c r="K1021" i="46"/>
  <c r="K1024" i="46"/>
  <c r="K1025" i="46"/>
  <c r="K1026" i="46"/>
  <c r="K1028" i="46"/>
  <c r="K1030" i="46"/>
  <c r="K1034" i="46"/>
  <c r="K1038" i="46"/>
  <c r="K1039" i="46"/>
  <c r="K1040" i="46"/>
  <c r="K1043" i="46"/>
  <c r="K1044" i="46"/>
  <c r="K1045" i="46"/>
  <c r="K1050" i="46"/>
  <c r="K1051" i="46"/>
  <c r="K1056" i="46"/>
  <c r="K1057" i="46"/>
  <c r="K1058" i="46"/>
  <c r="K1061" i="46"/>
  <c r="K1062" i="46"/>
  <c r="K1063" i="46"/>
  <c r="K1065" i="46"/>
  <c r="K1072" i="46"/>
  <c r="K1073" i="46"/>
  <c r="K1078" i="46"/>
  <c r="K1079" i="46"/>
  <c r="K1084" i="46"/>
  <c r="K1085" i="46"/>
  <c r="K1086" i="46"/>
  <c r="K1087" i="46"/>
  <c r="K1088" i="46"/>
  <c r="K1089" i="46"/>
  <c r="K1090" i="46"/>
  <c r="K1091" i="46"/>
  <c r="K1092" i="46"/>
  <c r="K1093" i="46"/>
  <c r="K1094" i="46"/>
  <c r="K1095" i="46"/>
  <c r="K1096" i="46"/>
  <c r="K1107" i="46"/>
  <c r="K1108" i="46"/>
  <c r="K1109" i="46"/>
  <c r="K1110" i="46"/>
  <c r="K1112" i="46"/>
  <c r="K1113" i="46"/>
  <c r="K1114" i="46"/>
  <c r="K1115" i="46"/>
  <c r="K1116" i="46"/>
  <c r="K1117" i="46"/>
  <c r="K1118" i="46"/>
  <c r="K1119" i="46"/>
  <c r="K1120" i="46"/>
  <c r="K1121" i="46"/>
  <c r="K1122" i="46"/>
  <c r="K1123" i="46"/>
  <c r="K1124" i="46"/>
  <c r="K1125" i="46"/>
  <c r="K1126" i="46"/>
  <c r="K1127" i="46"/>
  <c r="K1128" i="46"/>
  <c r="K1129" i="46"/>
  <c r="K1130" i="46"/>
  <c r="K1131" i="46"/>
  <c r="K1132" i="46"/>
  <c r="K1133" i="46"/>
  <c r="K1134" i="46"/>
  <c r="K1135" i="46"/>
  <c r="K1136" i="46"/>
  <c r="K1137" i="46"/>
  <c r="K1138" i="46"/>
  <c r="K1139" i="46"/>
  <c r="K1140" i="46"/>
  <c r="K1141" i="46"/>
  <c r="K1142" i="46"/>
  <c r="K1143" i="46"/>
  <c r="K1144" i="46"/>
  <c r="K1145" i="46"/>
  <c r="K1146" i="46"/>
  <c r="K1147" i="46"/>
  <c r="K1148" i="46"/>
  <c r="K1149" i="46"/>
  <c r="K1150" i="46"/>
  <c r="K1151" i="46"/>
  <c r="K1152" i="46"/>
  <c r="K1153" i="46"/>
  <c r="K1154" i="46"/>
  <c r="K1155" i="46"/>
  <c r="K1156" i="46"/>
  <c r="K1157" i="46"/>
  <c r="K1158" i="46"/>
  <c r="K1159" i="46"/>
  <c r="K1160" i="46"/>
  <c r="K1161" i="46"/>
  <c r="K1162" i="46"/>
  <c r="K1163" i="46"/>
  <c r="K1164" i="46"/>
  <c r="K1165" i="46"/>
  <c r="K1166" i="46"/>
  <c r="K1167" i="46"/>
  <c r="K1168" i="46"/>
  <c r="K1169" i="46"/>
  <c r="K1170" i="46"/>
  <c r="K1171" i="46"/>
  <c r="K1172" i="46"/>
  <c r="K1173" i="46"/>
  <c r="K1174" i="46"/>
  <c r="K1175" i="46"/>
  <c r="K1176" i="46"/>
  <c r="K1177" i="46"/>
  <c r="K1178" i="46"/>
  <c r="K1179" i="46"/>
  <c r="K1180" i="46"/>
  <c r="K1181" i="46"/>
  <c r="K1182" i="46"/>
  <c r="K1183" i="46"/>
  <c r="K1184" i="46"/>
  <c r="K1185" i="46"/>
  <c r="K1186" i="46"/>
  <c r="K1187" i="46"/>
  <c r="K1188" i="46"/>
  <c r="K1189" i="46"/>
  <c r="K1190" i="46"/>
  <c r="K1191" i="46"/>
  <c r="K1192" i="46"/>
  <c r="K1193" i="46"/>
  <c r="K1194" i="46"/>
  <c r="K1195" i="46"/>
  <c r="K1196" i="46"/>
  <c r="K1197" i="46"/>
  <c r="K1198" i="46"/>
  <c r="K1199" i="46"/>
  <c r="K1200" i="46"/>
  <c r="K1201" i="46"/>
  <c r="K1202" i="46"/>
  <c r="K1203" i="46"/>
  <c r="K1204" i="46"/>
  <c r="K1205" i="46"/>
  <c r="K1206" i="46"/>
  <c r="K1207" i="46"/>
  <c r="K1208" i="46"/>
  <c r="K1209" i="46"/>
  <c r="K1210" i="46"/>
  <c r="K1211" i="46"/>
  <c r="K1212" i="46"/>
  <c r="K1213" i="46"/>
  <c r="K1214" i="46"/>
  <c r="K1215" i="46"/>
  <c r="K1216" i="46"/>
  <c r="K1217" i="46"/>
  <c r="K1218" i="46"/>
  <c r="K1219" i="46"/>
  <c r="K1220" i="46"/>
  <c r="K1221" i="46"/>
  <c r="K1222" i="46"/>
  <c r="K1223" i="46"/>
  <c r="K1224" i="46"/>
  <c r="K1225" i="46"/>
  <c r="K1226" i="46"/>
  <c r="K1227" i="46"/>
  <c r="K1228" i="46"/>
  <c r="K1229" i="46"/>
  <c r="K1230" i="46"/>
  <c r="K1231" i="46"/>
  <c r="K1232" i="46"/>
  <c r="K1233" i="46"/>
  <c r="K1234" i="46"/>
  <c r="K1235" i="46"/>
  <c r="K1236" i="46"/>
  <c r="K1237" i="46"/>
  <c r="K1238" i="46"/>
  <c r="K1239" i="46"/>
  <c r="K1240" i="46"/>
  <c r="K1241" i="46"/>
  <c r="K1242" i="46"/>
  <c r="K1243" i="46"/>
  <c r="K1244" i="46"/>
  <c r="K1245" i="46"/>
  <c r="K1246" i="46"/>
  <c r="K1247" i="46"/>
  <c r="K1248" i="46"/>
  <c r="K1249" i="46"/>
  <c r="K1250" i="46"/>
  <c r="K1251" i="46"/>
  <c r="K1252" i="46"/>
  <c r="K1253" i="46"/>
  <c r="K1254" i="46"/>
  <c r="K1255" i="46"/>
  <c r="K1256" i="46"/>
  <c r="K1257" i="46"/>
  <c r="K1258" i="46"/>
  <c r="K1259" i="46"/>
  <c r="K1260" i="46"/>
  <c r="K1261" i="46"/>
  <c r="K1262" i="46"/>
  <c r="K1263" i="46"/>
  <c r="K1264" i="46"/>
  <c r="K1265" i="46"/>
  <c r="K1266" i="46"/>
  <c r="K1267" i="46"/>
  <c r="K1268" i="46"/>
  <c r="K1269" i="46"/>
  <c r="K1270" i="46"/>
  <c r="K1271" i="46"/>
  <c r="K1272" i="46"/>
  <c r="K1273" i="46"/>
  <c r="K1274" i="46"/>
  <c r="K1275" i="46"/>
  <c r="K1276" i="46"/>
  <c r="K1277" i="46"/>
  <c r="K1278" i="46"/>
  <c r="K1279" i="46"/>
  <c r="K1280" i="46"/>
  <c r="K1281" i="46"/>
  <c r="K1282" i="46"/>
  <c r="K1283" i="46"/>
  <c r="K1284" i="46"/>
  <c r="K1285" i="46"/>
  <c r="K1286" i="46"/>
  <c r="K1287" i="46"/>
  <c r="K1288" i="46"/>
  <c r="K1289" i="46"/>
  <c r="K1290" i="46"/>
  <c r="K1291" i="46"/>
  <c r="K1292" i="46"/>
  <c r="K1293" i="46"/>
  <c r="K1294" i="46"/>
  <c r="K1295" i="46"/>
  <c r="K1296" i="46"/>
  <c r="K1297" i="46"/>
  <c r="K1298" i="46"/>
  <c r="K1299" i="46"/>
  <c r="K1300" i="46"/>
  <c r="K1301" i="46"/>
  <c r="K1302" i="46"/>
  <c r="K1303" i="46"/>
  <c r="K1304" i="46"/>
  <c r="K1305" i="46"/>
  <c r="K1306" i="46"/>
  <c r="K1307" i="46"/>
  <c r="K1308" i="46"/>
  <c r="K1309" i="46"/>
  <c r="K1310" i="46"/>
  <c r="K1311" i="46"/>
  <c r="K1312" i="46"/>
  <c r="K1313" i="46"/>
  <c r="K1314" i="46"/>
  <c r="K1315" i="46"/>
  <c r="K1316" i="46"/>
  <c r="K1317" i="46"/>
  <c r="K1318" i="46"/>
  <c r="K1319" i="46"/>
  <c r="K1320" i="46"/>
  <c r="K1321" i="46"/>
  <c r="K1322" i="46"/>
  <c r="K1323" i="46"/>
  <c r="K1324" i="46"/>
  <c r="K1325" i="46"/>
  <c r="K1326" i="46"/>
  <c r="K1327" i="46"/>
  <c r="K1328" i="46"/>
  <c r="K1329" i="46"/>
  <c r="K1330" i="46"/>
  <c r="K1331" i="46"/>
  <c r="K1332" i="46"/>
  <c r="K1333" i="46"/>
  <c r="K1334" i="46"/>
  <c r="K1335" i="46"/>
  <c r="K1336" i="46"/>
  <c r="K1337" i="46"/>
  <c r="K1338" i="46"/>
  <c r="K1339" i="46"/>
  <c r="K1340" i="46"/>
  <c r="K1341" i="46"/>
  <c r="K1342" i="46"/>
  <c r="K1343" i="46"/>
  <c r="K1344" i="46"/>
  <c r="K1345" i="46"/>
  <c r="K1346" i="46"/>
  <c r="K1347" i="46"/>
  <c r="K1348" i="46"/>
  <c r="K1349" i="46"/>
  <c r="K1350" i="46"/>
  <c r="K1351" i="46"/>
  <c r="K1352" i="46"/>
  <c r="K1353" i="46"/>
  <c r="K1354" i="46"/>
  <c r="K1355" i="46"/>
  <c r="K1356" i="46"/>
  <c r="K1357" i="46"/>
  <c r="K1358" i="46"/>
  <c r="K1359" i="46"/>
  <c r="K1360" i="46"/>
  <c r="K1361" i="46"/>
  <c r="K1362" i="46"/>
  <c r="K1363" i="46"/>
  <c r="K1364" i="46"/>
  <c r="K1365" i="46"/>
  <c r="K1366" i="46"/>
  <c r="K1367" i="46"/>
  <c r="K1368" i="46"/>
  <c r="K1369" i="46"/>
  <c r="K1370" i="46"/>
  <c r="K1371" i="46"/>
  <c r="K1372" i="46"/>
  <c r="K1373" i="46"/>
  <c r="K1374" i="46"/>
  <c r="K1375" i="46"/>
  <c r="K1376" i="46"/>
  <c r="K1377" i="46"/>
  <c r="K1378" i="46"/>
  <c r="K1379" i="46"/>
  <c r="K1380" i="46"/>
  <c r="K1381" i="46"/>
  <c r="K1382" i="46"/>
  <c r="K1383" i="46"/>
  <c r="K1384" i="46"/>
  <c r="K1385" i="46"/>
  <c r="K1386" i="46"/>
  <c r="K1387" i="46"/>
  <c r="K1388" i="46"/>
  <c r="K1389" i="46"/>
  <c r="K1390" i="46"/>
  <c r="K1391" i="46"/>
  <c r="K1392" i="46"/>
  <c r="K1393" i="46"/>
  <c r="K1394" i="46"/>
  <c r="K1395" i="46"/>
  <c r="K1396" i="46"/>
  <c r="K1397" i="46"/>
  <c r="K1398" i="46"/>
  <c r="K1399" i="46"/>
  <c r="K1400" i="46"/>
  <c r="K1401" i="46"/>
  <c r="K1402" i="46"/>
  <c r="K1403" i="46"/>
  <c r="K1404" i="46"/>
  <c r="K1405" i="46"/>
  <c r="K1406" i="46"/>
  <c r="K1407" i="46"/>
  <c r="K1408" i="46"/>
  <c r="K1409" i="46"/>
  <c r="K1410" i="46"/>
  <c r="K1411" i="46"/>
  <c r="K1412" i="46"/>
  <c r="K1413" i="46"/>
  <c r="K1414" i="46"/>
  <c r="K1415" i="46"/>
  <c r="K1416" i="46"/>
  <c r="K1417" i="46"/>
  <c r="K1418" i="46"/>
  <c r="K1419" i="46"/>
  <c r="K1420" i="46"/>
  <c r="K1421" i="46"/>
  <c r="K1422" i="46"/>
  <c r="K1423" i="46"/>
  <c r="K1424" i="46"/>
  <c r="K1425" i="46"/>
  <c r="K1426" i="46"/>
  <c r="K1427" i="46"/>
  <c r="K1428" i="46"/>
  <c r="K1429" i="46"/>
  <c r="K1430" i="46"/>
  <c r="K1431" i="46"/>
  <c r="K1432" i="46"/>
  <c r="K1433" i="46"/>
  <c r="K1434" i="46"/>
  <c r="K1435" i="46"/>
  <c r="K1436" i="46"/>
  <c r="K1437" i="46"/>
  <c r="K1438" i="46"/>
  <c r="K1439" i="46"/>
  <c r="K1440" i="46"/>
  <c r="K1441" i="46"/>
  <c r="K1442" i="46"/>
  <c r="K1443" i="46"/>
  <c r="K1444" i="46"/>
  <c r="K1445" i="46"/>
  <c r="K1446" i="46"/>
  <c r="K1447" i="46"/>
  <c r="K1448" i="46"/>
  <c r="K1449" i="46"/>
  <c r="K1450" i="46"/>
  <c r="K1451" i="46"/>
  <c r="K1452" i="46"/>
  <c r="K1453" i="46"/>
  <c r="K1454" i="46"/>
  <c r="K1455" i="46"/>
  <c r="K1456" i="46"/>
  <c r="K1457" i="46"/>
  <c r="K1458" i="46"/>
  <c r="K1459" i="46"/>
  <c r="K1460" i="46"/>
  <c r="K1461" i="46"/>
  <c r="K1462" i="46"/>
  <c r="K1463" i="46"/>
  <c r="K1464" i="46"/>
  <c r="K1465" i="46"/>
  <c r="K1466" i="46"/>
  <c r="K1467" i="46"/>
  <c r="K1468" i="46"/>
  <c r="K1469" i="46"/>
  <c r="K1470" i="46"/>
  <c r="K1471" i="46"/>
  <c r="K1472" i="46"/>
  <c r="K1473" i="46"/>
  <c r="K1474" i="46"/>
  <c r="K1475" i="46"/>
  <c r="K1476" i="46"/>
  <c r="K1477" i="46"/>
  <c r="K1478" i="46"/>
  <c r="K1479" i="46"/>
  <c r="K1480" i="46"/>
  <c r="K1481" i="46"/>
  <c r="K1482" i="46"/>
  <c r="K1483" i="46"/>
  <c r="K1484" i="46"/>
  <c r="K1485" i="46"/>
  <c r="K1486" i="46"/>
  <c r="K1487" i="46"/>
  <c r="K1488" i="46"/>
  <c r="K1489" i="46"/>
  <c r="K1490" i="46"/>
  <c r="K1491" i="46"/>
  <c r="K1492" i="46"/>
  <c r="K1493" i="46"/>
  <c r="K1494" i="46"/>
  <c r="K1495" i="46"/>
  <c r="K1496" i="46"/>
  <c r="K1497" i="46"/>
  <c r="K1498" i="46"/>
  <c r="K1499" i="46"/>
  <c r="K1500" i="46"/>
  <c r="K1501" i="46"/>
  <c r="K1502" i="46"/>
  <c r="K1503" i="46"/>
  <c r="K1504" i="46"/>
  <c r="K1505" i="46"/>
  <c r="K1506" i="46"/>
  <c r="K1507" i="46"/>
  <c r="K1508" i="46"/>
  <c r="K1509" i="46"/>
  <c r="K1510" i="46"/>
  <c r="K1511" i="46"/>
  <c r="K1512" i="46"/>
  <c r="K1513" i="46"/>
  <c r="K1514" i="46"/>
  <c r="K1515" i="46"/>
  <c r="K1516" i="46"/>
  <c r="K1517" i="46"/>
  <c r="K1518" i="46"/>
  <c r="K1519" i="46"/>
  <c r="K1520" i="46"/>
  <c r="K1521" i="46"/>
  <c r="K1522" i="46"/>
  <c r="K1523" i="46"/>
  <c r="K1524" i="46"/>
  <c r="K1525" i="46"/>
  <c r="K1526" i="46"/>
  <c r="K1527" i="46"/>
  <c r="K1528" i="46"/>
  <c r="K1529" i="46"/>
  <c r="K1530" i="46"/>
  <c r="K1531" i="46"/>
  <c r="K1532" i="46"/>
  <c r="K1533" i="46"/>
  <c r="K1566" i="46"/>
  <c r="K1567" i="46"/>
  <c r="K1568" i="46"/>
  <c r="K1569" i="46"/>
  <c r="K1570" i="46"/>
  <c r="K1571" i="46"/>
  <c r="K1572" i="46"/>
  <c r="K1573" i="46"/>
  <c r="K1574" i="46"/>
  <c r="K1575" i="46"/>
  <c r="K1576" i="46"/>
  <c r="K1577" i="46"/>
  <c r="K1578" i="46"/>
  <c r="K1579" i="46"/>
  <c r="K1580" i="46"/>
  <c r="K1581" i="46"/>
  <c r="K1582" i="46"/>
  <c r="K1583" i="46"/>
  <c r="K1584" i="46"/>
  <c r="K1585" i="46"/>
  <c r="K1586" i="46"/>
  <c r="K1587" i="46"/>
  <c r="K1588" i="46"/>
  <c r="K1589" i="46"/>
  <c r="K1590" i="46"/>
  <c r="K1591" i="46"/>
  <c r="K1592" i="46"/>
  <c r="K1593" i="46"/>
  <c r="K1594" i="46"/>
  <c r="K1595" i="46"/>
  <c r="K1596" i="46"/>
  <c r="K1597" i="46"/>
  <c r="K1598" i="46"/>
  <c r="K1599" i="46"/>
  <c r="K1600" i="46"/>
  <c r="K1601" i="46"/>
  <c r="K1602" i="46"/>
  <c r="K1603" i="46"/>
  <c r="K1604" i="46"/>
  <c r="K1605" i="46"/>
  <c r="K1606" i="46"/>
  <c r="K1607" i="46"/>
  <c r="K1608" i="46"/>
  <c r="K1609" i="46"/>
  <c r="K1610" i="46"/>
  <c r="K1611" i="46"/>
  <c r="K1612" i="46"/>
  <c r="K1613" i="46"/>
  <c r="K1614" i="46"/>
  <c r="K1615" i="46"/>
  <c r="K1616" i="46"/>
  <c r="K1617" i="46"/>
  <c r="K1618" i="46"/>
  <c r="K1619" i="46"/>
  <c r="K1620" i="46"/>
  <c r="K1621" i="46"/>
  <c r="K1622" i="46"/>
  <c r="K1623" i="46"/>
  <c r="K1624" i="46"/>
  <c r="K1625" i="46"/>
  <c r="K1626" i="46"/>
  <c r="K1627" i="46"/>
  <c r="K1628" i="46"/>
  <c r="K1629" i="46"/>
  <c r="K1630" i="46"/>
  <c r="K1631" i="46"/>
  <c r="K1632" i="46"/>
  <c r="K1633" i="46"/>
  <c r="K1634" i="46"/>
  <c r="K1635" i="46"/>
  <c r="K1636" i="46"/>
  <c r="K1637" i="46"/>
  <c r="K1638" i="46"/>
  <c r="K1639" i="46"/>
  <c r="K1640" i="46"/>
  <c r="K1641" i="46"/>
  <c r="K1642" i="46"/>
  <c r="K1643" i="46"/>
  <c r="K1644" i="46"/>
  <c r="K1645" i="46"/>
  <c r="K1646" i="46"/>
  <c r="K1647" i="46"/>
  <c r="K1648" i="46"/>
  <c r="K1649" i="46"/>
  <c r="K1650" i="46"/>
  <c r="K1651" i="46"/>
  <c r="K1652" i="46"/>
  <c r="K1653" i="46"/>
  <c r="K1654" i="46"/>
  <c r="K1655" i="46"/>
  <c r="K1656" i="46"/>
  <c r="K1657" i="46"/>
  <c r="K1658" i="46"/>
  <c r="K1659" i="46"/>
  <c r="K1660" i="46"/>
  <c r="K1661" i="46"/>
  <c r="K1662" i="46"/>
  <c r="K1663" i="46"/>
  <c r="K1664" i="46"/>
  <c r="K1665" i="46"/>
  <c r="K1666" i="46"/>
  <c r="K1667" i="46"/>
  <c r="K1668" i="46"/>
  <c r="K1669" i="46"/>
  <c r="K1670" i="46"/>
  <c r="K1671" i="46"/>
  <c r="K1672" i="46"/>
  <c r="K1673" i="46"/>
  <c r="K1674" i="46"/>
  <c r="K1675" i="46"/>
  <c r="K1676" i="46"/>
  <c r="K1677" i="46"/>
  <c r="K1678" i="46"/>
  <c r="K1679" i="46"/>
  <c r="K1680" i="46"/>
  <c r="K1681" i="46"/>
  <c r="K1682" i="46"/>
  <c r="K1683" i="46"/>
  <c r="K1684" i="46"/>
  <c r="K1685" i="46"/>
  <c r="K1686" i="46"/>
  <c r="K1687" i="46"/>
  <c r="K1688" i="46"/>
  <c r="K1689" i="46"/>
  <c r="K1690" i="46"/>
  <c r="K1691" i="46"/>
  <c r="K1692" i="46"/>
  <c r="K1693" i="46"/>
  <c r="K1694" i="46"/>
  <c r="K1695" i="46"/>
  <c r="K1696" i="46"/>
  <c r="K1697" i="46"/>
  <c r="K1698" i="46"/>
  <c r="K1699" i="46"/>
  <c r="K1700" i="46"/>
  <c r="K1701" i="46"/>
  <c r="K1702" i="46"/>
  <c r="K1703" i="46"/>
  <c r="K1704" i="46"/>
  <c r="K1705" i="46"/>
  <c r="K1706" i="46"/>
  <c r="K1707" i="46"/>
  <c r="K1708" i="46"/>
  <c r="K1709" i="46"/>
  <c r="K1710" i="46"/>
  <c r="K1711" i="46"/>
  <c r="K1712" i="46"/>
  <c r="K1713" i="46"/>
  <c r="K1714" i="46"/>
  <c r="K1715" i="46"/>
  <c r="K1716" i="46"/>
  <c r="K1717" i="46"/>
  <c r="K1718" i="46"/>
  <c r="K1719" i="46"/>
  <c r="K1720" i="46"/>
  <c r="K1721" i="46"/>
  <c r="K1722" i="46"/>
  <c r="K1723" i="46"/>
  <c r="K1724" i="46"/>
  <c r="K1725" i="46"/>
  <c r="K1726" i="46"/>
  <c r="K1727" i="46"/>
  <c r="K1728" i="46"/>
  <c r="K1729" i="46"/>
  <c r="K1730" i="46"/>
  <c r="K1731" i="46"/>
  <c r="K1732" i="46"/>
  <c r="K1733" i="46"/>
  <c r="K1734" i="46"/>
  <c r="K1735" i="46"/>
  <c r="K1736" i="46"/>
  <c r="K1737" i="46"/>
  <c r="K1738" i="46"/>
  <c r="K1739" i="46"/>
  <c r="K1740" i="46"/>
  <c r="K1741" i="46"/>
  <c r="K1742" i="46"/>
  <c r="K1743" i="46"/>
  <c r="K1744" i="46"/>
  <c r="K1745" i="46"/>
  <c r="K1746" i="46"/>
  <c r="K1747" i="46"/>
  <c r="K1748" i="46"/>
  <c r="K1749" i="46"/>
  <c r="K1750" i="46"/>
  <c r="K1751" i="46"/>
  <c r="K1752" i="46"/>
  <c r="K1753" i="46"/>
  <c r="K1754" i="46"/>
  <c r="K1755" i="46"/>
  <c r="K1756" i="46"/>
  <c r="K1757" i="46"/>
  <c r="K1758" i="46"/>
  <c r="K1759" i="46"/>
  <c r="K1760" i="46"/>
  <c r="K1761" i="46"/>
  <c r="K1762" i="46"/>
  <c r="K1763" i="46"/>
  <c r="K1764" i="46"/>
  <c r="K1765" i="46"/>
  <c r="K1766" i="46"/>
  <c r="K1767" i="46"/>
  <c r="K1768" i="46"/>
  <c r="K1769" i="46"/>
  <c r="K1770" i="46"/>
  <c r="K1771" i="46"/>
  <c r="K1772" i="46"/>
  <c r="K1773" i="46"/>
  <c r="K1774" i="46"/>
  <c r="K1775" i="46"/>
  <c r="K1776" i="46"/>
  <c r="K1777" i="46"/>
  <c r="K1778" i="46"/>
  <c r="B15" i="23"/>
  <c r="B16" i="23"/>
  <c r="B17" i="23"/>
  <c r="B18" i="23"/>
  <c r="B19" i="23"/>
  <c r="B20" i="23"/>
  <c r="B21" i="23"/>
  <c r="B22" i="23"/>
  <c r="B23" i="23"/>
  <c r="B24" i="23"/>
  <c r="B25" i="23"/>
  <c r="B26" i="23"/>
  <c r="B27" i="23"/>
  <c r="B28" i="23"/>
  <c r="B29" i="23"/>
  <c r="B30" i="23"/>
  <c r="B31" i="23"/>
  <c r="B32" i="23"/>
  <c r="B33" i="23"/>
  <c r="B34" i="23"/>
  <c r="B35" i="23"/>
  <c r="B36" i="23"/>
  <c r="B37" i="23"/>
  <c r="B38" i="23"/>
  <c r="B5" i="23"/>
  <c r="L6" i="46"/>
  <c r="L7" i="46"/>
  <c r="L8" i="46"/>
  <c r="L9" i="46"/>
  <c r="L10" i="46"/>
  <c r="L11" i="46"/>
  <c r="L12" i="46"/>
  <c r="L13" i="46"/>
  <c r="L14" i="46"/>
  <c r="L15" i="46"/>
  <c r="L16" i="46"/>
  <c r="L17" i="46"/>
  <c r="L18" i="46"/>
  <c r="L19" i="46"/>
  <c r="L20" i="46"/>
  <c r="L21" i="46"/>
  <c r="L22" i="46"/>
  <c r="L23" i="46"/>
  <c r="L24" i="46"/>
  <c r="L25" i="46"/>
  <c r="L26" i="46"/>
  <c r="L27" i="46"/>
  <c r="L28" i="46"/>
  <c r="L29" i="46"/>
  <c r="L30" i="46"/>
  <c r="L31" i="46"/>
  <c r="L32" i="46"/>
  <c r="L33" i="46"/>
  <c r="L34" i="46"/>
  <c r="L35" i="46"/>
  <c r="L36" i="46"/>
  <c r="L37" i="46"/>
  <c r="L38" i="46"/>
  <c r="L39" i="46"/>
  <c r="L40" i="46"/>
  <c r="L41" i="46"/>
  <c r="L42" i="46"/>
  <c r="L43" i="46"/>
  <c r="L44" i="46"/>
  <c r="L45" i="46"/>
  <c r="L46" i="46"/>
  <c r="L47" i="46"/>
  <c r="L48" i="46"/>
  <c r="L49" i="46"/>
  <c r="L50" i="46"/>
  <c r="L51" i="46"/>
  <c r="L52" i="46"/>
  <c r="L53" i="46"/>
  <c r="L54" i="46"/>
  <c r="L55" i="46"/>
  <c r="L56" i="46"/>
  <c r="L57" i="46"/>
  <c r="L58" i="46"/>
  <c r="L59" i="46"/>
  <c r="L60" i="46"/>
  <c r="L61" i="46"/>
  <c r="L62" i="46"/>
  <c r="L63" i="46"/>
  <c r="L64" i="46"/>
  <c r="L65" i="46"/>
  <c r="L66" i="46"/>
  <c r="L67" i="46"/>
  <c r="L68" i="46"/>
  <c r="L69" i="46"/>
  <c r="L70" i="46"/>
  <c r="L71" i="46"/>
  <c r="L72" i="46"/>
  <c r="L73" i="46"/>
  <c r="L74" i="46"/>
  <c r="L75" i="46"/>
  <c r="L76" i="46"/>
  <c r="L77" i="46"/>
  <c r="L78" i="46"/>
  <c r="L79" i="46"/>
  <c r="L80" i="46"/>
  <c r="L81" i="46"/>
  <c r="L82" i="46"/>
  <c r="L83" i="46"/>
  <c r="L84" i="46"/>
  <c r="L85" i="46"/>
  <c r="L86" i="46"/>
  <c r="L87" i="46"/>
  <c r="L88" i="46"/>
  <c r="L89" i="46"/>
  <c r="L90" i="46"/>
  <c r="L91" i="46"/>
  <c r="L92" i="46"/>
  <c r="L93" i="46"/>
  <c r="L94" i="46"/>
  <c r="L95" i="46"/>
  <c r="L96" i="46"/>
  <c r="L97" i="46"/>
  <c r="L98" i="46"/>
  <c r="L99" i="46"/>
  <c r="L100" i="46"/>
  <c r="L101" i="46"/>
  <c r="L102" i="46"/>
  <c r="L103" i="46"/>
  <c r="L104" i="46"/>
  <c r="L105" i="46"/>
  <c r="L106" i="46"/>
  <c r="L107" i="46"/>
  <c r="L108" i="46"/>
  <c r="L109" i="46"/>
  <c r="L110" i="46"/>
  <c r="L111" i="46"/>
  <c r="L112" i="46"/>
  <c r="L113" i="46"/>
  <c r="L114" i="46"/>
  <c r="L115" i="46"/>
  <c r="L116" i="46"/>
  <c r="L117" i="46"/>
  <c r="L118" i="46"/>
  <c r="L119" i="46"/>
  <c r="L120" i="46"/>
  <c r="L121" i="46"/>
  <c r="L122" i="46"/>
  <c r="L123" i="46"/>
  <c r="L124" i="46"/>
  <c r="L125" i="46"/>
  <c r="L126" i="46"/>
  <c r="L127" i="46"/>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87" i="46"/>
  <c r="L188" i="46"/>
  <c r="L189" i="46"/>
  <c r="L190" i="46"/>
  <c r="L191" i="46"/>
  <c r="L192"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L251" i="46"/>
  <c r="L252" i="46"/>
  <c r="L253" i="46"/>
  <c r="L254" i="46"/>
  <c r="L255" i="46"/>
  <c r="L256" i="46"/>
  <c r="L257" i="46"/>
  <c r="L258" i="46"/>
  <c r="L259" i="46"/>
  <c r="L260" i="46"/>
  <c r="L261" i="46"/>
  <c r="L262" i="46"/>
  <c r="L263" i="46"/>
  <c r="L264" i="46"/>
  <c r="L265" i="46"/>
  <c r="L266" i="46"/>
  <c r="L267" i="46"/>
  <c r="L268" i="46"/>
  <c r="L269" i="46"/>
  <c r="L270" i="46"/>
  <c r="L271" i="46"/>
  <c r="L272" i="46"/>
  <c r="L273" i="46"/>
  <c r="L274" i="46"/>
  <c r="L275" i="46"/>
  <c r="L276" i="46"/>
  <c r="L277" i="46"/>
  <c r="L278" i="46"/>
  <c r="L279" i="46"/>
  <c r="L280" i="46"/>
  <c r="L281" i="46"/>
  <c r="L282" i="46"/>
  <c r="L283" i="46"/>
  <c r="L284" i="46"/>
  <c r="L285" i="46"/>
  <c r="L286" i="46"/>
  <c r="L287" i="46"/>
  <c r="L288" i="46"/>
  <c r="L289" i="46"/>
  <c r="L290" i="46"/>
  <c r="L291" i="46"/>
  <c r="L292" i="46"/>
  <c r="L293" i="46"/>
  <c r="L294" i="46"/>
  <c r="L295" i="46"/>
  <c r="L296" i="46"/>
  <c r="L297" i="46"/>
  <c r="L298" i="46"/>
  <c r="L299" i="46"/>
  <c r="L300" i="46"/>
  <c r="L301" i="46"/>
  <c r="L302" i="46"/>
  <c r="L303" i="46"/>
  <c r="L304" i="46"/>
  <c r="L305" i="46"/>
  <c r="L306" i="46"/>
  <c r="L307" i="46"/>
  <c r="L308" i="46"/>
  <c r="L309" i="46"/>
  <c r="L310" i="46"/>
  <c r="L311" i="46"/>
  <c r="L312" i="46"/>
  <c r="L313" i="46"/>
  <c r="L314" i="46"/>
  <c r="L315" i="46"/>
  <c r="L316" i="46"/>
  <c r="L317" i="46"/>
  <c r="L318" i="46"/>
  <c r="L319" i="46"/>
  <c r="L320" i="46"/>
  <c r="L321" i="46"/>
  <c r="L322" i="46"/>
  <c r="L323" i="46"/>
  <c r="L324" i="46"/>
  <c r="L325" i="46"/>
  <c r="L326" i="46"/>
  <c r="L327" i="46"/>
  <c r="L328" i="46"/>
  <c r="L329" i="46"/>
  <c r="L330" i="46"/>
  <c r="L331" i="46"/>
  <c r="L332" i="46"/>
  <c r="L333" i="46"/>
  <c r="L334" i="46"/>
  <c r="L335" i="46"/>
  <c r="L336" i="46"/>
  <c r="L337" i="46"/>
  <c r="L338" i="46"/>
  <c r="L339" i="46"/>
  <c r="L340" i="46"/>
  <c r="L341" i="46"/>
  <c r="L342" i="46"/>
  <c r="L343" i="46"/>
  <c r="L344" i="46"/>
  <c r="L345" i="46"/>
  <c r="L346" i="46"/>
  <c r="L347" i="46"/>
  <c r="L348" i="46"/>
  <c r="L349" i="46"/>
  <c r="L350" i="46"/>
  <c r="L351" i="46"/>
  <c r="L352" i="46"/>
  <c r="L353" i="46"/>
  <c r="L354" i="46"/>
  <c r="L355" i="46"/>
  <c r="L356" i="46"/>
  <c r="L357" i="46"/>
  <c r="L358" i="46"/>
  <c r="L359" i="46"/>
  <c r="L360" i="46"/>
  <c r="L361" i="46"/>
  <c r="L362" i="46"/>
  <c r="L363" i="46"/>
  <c r="L364" i="46"/>
  <c r="L365" i="46"/>
  <c r="L366" i="46"/>
  <c r="L367" i="46"/>
  <c r="L368" i="46"/>
  <c r="L369" i="46"/>
  <c r="L370" i="46"/>
  <c r="L371" i="46"/>
  <c r="L372" i="46"/>
  <c r="L373" i="46"/>
  <c r="L374" i="46"/>
  <c r="L375" i="46"/>
  <c r="L376" i="46"/>
  <c r="L377" i="46"/>
  <c r="L378" i="46"/>
  <c r="L379" i="46"/>
  <c r="L380" i="46"/>
  <c r="L381" i="46"/>
  <c r="L382" i="46"/>
  <c r="L383" i="46"/>
  <c r="L384" i="46"/>
  <c r="L385" i="46"/>
  <c r="L386" i="46"/>
  <c r="L387" i="46"/>
  <c r="L388" i="46"/>
  <c r="L389" i="46"/>
  <c r="L390" i="46"/>
  <c r="L391" i="46"/>
  <c r="L392" i="46"/>
  <c r="L393" i="46"/>
  <c r="L394" i="46"/>
  <c r="L395" i="46"/>
  <c r="L396" i="46"/>
  <c r="L397" i="46"/>
  <c r="L398" i="46"/>
  <c r="L399" i="46"/>
  <c r="L400" i="46"/>
  <c r="L401" i="46"/>
  <c r="L402" i="46"/>
  <c r="L403" i="46"/>
  <c r="L404" i="46"/>
  <c r="L405" i="46"/>
  <c r="L406" i="46"/>
  <c r="L407" i="46"/>
  <c r="L408" i="46"/>
  <c r="L409" i="46"/>
  <c r="L410" i="46"/>
  <c r="L411" i="46"/>
  <c r="L412" i="46"/>
  <c r="L413" i="46"/>
  <c r="L414" i="46"/>
  <c r="L415" i="46"/>
  <c r="L416" i="46"/>
  <c r="L417" i="46"/>
  <c r="L418" i="46"/>
  <c r="L419" i="46"/>
  <c r="L420" i="46"/>
  <c r="L421" i="46"/>
  <c r="L422" i="46"/>
  <c r="L423" i="46"/>
  <c r="L424" i="46"/>
  <c r="L425" i="46"/>
  <c r="L426" i="46"/>
  <c r="L427" i="46"/>
  <c r="L428" i="46"/>
  <c r="L429" i="46"/>
  <c r="L430" i="46"/>
  <c r="L431" i="46"/>
  <c r="L432" i="46"/>
  <c r="L433" i="46"/>
  <c r="L434" i="46"/>
  <c r="L435" i="46"/>
  <c r="L436" i="46"/>
  <c r="L437" i="46"/>
  <c r="L438" i="46"/>
  <c r="L439" i="46"/>
  <c r="L440" i="46"/>
  <c r="L441" i="46"/>
  <c r="L442" i="46"/>
  <c r="L443" i="46"/>
  <c r="L444" i="46"/>
  <c r="L445" i="46"/>
  <c r="L446" i="46"/>
  <c r="L447" i="46"/>
  <c r="L448" i="46"/>
  <c r="L449" i="46"/>
  <c r="L450" i="46"/>
  <c r="L451" i="46"/>
  <c r="L452" i="46"/>
  <c r="L453" i="46"/>
  <c r="L454" i="46"/>
  <c r="L455" i="46"/>
  <c r="L456" i="46"/>
  <c r="L457" i="46"/>
  <c r="L458" i="46"/>
  <c r="L459" i="46"/>
  <c r="L460" i="46"/>
  <c r="L461" i="46"/>
  <c r="L462" i="46"/>
  <c r="L463" i="46"/>
  <c r="L464" i="46"/>
  <c r="L465" i="46"/>
  <c r="L466" i="46"/>
  <c r="L467" i="46"/>
  <c r="L468" i="46"/>
  <c r="L469" i="46"/>
  <c r="L470" i="46"/>
  <c r="L471" i="46"/>
  <c r="L472" i="46"/>
  <c r="L473" i="46"/>
  <c r="L474" i="46"/>
  <c r="L475" i="46"/>
  <c r="L476" i="46"/>
  <c r="L477" i="46"/>
  <c r="L478" i="46"/>
  <c r="L479" i="46"/>
  <c r="L480" i="46"/>
  <c r="L481" i="46"/>
  <c r="L482" i="46"/>
  <c r="L483" i="46"/>
  <c r="L484" i="46"/>
  <c r="L485" i="46"/>
  <c r="L486" i="46"/>
  <c r="L487" i="46"/>
  <c r="L488" i="46"/>
  <c r="L489" i="46"/>
  <c r="L490" i="46"/>
  <c r="L491" i="46"/>
  <c r="L492" i="46"/>
  <c r="L493" i="46"/>
  <c r="L494" i="46"/>
  <c r="L495" i="46"/>
  <c r="L496" i="46"/>
  <c r="L497" i="46"/>
  <c r="L498" i="46"/>
  <c r="L499" i="46"/>
  <c r="L500" i="46"/>
  <c r="L501" i="46"/>
  <c r="L502" i="46"/>
  <c r="L503" i="46"/>
  <c r="L504" i="46"/>
  <c r="L505" i="46"/>
  <c r="L506" i="46"/>
  <c r="L507" i="46"/>
  <c r="L508" i="46"/>
  <c r="L509" i="46"/>
  <c r="L510" i="46"/>
  <c r="L511" i="46"/>
  <c r="L512" i="46"/>
  <c r="L513" i="46"/>
  <c r="L514" i="46"/>
  <c r="L515" i="46"/>
  <c r="L516" i="46"/>
  <c r="L517" i="46"/>
  <c r="L518" i="46"/>
  <c r="L519" i="46"/>
  <c r="L520" i="46"/>
  <c r="L521" i="46"/>
  <c r="L522" i="46"/>
  <c r="L523" i="46"/>
  <c r="L524" i="46"/>
  <c r="L525" i="46"/>
  <c r="L526" i="46"/>
  <c r="L527" i="46"/>
  <c r="L528" i="46"/>
  <c r="L529" i="46"/>
  <c r="L530" i="46"/>
  <c r="L531" i="46"/>
  <c r="L532" i="46"/>
  <c r="L533" i="46"/>
  <c r="L534" i="46"/>
  <c r="L535" i="46"/>
  <c r="L536" i="46"/>
  <c r="L537" i="46"/>
  <c r="L538" i="46"/>
  <c r="L539" i="46"/>
  <c r="L540" i="46"/>
  <c r="L541" i="46"/>
  <c r="L542" i="46"/>
  <c r="L543" i="46"/>
  <c r="L544" i="46"/>
  <c r="L545" i="46"/>
  <c r="L546" i="46"/>
  <c r="L547" i="46"/>
  <c r="L548" i="46"/>
  <c r="L549" i="46"/>
  <c r="L550" i="46"/>
  <c r="L551" i="46"/>
  <c r="L552" i="46"/>
  <c r="L553" i="46"/>
  <c r="L554" i="46"/>
  <c r="L555" i="46"/>
  <c r="L556" i="46"/>
  <c r="L557" i="46"/>
  <c r="L558" i="46"/>
  <c r="L559" i="46"/>
  <c r="L560" i="46"/>
  <c r="L561" i="46"/>
  <c r="L562" i="46"/>
  <c r="L563" i="46"/>
  <c r="L564" i="46"/>
  <c r="L565" i="46"/>
  <c r="L566" i="46"/>
  <c r="L567" i="46"/>
  <c r="L568" i="46"/>
  <c r="L569" i="46"/>
  <c r="L570" i="46"/>
  <c r="L571" i="46"/>
  <c r="L572" i="46"/>
  <c r="L573" i="46"/>
  <c r="L574" i="46"/>
  <c r="L575" i="46"/>
  <c r="L576" i="46"/>
  <c r="L577" i="46"/>
  <c r="L578" i="46"/>
  <c r="L579" i="46"/>
  <c r="L580" i="46"/>
  <c r="L581" i="46"/>
  <c r="L582" i="46"/>
  <c r="L583" i="46"/>
  <c r="L584" i="46"/>
  <c r="L585" i="46"/>
  <c r="L586" i="46"/>
  <c r="L587" i="46"/>
  <c r="L588" i="46"/>
  <c r="L589" i="46"/>
  <c r="L590" i="46"/>
  <c r="L591" i="46"/>
  <c r="L592" i="46"/>
  <c r="L593" i="46"/>
  <c r="L594" i="46"/>
  <c r="L595" i="46"/>
  <c r="L596" i="46"/>
  <c r="L597" i="46"/>
  <c r="L598" i="46"/>
  <c r="L599" i="46"/>
  <c r="L600" i="46"/>
  <c r="L601" i="46"/>
  <c r="L602" i="46"/>
  <c r="L603" i="46"/>
  <c r="L604" i="46"/>
  <c r="L605" i="46"/>
  <c r="L606" i="46"/>
  <c r="L607" i="46"/>
  <c r="L608" i="46"/>
  <c r="L609" i="46"/>
  <c r="L610" i="46"/>
  <c r="L611" i="46"/>
  <c r="L612" i="46"/>
  <c r="L613" i="46"/>
  <c r="L614" i="46"/>
  <c r="L615" i="46"/>
  <c r="L616" i="46"/>
  <c r="L617" i="46"/>
  <c r="L618" i="46"/>
  <c r="L619" i="46"/>
  <c r="L620" i="46"/>
  <c r="L621" i="46"/>
  <c r="L622" i="46"/>
  <c r="L623" i="46"/>
  <c r="L624" i="46"/>
  <c r="L625" i="46"/>
  <c r="L626" i="46"/>
  <c r="L627" i="46"/>
  <c r="L628" i="46"/>
  <c r="L629" i="46"/>
  <c r="L630" i="46"/>
  <c r="L631" i="46"/>
  <c r="L632" i="46"/>
  <c r="L633" i="46"/>
  <c r="L634" i="46"/>
  <c r="L635" i="46"/>
  <c r="L636" i="46"/>
  <c r="L637" i="46"/>
  <c r="L638" i="46"/>
  <c r="L639" i="46"/>
  <c r="L640" i="46"/>
  <c r="L641" i="46"/>
  <c r="L642" i="46"/>
  <c r="L643" i="46"/>
  <c r="L644" i="46"/>
  <c r="L645" i="46"/>
  <c r="L646" i="46"/>
  <c r="L647" i="46"/>
  <c r="L648" i="46"/>
  <c r="L649" i="46"/>
  <c r="L650" i="46"/>
  <c r="L651" i="46"/>
  <c r="L652" i="46"/>
  <c r="L653" i="46"/>
  <c r="L654" i="46"/>
  <c r="L655" i="46"/>
  <c r="L656" i="46"/>
  <c r="L657" i="46"/>
  <c r="L658" i="46"/>
  <c r="L659" i="46"/>
  <c r="L660" i="46"/>
  <c r="L661" i="46"/>
  <c r="L662" i="46"/>
  <c r="L663" i="46"/>
  <c r="L664" i="46"/>
  <c r="L665" i="46"/>
  <c r="L666" i="46"/>
  <c r="L667" i="46"/>
  <c r="L668" i="46"/>
  <c r="L669" i="46"/>
  <c r="L670" i="46"/>
  <c r="L671" i="46"/>
  <c r="L672" i="46"/>
  <c r="L673" i="46"/>
  <c r="L674" i="46"/>
  <c r="L675" i="46"/>
  <c r="L676" i="46"/>
  <c r="L677" i="46"/>
  <c r="L678" i="46"/>
  <c r="L679" i="46"/>
  <c r="L680" i="46"/>
  <c r="L681" i="46"/>
  <c r="L682" i="46"/>
  <c r="L683" i="46"/>
  <c r="L684" i="46"/>
  <c r="L685" i="46"/>
  <c r="L686" i="46"/>
  <c r="L687" i="46"/>
  <c r="L688" i="46"/>
  <c r="L689" i="46"/>
  <c r="L690" i="46"/>
  <c r="L691" i="46"/>
  <c r="L692" i="46"/>
  <c r="L693" i="46"/>
  <c r="L694" i="46"/>
  <c r="L695" i="46"/>
  <c r="L696" i="46"/>
  <c r="L697" i="46"/>
  <c r="L698" i="46"/>
  <c r="L699" i="46"/>
  <c r="L700" i="46"/>
  <c r="L701" i="46"/>
  <c r="L702" i="46"/>
  <c r="L703" i="46"/>
  <c r="L704" i="46"/>
  <c r="L705" i="46"/>
  <c r="L706" i="46"/>
  <c r="L707" i="46"/>
  <c r="L708" i="46"/>
  <c r="L709" i="46"/>
  <c r="L710" i="46"/>
  <c r="L711" i="46"/>
  <c r="L712" i="46"/>
  <c r="L713" i="46"/>
  <c r="L714" i="46"/>
  <c r="L715" i="46"/>
  <c r="L716" i="46"/>
  <c r="L717" i="46"/>
  <c r="L718" i="46"/>
  <c r="L719" i="46"/>
  <c r="L720" i="46"/>
  <c r="L721" i="46"/>
  <c r="L722" i="46"/>
  <c r="L723" i="46"/>
  <c r="L724" i="46"/>
  <c r="L725" i="46"/>
  <c r="L726" i="46"/>
  <c r="L727" i="46"/>
  <c r="L728" i="46"/>
  <c r="L729" i="46"/>
  <c r="L730" i="46"/>
  <c r="L731" i="46"/>
  <c r="L732" i="46"/>
  <c r="L733" i="46"/>
  <c r="L734" i="46"/>
  <c r="L735" i="46"/>
  <c r="L736" i="46"/>
  <c r="L737" i="46"/>
  <c r="L738" i="46"/>
  <c r="L739" i="46"/>
  <c r="L740" i="46"/>
  <c r="L741" i="46"/>
  <c r="L742" i="46"/>
  <c r="L743" i="46"/>
  <c r="L744" i="46"/>
  <c r="L745" i="46"/>
  <c r="L746" i="46"/>
  <c r="L747" i="46"/>
  <c r="L748" i="46"/>
  <c r="L749" i="46"/>
  <c r="L750" i="46"/>
  <c r="L751" i="46"/>
  <c r="L752" i="46"/>
  <c r="L753" i="46"/>
  <c r="L754" i="46"/>
  <c r="L755" i="46"/>
  <c r="L756" i="46"/>
  <c r="L757" i="46"/>
  <c r="L758" i="46"/>
  <c r="L759" i="46"/>
  <c r="L760" i="46"/>
  <c r="L761" i="46"/>
  <c r="L762" i="46"/>
  <c r="L763" i="46"/>
  <c r="L764" i="46"/>
  <c r="L765" i="46"/>
  <c r="L766" i="46"/>
  <c r="L767" i="46"/>
  <c r="L768" i="46"/>
  <c r="L769" i="46"/>
  <c r="L770" i="46"/>
  <c r="L771" i="46"/>
  <c r="L772" i="46"/>
  <c r="L773" i="46"/>
  <c r="L774" i="46"/>
  <c r="L775" i="46"/>
  <c r="L776" i="46"/>
  <c r="L777" i="46"/>
  <c r="L778" i="46"/>
  <c r="L779" i="46"/>
  <c r="L780" i="46"/>
  <c r="L781" i="46"/>
  <c r="L782" i="46"/>
  <c r="L783" i="46"/>
  <c r="L784" i="46"/>
  <c r="L785" i="46"/>
  <c r="L786" i="46"/>
  <c r="L787" i="46"/>
  <c r="L788" i="46"/>
  <c r="L789" i="46"/>
  <c r="L790" i="46"/>
  <c r="L791" i="46"/>
  <c r="L792" i="46"/>
  <c r="L793" i="46"/>
  <c r="L794" i="46"/>
  <c r="L795" i="46"/>
  <c r="L796" i="46"/>
  <c r="L797" i="46"/>
  <c r="L798" i="46"/>
  <c r="L799" i="46"/>
  <c r="L800" i="46"/>
  <c r="L801" i="46"/>
  <c r="L802" i="46"/>
  <c r="L803" i="46"/>
  <c r="L804" i="46"/>
  <c r="L805" i="46"/>
  <c r="L806" i="46"/>
  <c r="L807" i="46"/>
  <c r="L808" i="46"/>
  <c r="L809" i="46"/>
  <c r="L810" i="46"/>
  <c r="L811" i="46"/>
  <c r="L812" i="46"/>
  <c r="L813" i="46"/>
  <c r="L814" i="46"/>
  <c r="L815" i="46"/>
  <c r="L816" i="46"/>
  <c r="L817" i="46"/>
  <c r="L818" i="46"/>
  <c r="L819" i="46"/>
  <c r="L820" i="46"/>
  <c r="L821" i="46"/>
  <c r="L1777" i="46"/>
  <c r="L1767" i="46"/>
  <c r="L1768" i="46"/>
  <c r="L1769" i="46"/>
  <c r="L1770" i="46"/>
  <c r="L1759" i="46"/>
  <c r="L1760" i="46"/>
  <c r="L1756" i="46"/>
  <c r="L1757" i="46"/>
  <c r="C233" i="21"/>
  <c r="L1461" i="46"/>
  <c r="L1462" i="46"/>
  <c r="L1463" i="46"/>
  <c r="L1464" i="46"/>
  <c r="L1465" i="46"/>
  <c r="L1466" i="46"/>
  <c r="L1467" i="46"/>
  <c r="L1468" i="46"/>
  <c r="L1469" i="46"/>
  <c r="L1470" i="46"/>
  <c r="L1778" i="46"/>
  <c r="L1776" i="46"/>
  <c r="L1775" i="46"/>
  <c r="L1774" i="46"/>
  <c r="L1773" i="46"/>
  <c r="L1772" i="46"/>
  <c r="L1771" i="46"/>
  <c r="L1766" i="46"/>
  <c r="L1765" i="46"/>
  <c r="L1764" i="46"/>
  <c r="L1763" i="46"/>
  <c r="L1762" i="46"/>
  <c r="L1761" i="46"/>
  <c r="L1758" i="46"/>
  <c r="L1755" i="46"/>
  <c r="L1754" i="46"/>
  <c r="L1753" i="46"/>
  <c r="L1752" i="46"/>
  <c r="L1751" i="46"/>
  <c r="L1750" i="46"/>
  <c r="L1749" i="46"/>
  <c r="L1748" i="46"/>
  <c r="L1747" i="46"/>
  <c r="L1746" i="46"/>
  <c r="L1745" i="46"/>
  <c r="L1744" i="46"/>
  <c r="L1743" i="46"/>
  <c r="L1742" i="46"/>
  <c r="L1741" i="46"/>
  <c r="L1740" i="46"/>
  <c r="L1739" i="46"/>
  <c r="L1738" i="46"/>
  <c r="L1737" i="46"/>
  <c r="L1736" i="46"/>
  <c r="L1735" i="46"/>
  <c r="L1734" i="46"/>
  <c r="L1733" i="46"/>
  <c r="L1732" i="46"/>
  <c r="L1731" i="46"/>
  <c r="L1730" i="46"/>
  <c r="L1729" i="46"/>
  <c r="L1728" i="46"/>
  <c r="L1727" i="46"/>
  <c r="L1726" i="46"/>
  <c r="L1725" i="46"/>
  <c r="L1724" i="46"/>
  <c r="L1723" i="46"/>
  <c r="L1722" i="46"/>
  <c r="L1721" i="46"/>
  <c r="L1720" i="46"/>
  <c r="L1719" i="46"/>
  <c r="L1718" i="46"/>
  <c r="L1717" i="46"/>
  <c r="L1716" i="46"/>
  <c r="L1715" i="46"/>
  <c r="L1714" i="46"/>
  <c r="L1713" i="46"/>
  <c r="L1712" i="46"/>
  <c r="L1711" i="46"/>
  <c r="L1710" i="46"/>
  <c r="L1709" i="46"/>
  <c r="L1708" i="46"/>
  <c r="L1707" i="46"/>
  <c r="L1706" i="46"/>
  <c r="L1705" i="46"/>
  <c r="L1704" i="46"/>
  <c r="L1703" i="46"/>
  <c r="L1702" i="46"/>
  <c r="L1701" i="46"/>
  <c r="L1700" i="46"/>
  <c r="L1699" i="46"/>
  <c r="L1698" i="46"/>
  <c r="L1697" i="46"/>
  <c r="L1696" i="46"/>
  <c r="L1695" i="46"/>
  <c r="L1694" i="46"/>
  <c r="L1693" i="46"/>
  <c r="L1692" i="46"/>
  <c r="L1691" i="46"/>
  <c r="L1690" i="46"/>
  <c r="L1689" i="46"/>
  <c r="L1688" i="46"/>
  <c r="L1687" i="46"/>
  <c r="L1686" i="46"/>
  <c r="L1685" i="46"/>
  <c r="L1684" i="46"/>
  <c r="L1683" i="46"/>
  <c r="L1682" i="46"/>
  <c r="L1681" i="46"/>
  <c r="L1680" i="46"/>
  <c r="L1679" i="46"/>
  <c r="L1678" i="46"/>
  <c r="L1677" i="46"/>
  <c r="L1676" i="46"/>
  <c r="L1675" i="46"/>
  <c r="L1674" i="46"/>
  <c r="L1673" i="46"/>
  <c r="L1672" i="46"/>
  <c r="L1671" i="46"/>
  <c r="L1670" i="46"/>
  <c r="L1669" i="46"/>
  <c r="L1668" i="46"/>
  <c r="L1667" i="46"/>
  <c r="L1666" i="46"/>
  <c r="L1665" i="46"/>
  <c r="L1664" i="46"/>
  <c r="L1663" i="46"/>
  <c r="L1662" i="46"/>
  <c r="L1661" i="46"/>
  <c r="L1660" i="46"/>
  <c r="L1659" i="46"/>
  <c r="L1658" i="46"/>
  <c r="L1657" i="46"/>
  <c r="L1656" i="46"/>
  <c r="L1655" i="46"/>
  <c r="L1654" i="46"/>
  <c r="L1653" i="46"/>
  <c r="L1652" i="46"/>
  <c r="L1651" i="46"/>
  <c r="L1650" i="46"/>
  <c r="L1649" i="46"/>
  <c r="L1648" i="46"/>
  <c r="L1647" i="46"/>
  <c r="L1646" i="46"/>
  <c r="L1645" i="46"/>
  <c r="L1644" i="46"/>
  <c r="L1643" i="46"/>
  <c r="L1642" i="46"/>
  <c r="L1641" i="46"/>
  <c r="L1640" i="46"/>
  <c r="L1639" i="46"/>
  <c r="L1638" i="46"/>
  <c r="L1637" i="46"/>
  <c r="L1636" i="46"/>
  <c r="L1635" i="46"/>
  <c r="L1634" i="46"/>
  <c r="L1633" i="46"/>
  <c r="L1632" i="46"/>
  <c r="L1631" i="46"/>
  <c r="L1630" i="46"/>
  <c r="L1629" i="46"/>
  <c r="L1628" i="46"/>
  <c r="L1627" i="46"/>
  <c r="L1626" i="46"/>
  <c r="L1625" i="46"/>
  <c r="L1624" i="46"/>
  <c r="L1623" i="46"/>
  <c r="L1622" i="46"/>
  <c r="L1621" i="46"/>
  <c r="L1620" i="46"/>
  <c r="L1619" i="46"/>
  <c r="L1618" i="46"/>
  <c r="L1617" i="46"/>
  <c r="L1616" i="46"/>
  <c r="L1615" i="46"/>
  <c r="L1614" i="46"/>
  <c r="L1613" i="46"/>
  <c r="L1612" i="46"/>
  <c r="L1611" i="46"/>
  <c r="L1610" i="46"/>
  <c r="L1609" i="46"/>
  <c r="L1608" i="46"/>
  <c r="L1607" i="46"/>
  <c r="L1606" i="46"/>
  <c r="L1605" i="46"/>
  <c r="L1604" i="46"/>
  <c r="L1603" i="46"/>
  <c r="L1602" i="46"/>
  <c r="L1601" i="46"/>
  <c r="L1600" i="46"/>
  <c r="L1599" i="46"/>
  <c r="L1598" i="46"/>
  <c r="L1597" i="46"/>
  <c r="L1596" i="46"/>
  <c r="L1595" i="46"/>
  <c r="L1594" i="46"/>
  <c r="L1593" i="46"/>
  <c r="L1592" i="46"/>
  <c r="L1591" i="46"/>
  <c r="L1590" i="46"/>
  <c r="L1589" i="46"/>
  <c r="L1588" i="46"/>
  <c r="L1587" i="46"/>
  <c r="L1586" i="46"/>
  <c r="L1585" i="46"/>
  <c r="L1584" i="46"/>
  <c r="L1583" i="46"/>
  <c r="L1582" i="46"/>
  <c r="L1581" i="46"/>
  <c r="L1580" i="46"/>
  <c r="L1579" i="46"/>
  <c r="L1578" i="46"/>
  <c r="L1577" i="46"/>
  <c r="L1576" i="46"/>
  <c r="L1575" i="46"/>
  <c r="L1574" i="46"/>
  <c r="L1573" i="46"/>
  <c r="L1572" i="46"/>
  <c r="L1571" i="46"/>
  <c r="L1570" i="46"/>
  <c r="L1569" i="46"/>
  <c r="L1568" i="46"/>
  <c r="L1567" i="46"/>
  <c r="L1566" i="46"/>
  <c r="L1533" i="46"/>
  <c r="L1532" i="46"/>
  <c r="L1531" i="46"/>
  <c r="L1530" i="46"/>
  <c r="L1529" i="46"/>
  <c r="L1528" i="46"/>
  <c r="L1527" i="46"/>
  <c r="L1526" i="46"/>
  <c r="L1525" i="46"/>
  <c r="L1524" i="46"/>
  <c r="L1523" i="46"/>
  <c r="L1522" i="46"/>
  <c r="L1521" i="46"/>
  <c r="L1520" i="46"/>
  <c r="L1519" i="46"/>
  <c r="L1518" i="46"/>
  <c r="L1517" i="46"/>
  <c r="L1516" i="46"/>
  <c r="L1515" i="46"/>
  <c r="L1514" i="46"/>
  <c r="L1513" i="46"/>
  <c r="L1512" i="46"/>
  <c r="L1511" i="46"/>
  <c r="L1510" i="46"/>
  <c r="L1509" i="46"/>
  <c r="L1508" i="46"/>
  <c r="L1507" i="46"/>
  <c r="L1506" i="46"/>
  <c r="L1505" i="46"/>
  <c r="L1504" i="46"/>
  <c r="L1503" i="46"/>
  <c r="L1502" i="46"/>
  <c r="L1501" i="46"/>
  <c r="L1500" i="46"/>
  <c r="L1499" i="46"/>
  <c r="L1498" i="46"/>
  <c r="L1497" i="46"/>
  <c r="L1496" i="46"/>
  <c r="L1495" i="46"/>
  <c r="L1494" i="46"/>
  <c r="L1493" i="46"/>
  <c r="L1492" i="46"/>
  <c r="L1491" i="46"/>
  <c r="L1490" i="46"/>
  <c r="L1489" i="46"/>
  <c r="L1488" i="46"/>
  <c r="L1487" i="46"/>
  <c r="L1486" i="46"/>
  <c r="L1485" i="46"/>
  <c r="L1484" i="46"/>
  <c r="L1483" i="46"/>
  <c r="L1482" i="46"/>
  <c r="L1481" i="46"/>
  <c r="L1480" i="46"/>
  <c r="L1479" i="46"/>
  <c r="L1478" i="46"/>
  <c r="L1477" i="46"/>
  <c r="L1476" i="46"/>
  <c r="L1475" i="46"/>
  <c r="L1474" i="46"/>
  <c r="L1473" i="46"/>
  <c r="L1472" i="46"/>
  <c r="L1471" i="46"/>
  <c r="L1460" i="46"/>
  <c r="L1459" i="46"/>
  <c r="L1458" i="46"/>
  <c r="L1457" i="46"/>
  <c r="L1456" i="46"/>
  <c r="L1455" i="46"/>
  <c r="L1454" i="46"/>
  <c r="L1453" i="46"/>
  <c r="L1452" i="46"/>
  <c r="L1451" i="46"/>
  <c r="L1450" i="46"/>
  <c r="L1449" i="46"/>
  <c r="L1448" i="46"/>
  <c r="L1447" i="46"/>
  <c r="L1446" i="46"/>
  <c r="L1445" i="46"/>
  <c r="L1444" i="46"/>
  <c r="L1443" i="46"/>
  <c r="L1442" i="46"/>
  <c r="L1441" i="46"/>
  <c r="L1440" i="46"/>
  <c r="L1439" i="46"/>
  <c r="L1438" i="46"/>
  <c r="L1437" i="46"/>
  <c r="L1436" i="46"/>
  <c r="L1435" i="46"/>
  <c r="L1434" i="46"/>
  <c r="L1433" i="46"/>
  <c r="L1432" i="46"/>
  <c r="L1431" i="46"/>
  <c r="L1430" i="46"/>
  <c r="L1429" i="46"/>
  <c r="L1428" i="46"/>
  <c r="L1427" i="46"/>
  <c r="L1426" i="46"/>
  <c r="L1425" i="46"/>
  <c r="L1424" i="46"/>
  <c r="L1423" i="46"/>
  <c r="L1422" i="46"/>
  <c r="L1421" i="46"/>
  <c r="L1420" i="46"/>
  <c r="L1419" i="46"/>
  <c r="L1418" i="46"/>
  <c r="L1417" i="46"/>
  <c r="L1416" i="46"/>
  <c r="L1415" i="46"/>
  <c r="L1414" i="46"/>
  <c r="L1413" i="46"/>
  <c r="L1412" i="46"/>
  <c r="L1411" i="46"/>
  <c r="L1410" i="46"/>
  <c r="L1409" i="46"/>
  <c r="L1408" i="46"/>
  <c r="L1407" i="46"/>
  <c r="L1406" i="46"/>
  <c r="L1405" i="46"/>
  <c r="L1404" i="46"/>
  <c r="L1403" i="46"/>
  <c r="L1402" i="46"/>
  <c r="L1401" i="46"/>
  <c r="L1400" i="46"/>
  <c r="L1399" i="46"/>
  <c r="L1398" i="46"/>
  <c r="L1397" i="46"/>
  <c r="L1396" i="46"/>
  <c r="L1395" i="46"/>
  <c r="L1394" i="46"/>
  <c r="L1393" i="46"/>
  <c r="L1392" i="46"/>
  <c r="L1391" i="46"/>
  <c r="L1390" i="46"/>
  <c r="L1389" i="46"/>
  <c r="L1388" i="46"/>
  <c r="L1387" i="46"/>
  <c r="L1386" i="46"/>
  <c r="L1385" i="46"/>
  <c r="L1384" i="46"/>
  <c r="L1383" i="46"/>
  <c r="L1382" i="46"/>
  <c r="L1381" i="46"/>
  <c r="L1380" i="46"/>
  <c r="L1379" i="46"/>
  <c r="L1378" i="46"/>
  <c r="L1377" i="46"/>
  <c r="L1376" i="46"/>
  <c r="L1375" i="46"/>
  <c r="L1374" i="46"/>
  <c r="L1373" i="46"/>
  <c r="L1372" i="46"/>
  <c r="L1371" i="46"/>
  <c r="L1370" i="46"/>
  <c r="L1369" i="46"/>
  <c r="L1368" i="46"/>
  <c r="L1367" i="46"/>
  <c r="L1366" i="46"/>
  <c r="L1365" i="46"/>
  <c r="L1364" i="46"/>
  <c r="L1363" i="46"/>
  <c r="L1362" i="46"/>
  <c r="L1361" i="46"/>
  <c r="L1360" i="46"/>
  <c r="L1359" i="46"/>
  <c r="L1358" i="46"/>
  <c r="L1357" i="46"/>
  <c r="L1356" i="46"/>
  <c r="L1355" i="46"/>
  <c r="L1354" i="46"/>
  <c r="L1353" i="46"/>
  <c r="L1352" i="46"/>
  <c r="L1351" i="46"/>
  <c r="L1350" i="46"/>
  <c r="L1349" i="46"/>
  <c r="L1348" i="46"/>
  <c r="L1347" i="46"/>
  <c r="L1346" i="46"/>
  <c r="L1345" i="46"/>
  <c r="L1344" i="46"/>
  <c r="L1343" i="46"/>
  <c r="L1342" i="46"/>
  <c r="L1341" i="46"/>
  <c r="L1340" i="46"/>
  <c r="L1339" i="46"/>
  <c r="L1338" i="46"/>
  <c r="L1337" i="46"/>
  <c r="L1336" i="46"/>
  <c r="L1335" i="46"/>
  <c r="L1334" i="46"/>
  <c r="L1333" i="46"/>
  <c r="L1332" i="46"/>
  <c r="L1331" i="46"/>
  <c r="L1330" i="46"/>
  <c r="L1329" i="46"/>
  <c r="L1328" i="46"/>
  <c r="L1327" i="46"/>
  <c r="L1326" i="46"/>
  <c r="L1325" i="46"/>
  <c r="L1324" i="46"/>
  <c r="L1323" i="46"/>
  <c r="L1322" i="46"/>
  <c r="L1321" i="46"/>
  <c r="L1320" i="46"/>
  <c r="L1319" i="46"/>
  <c r="L1318" i="46"/>
  <c r="L1317" i="46"/>
  <c r="L1316" i="46"/>
  <c r="L1315" i="46"/>
  <c r="L1314" i="46"/>
  <c r="L1313" i="46"/>
  <c r="L1312" i="46"/>
  <c r="L1311" i="46"/>
  <c r="L1310" i="46"/>
  <c r="L1309" i="46"/>
  <c r="L1308" i="46"/>
  <c r="L1307" i="46"/>
  <c r="L1306" i="46"/>
  <c r="L1305" i="46"/>
  <c r="L1304" i="46"/>
  <c r="L1303" i="46"/>
  <c r="L1302" i="46"/>
  <c r="L1301" i="46"/>
  <c r="L1300" i="46"/>
  <c r="L1299" i="46"/>
  <c r="L1298" i="46"/>
  <c r="L1297" i="46"/>
  <c r="L1296" i="46"/>
  <c r="L1295" i="46"/>
  <c r="L1294" i="46"/>
  <c r="L1293" i="46"/>
  <c r="L1292" i="46"/>
  <c r="L1291" i="46"/>
  <c r="L1290" i="46"/>
  <c r="L1289" i="46"/>
  <c r="L1288" i="46"/>
  <c r="L1287" i="46"/>
  <c r="L1286" i="46"/>
  <c r="L1285" i="46"/>
  <c r="L1284" i="46"/>
  <c r="L1283" i="46"/>
  <c r="L1282" i="46"/>
  <c r="L1281" i="46"/>
  <c r="L1280" i="46"/>
  <c r="L1279" i="46"/>
  <c r="L1278" i="46"/>
  <c r="L1277" i="46"/>
  <c r="L1276" i="46"/>
  <c r="L1275" i="46"/>
  <c r="L1274" i="46"/>
  <c r="L1273" i="46"/>
  <c r="L1272" i="46"/>
  <c r="L1271" i="46"/>
  <c r="L1270" i="46"/>
  <c r="L1269" i="46"/>
  <c r="L1268" i="46"/>
  <c r="L1267" i="46"/>
  <c r="L1266" i="46"/>
  <c r="L1265" i="46"/>
  <c r="L1264" i="46"/>
  <c r="L1263" i="46"/>
  <c r="L1262" i="46"/>
  <c r="L1261" i="46"/>
  <c r="L1260" i="46"/>
  <c r="L1259" i="46"/>
  <c r="L1258" i="46"/>
  <c r="L1257" i="46"/>
  <c r="L1256" i="46"/>
  <c r="L1255" i="46"/>
  <c r="L1254" i="46"/>
  <c r="L1253" i="46"/>
  <c r="L1252" i="46"/>
  <c r="L1251" i="46"/>
  <c r="L1250" i="46"/>
  <c r="L1249" i="46"/>
  <c r="L1248" i="46"/>
  <c r="L1247" i="46"/>
  <c r="L1246" i="46"/>
  <c r="L1245" i="46"/>
  <c r="L1244" i="46"/>
  <c r="L1243" i="46"/>
  <c r="L1242" i="46"/>
  <c r="L1241" i="46"/>
  <c r="L1240" i="46"/>
  <c r="L1239" i="46"/>
  <c r="L1238" i="46"/>
  <c r="L1237" i="46"/>
  <c r="L1236" i="46"/>
  <c r="L1235" i="46"/>
  <c r="L1234" i="46"/>
  <c r="L1233" i="46"/>
  <c r="L1232" i="46"/>
  <c r="L1231" i="46"/>
  <c r="L1230" i="46"/>
  <c r="L1229" i="46"/>
  <c r="L1228" i="46"/>
  <c r="L1227" i="46"/>
  <c r="L1226" i="46"/>
  <c r="L1225" i="46"/>
  <c r="L1224" i="46"/>
  <c r="L1223" i="46"/>
  <c r="L1222" i="46"/>
  <c r="L1221" i="46"/>
  <c r="L1220" i="46"/>
  <c r="L1219" i="46"/>
  <c r="L1218" i="46"/>
  <c r="L1217" i="46"/>
  <c r="L1216" i="46"/>
  <c r="L1215" i="46"/>
  <c r="L1214" i="46"/>
  <c r="L1213" i="46"/>
  <c r="L1212" i="46"/>
  <c r="L1211" i="46"/>
  <c r="L1210" i="46"/>
  <c r="L1209" i="46"/>
  <c r="L1208" i="46"/>
  <c r="L1207" i="46"/>
  <c r="L1206" i="46"/>
  <c r="L1205" i="46"/>
  <c r="L1204" i="46"/>
  <c r="L1203" i="46"/>
  <c r="L1202" i="46"/>
  <c r="L1201" i="46"/>
  <c r="L1200" i="46"/>
  <c r="L1199" i="46"/>
  <c r="L1198" i="46"/>
  <c r="L1197" i="46"/>
  <c r="L1196" i="46"/>
  <c r="L1195" i="46"/>
  <c r="L1194" i="46"/>
  <c r="L1193" i="46"/>
  <c r="L1192" i="46"/>
  <c r="L1191" i="46"/>
  <c r="L1190" i="46"/>
  <c r="L1189" i="46"/>
  <c r="L1188" i="46"/>
  <c r="L1187" i="46"/>
  <c r="L1186" i="46"/>
  <c r="L1185" i="46"/>
  <c r="L1184" i="46"/>
  <c r="L1183" i="46"/>
  <c r="L1182" i="46"/>
  <c r="L1181" i="46"/>
  <c r="L1180" i="46"/>
  <c r="L1179" i="46"/>
  <c r="L1178" i="46"/>
  <c r="L1177" i="46"/>
  <c r="L1176" i="46"/>
  <c r="L1175" i="46"/>
  <c r="L1174" i="46"/>
  <c r="L1173" i="46"/>
  <c r="L1172" i="46"/>
  <c r="L1171" i="46"/>
  <c r="L1170" i="46"/>
  <c r="L1169" i="46"/>
  <c r="L1168" i="46"/>
  <c r="L1167" i="46"/>
  <c r="L1166" i="46"/>
  <c r="L1165" i="46"/>
  <c r="L1164" i="46"/>
  <c r="L1163" i="46"/>
  <c r="L1162" i="46"/>
  <c r="L1161" i="46"/>
  <c r="L1160" i="46"/>
  <c r="L1159" i="46"/>
  <c r="L1158" i="46"/>
  <c r="L1157" i="46"/>
  <c r="L1156" i="46"/>
  <c r="L1155" i="46"/>
  <c r="L1154" i="46"/>
  <c r="L1153" i="46"/>
  <c r="L1152" i="46"/>
  <c r="L1151" i="46"/>
  <c r="L1150" i="46"/>
  <c r="L1149" i="46"/>
  <c r="L1148" i="46"/>
  <c r="L1147" i="46"/>
  <c r="L1146" i="46"/>
  <c r="L1145" i="46"/>
  <c r="L1144" i="46"/>
  <c r="L1143" i="46"/>
  <c r="L1142" i="46"/>
  <c r="L1141" i="46"/>
  <c r="L1140" i="46"/>
  <c r="L1139" i="46"/>
  <c r="L1138" i="46"/>
  <c r="L1137" i="46"/>
  <c r="L1136" i="46"/>
  <c r="L1135" i="46"/>
  <c r="L1134" i="46"/>
  <c r="L1133" i="46"/>
  <c r="L1132" i="46"/>
  <c r="L1131" i="46"/>
  <c r="L1130" i="46"/>
  <c r="L1129" i="46"/>
  <c r="L1128" i="46"/>
  <c r="L1127" i="46"/>
  <c r="L1126" i="46"/>
  <c r="L1125" i="46"/>
  <c r="L1124" i="46"/>
  <c r="L1123" i="46"/>
  <c r="L1122" i="46"/>
  <c r="L1121" i="46"/>
  <c r="L1120" i="46"/>
  <c r="L1119" i="46"/>
  <c r="L1118" i="46"/>
  <c r="L1117" i="46"/>
  <c r="L1116" i="46"/>
  <c r="L1115" i="46"/>
  <c r="L1114" i="46"/>
  <c r="L1113" i="46"/>
  <c r="L1112" i="46"/>
  <c r="L1111" i="46"/>
  <c r="L1110" i="46"/>
  <c r="L1109" i="46"/>
  <c r="L1108" i="46"/>
  <c r="L1107" i="46"/>
  <c r="L1104" i="46"/>
  <c r="L1103" i="46"/>
  <c r="L1102" i="46"/>
  <c r="L1096" i="46"/>
  <c r="L1095" i="46"/>
  <c r="L1094" i="46"/>
  <c r="L1093" i="46"/>
  <c r="L1092" i="46"/>
  <c r="L1091" i="46"/>
  <c r="L1090" i="46"/>
  <c r="L1089" i="46"/>
  <c r="L1088" i="46"/>
  <c r="L1087" i="46"/>
  <c r="L1086" i="46"/>
  <c r="L1085" i="46"/>
  <c r="L1084" i="46"/>
  <c r="L1079" i="46"/>
  <c r="L1078" i="46"/>
  <c r="L1073" i="46"/>
  <c r="L1072" i="46"/>
  <c r="L1065" i="46"/>
  <c r="L1063" i="46"/>
  <c r="L1062" i="46"/>
  <c r="L1061" i="46"/>
  <c r="L1058" i="46"/>
  <c r="L1057" i="46"/>
  <c r="L1056" i="46"/>
  <c r="L1051" i="46"/>
  <c r="L1050" i="46"/>
  <c r="L1046" i="46"/>
  <c r="L1045" i="46"/>
  <c r="L1044" i="46"/>
  <c r="L1043" i="46"/>
  <c r="L1040" i="46"/>
  <c r="L1039" i="46"/>
  <c r="L1038" i="46"/>
  <c r="L1034" i="46"/>
  <c r="L1030" i="46"/>
  <c r="L1028" i="46"/>
  <c r="L1026" i="46"/>
  <c r="L1025" i="46"/>
  <c r="L1024" i="46"/>
  <c r="L1021" i="46"/>
  <c r="L1016" i="46"/>
  <c r="L1012" i="46"/>
  <c r="L1007" i="46"/>
  <c r="L1006" i="46"/>
  <c r="L1001" i="46"/>
  <c r="L1000" i="46"/>
  <c r="L996" i="46"/>
  <c r="L995" i="46"/>
  <c r="L994" i="46"/>
  <c r="L993" i="46"/>
  <c r="L992" i="46"/>
  <c r="L989" i="46"/>
  <c r="L987" i="46"/>
  <c r="L983" i="46"/>
  <c r="L982" i="46"/>
  <c r="L981" i="46"/>
  <c r="L978" i="46"/>
  <c r="L973" i="46"/>
  <c r="L968" i="46"/>
  <c r="L962" i="46"/>
  <c r="L959" i="46"/>
  <c r="L957" i="46"/>
  <c r="L953" i="46"/>
  <c r="L951" i="46"/>
  <c r="L950" i="46"/>
  <c r="L947" i="46"/>
  <c r="L946" i="46"/>
  <c r="L942" i="46"/>
  <c r="L938" i="46"/>
  <c r="L936" i="46"/>
  <c r="L935" i="46"/>
  <c r="L933" i="46"/>
  <c r="L926" i="46"/>
  <c r="L919" i="46"/>
  <c r="L918" i="46"/>
  <c r="L911" i="46"/>
  <c r="L909" i="46"/>
  <c r="L900" i="46"/>
  <c r="L887" i="46"/>
  <c r="L877" i="46"/>
  <c r="L862" i="46"/>
  <c r="L843" i="46"/>
  <c r="L842" i="46"/>
  <c r="L841" i="46"/>
  <c r="L840" i="46"/>
  <c r="L839" i="46"/>
  <c r="L838" i="46"/>
  <c r="L837" i="46"/>
  <c r="L836" i="46"/>
  <c r="L835" i="46"/>
  <c r="L834" i="46"/>
  <c r="L833" i="46"/>
  <c r="L832" i="46"/>
  <c r="L831" i="46"/>
  <c r="L830" i="46"/>
  <c r="L829" i="46"/>
  <c r="L828" i="46"/>
  <c r="L827" i="46"/>
  <c r="L826" i="46"/>
  <c r="L825" i="46"/>
  <c r="L824" i="46"/>
  <c r="L823" i="46"/>
  <c r="L822" i="46"/>
  <c r="L194" i="46"/>
  <c r="L193" i="46"/>
  <c r="L5" i="46"/>
  <c r="L4" i="46"/>
  <c r="B397" i="40"/>
  <c r="F392" i="40"/>
  <c r="F383" i="40"/>
  <c r="E397" i="40"/>
  <c r="B416" i="40"/>
  <c r="F411" i="40"/>
  <c r="F402" i="40"/>
  <c r="E416" i="40"/>
  <c r="B74" i="40"/>
  <c r="F69" i="40"/>
  <c r="F60" i="40"/>
  <c r="E74" i="40"/>
  <c r="B568" i="40"/>
  <c r="F563" i="40"/>
  <c r="F554" i="40"/>
  <c r="E568" i="40"/>
  <c r="F4" i="40"/>
  <c r="G556" i="40"/>
  <c r="G557" i="40"/>
  <c r="G558" i="40"/>
  <c r="F559" i="40"/>
  <c r="G559" i="40"/>
  <c r="F565" i="40"/>
  <c r="B1281" i="40"/>
  <c r="F1276" i="40"/>
  <c r="F1267" i="40"/>
  <c r="E1281" i="40"/>
  <c r="G1269" i="40"/>
  <c r="G1270" i="40"/>
  <c r="G1271" i="40"/>
  <c r="F1272" i="40"/>
  <c r="G1272" i="40"/>
  <c r="F1277" i="40"/>
  <c r="F1278" i="40"/>
  <c r="B1262" i="40"/>
  <c r="F1257" i="40"/>
  <c r="F1248" i="40"/>
  <c r="E1262" i="40"/>
  <c r="G1250" i="40"/>
  <c r="G1251" i="40"/>
  <c r="G1252" i="40"/>
  <c r="F1253" i="40"/>
  <c r="G1253" i="40"/>
  <c r="F1258" i="40"/>
  <c r="F1259" i="40"/>
  <c r="B1243" i="40"/>
  <c r="F1238" i="40"/>
  <c r="F1229" i="40"/>
  <c r="E1243" i="40"/>
  <c r="G1231" i="40"/>
  <c r="G1232" i="40"/>
  <c r="G1233" i="40"/>
  <c r="F1234" i="40"/>
  <c r="G1234" i="40"/>
  <c r="F1240" i="40"/>
  <c r="B1224" i="40"/>
  <c r="F1219" i="40"/>
  <c r="F1210" i="40"/>
  <c r="E1224" i="40"/>
  <c r="G1212" i="40"/>
  <c r="G1213" i="40"/>
  <c r="G1214" i="40"/>
  <c r="F1215" i="40"/>
  <c r="G1215" i="40"/>
  <c r="F1221" i="40"/>
  <c r="B1205" i="40"/>
  <c r="F1200" i="40"/>
  <c r="F1191" i="40"/>
  <c r="E1205" i="40"/>
  <c r="G1193" i="40"/>
  <c r="G1194" i="40"/>
  <c r="G1195" i="40"/>
  <c r="F1196" i="40"/>
  <c r="G1196" i="40"/>
  <c r="F1202" i="40"/>
  <c r="B606" i="40"/>
  <c r="F601" i="40"/>
  <c r="F592" i="40"/>
  <c r="E606" i="40"/>
  <c r="G594" i="40"/>
  <c r="G595" i="40"/>
  <c r="G596" i="40"/>
  <c r="F597" i="40"/>
  <c r="G597" i="40"/>
  <c r="F603" i="40"/>
  <c r="B587" i="40"/>
  <c r="F582" i="40"/>
  <c r="F573" i="40"/>
  <c r="E587" i="40"/>
  <c r="G575" i="40"/>
  <c r="G576" i="40"/>
  <c r="G577" i="40"/>
  <c r="F578" i="40"/>
  <c r="G578" i="40"/>
  <c r="F584" i="40"/>
  <c r="B549" i="40"/>
  <c r="F544" i="40"/>
  <c r="F535" i="40"/>
  <c r="E549" i="40"/>
  <c r="G537" i="40"/>
  <c r="G538" i="40"/>
  <c r="G539" i="40"/>
  <c r="F540" i="40"/>
  <c r="G540" i="40"/>
  <c r="F546" i="40"/>
  <c r="B530" i="40"/>
  <c r="F525" i="40"/>
  <c r="F516" i="40"/>
  <c r="E530" i="40"/>
  <c r="G518" i="40"/>
  <c r="G519" i="40"/>
  <c r="G520" i="40"/>
  <c r="F521" i="40"/>
  <c r="G521" i="40"/>
  <c r="F527" i="40"/>
  <c r="B511" i="40"/>
  <c r="F506" i="40"/>
  <c r="F497" i="40"/>
  <c r="E511" i="40"/>
  <c r="G499" i="40"/>
  <c r="G500" i="40"/>
  <c r="G501" i="40"/>
  <c r="F502" i="40"/>
  <c r="G502" i="40"/>
  <c r="F508" i="40"/>
  <c r="B492" i="40"/>
  <c r="F487" i="40"/>
  <c r="F478" i="40"/>
  <c r="E492" i="40"/>
  <c r="G480" i="40"/>
  <c r="G481" i="40"/>
  <c r="G482" i="40"/>
  <c r="F483" i="40"/>
  <c r="G483" i="40"/>
  <c r="F489" i="40"/>
  <c r="B473" i="40"/>
  <c r="F468" i="40"/>
  <c r="F459" i="40"/>
  <c r="E473" i="40"/>
  <c r="G461" i="40"/>
  <c r="G462" i="40"/>
  <c r="G463" i="40"/>
  <c r="F464" i="40"/>
  <c r="G464" i="40"/>
  <c r="F470" i="40"/>
  <c r="B454" i="40"/>
  <c r="F449" i="40"/>
  <c r="F440" i="40"/>
  <c r="E454" i="40"/>
  <c r="G442" i="40"/>
  <c r="G443" i="40"/>
  <c r="G444" i="40"/>
  <c r="F445" i="40"/>
  <c r="G445" i="40"/>
  <c r="F451" i="40"/>
  <c r="B435" i="40"/>
  <c r="F430" i="40"/>
  <c r="F421" i="40"/>
  <c r="E435" i="40"/>
  <c r="G423" i="40"/>
  <c r="G424" i="40"/>
  <c r="G425" i="40"/>
  <c r="F426" i="40"/>
  <c r="G426" i="40"/>
  <c r="F432" i="40"/>
  <c r="G404" i="40"/>
  <c r="G405" i="40"/>
  <c r="G406" i="40"/>
  <c r="F407" i="40"/>
  <c r="G407" i="40"/>
  <c r="F413" i="40"/>
  <c r="G385" i="40"/>
  <c r="G386" i="40"/>
  <c r="G387" i="40"/>
  <c r="F388" i="40"/>
  <c r="G388" i="40"/>
  <c r="F394" i="40"/>
  <c r="B378" i="40"/>
  <c r="F373" i="40"/>
  <c r="F364" i="40"/>
  <c r="E378" i="40"/>
  <c r="G366" i="40"/>
  <c r="G367" i="40"/>
  <c r="G368" i="40"/>
  <c r="F369" i="40"/>
  <c r="G369" i="40"/>
  <c r="F375" i="40"/>
  <c r="B359" i="40"/>
  <c r="F354" i="40"/>
  <c r="F345" i="40"/>
  <c r="E359" i="40"/>
  <c r="G347" i="40"/>
  <c r="G348" i="40"/>
  <c r="G349" i="40"/>
  <c r="F350" i="40"/>
  <c r="G350" i="40"/>
  <c r="F356" i="40"/>
  <c r="B340" i="40"/>
  <c r="F335" i="40"/>
  <c r="F326" i="40"/>
  <c r="E340" i="40"/>
  <c r="G328" i="40"/>
  <c r="G329" i="40"/>
  <c r="G330" i="40"/>
  <c r="F331" i="40"/>
  <c r="G331" i="40"/>
  <c r="F337" i="40"/>
  <c r="B321" i="40"/>
  <c r="F316" i="40"/>
  <c r="F307" i="40"/>
  <c r="E321" i="40"/>
  <c r="G309" i="40"/>
  <c r="G310" i="40"/>
  <c r="G311" i="40"/>
  <c r="F312" i="40"/>
  <c r="G312" i="40"/>
  <c r="F318" i="40"/>
  <c r="B302" i="40"/>
  <c r="F297" i="40"/>
  <c r="F288" i="40"/>
  <c r="E302" i="40"/>
  <c r="G290" i="40"/>
  <c r="G291" i="40"/>
  <c r="G292" i="40"/>
  <c r="F293" i="40"/>
  <c r="G293" i="40"/>
  <c r="F299" i="40"/>
  <c r="B283" i="40"/>
  <c r="F278" i="40"/>
  <c r="F269" i="40"/>
  <c r="E283" i="40"/>
  <c r="G271" i="40"/>
  <c r="G272" i="40"/>
  <c r="G273" i="40"/>
  <c r="F274" i="40"/>
  <c r="G274" i="40"/>
  <c r="F280" i="40"/>
  <c r="B264" i="40"/>
  <c r="F259" i="40"/>
  <c r="F250" i="40"/>
  <c r="E264" i="40"/>
  <c r="G252" i="40"/>
  <c r="G253" i="40"/>
  <c r="G254" i="40"/>
  <c r="F255" i="40"/>
  <c r="G255" i="40"/>
  <c r="F261" i="40"/>
  <c r="B245" i="40"/>
  <c r="F240" i="40"/>
  <c r="F231" i="40"/>
  <c r="E245" i="40"/>
  <c r="G233" i="40"/>
  <c r="G234" i="40"/>
  <c r="G235" i="40"/>
  <c r="F236" i="40"/>
  <c r="G236" i="40"/>
  <c r="F242" i="40"/>
  <c r="B226" i="40"/>
  <c r="F221" i="40"/>
  <c r="F212" i="40"/>
  <c r="E226" i="40"/>
  <c r="G214" i="40"/>
  <c r="G215" i="40"/>
  <c r="G216" i="40"/>
  <c r="F217" i="40"/>
  <c r="G217" i="40"/>
  <c r="F223" i="40"/>
  <c r="B207" i="40"/>
  <c r="F202" i="40"/>
  <c r="F193" i="40"/>
  <c r="E207" i="40"/>
  <c r="G195" i="40"/>
  <c r="G196" i="40"/>
  <c r="G197" i="40"/>
  <c r="F198" i="40"/>
  <c r="G198" i="40"/>
  <c r="F204" i="40"/>
  <c r="B188" i="40"/>
  <c r="F183" i="40"/>
  <c r="F174" i="40"/>
  <c r="E188" i="40"/>
  <c r="G176" i="40"/>
  <c r="G177" i="40"/>
  <c r="G178" i="40"/>
  <c r="F179" i="40"/>
  <c r="G179" i="40"/>
  <c r="F185" i="40"/>
  <c r="B169" i="40"/>
  <c r="F164" i="40"/>
  <c r="F155" i="40"/>
  <c r="E169" i="40"/>
  <c r="G157" i="40"/>
  <c r="G158" i="40"/>
  <c r="G159" i="40"/>
  <c r="F160" i="40"/>
  <c r="G160" i="40"/>
  <c r="F166" i="40"/>
  <c r="B150" i="40"/>
  <c r="F145" i="40"/>
  <c r="F136" i="40"/>
  <c r="E150" i="40"/>
  <c r="G138" i="40"/>
  <c r="G139" i="40"/>
  <c r="G140" i="40"/>
  <c r="F141" i="40"/>
  <c r="G141" i="40"/>
  <c r="F147" i="40"/>
  <c r="B131" i="40"/>
  <c r="F126" i="40"/>
  <c r="F117" i="40"/>
  <c r="E131" i="40"/>
  <c r="G119" i="40"/>
  <c r="G120" i="40"/>
  <c r="G121" i="40"/>
  <c r="F122" i="40"/>
  <c r="G122" i="40"/>
  <c r="F128" i="40"/>
  <c r="B112" i="40"/>
  <c r="F107" i="40"/>
  <c r="F98" i="40"/>
  <c r="E112" i="40"/>
  <c r="G100" i="40"/>
  <c r="G101" i="40"/>
  <c r="G102" i="40"/>
  <c r="F103" i="40"/>
  <c r="G103" i="40"/>
  <c r="F109" i="40"/>
  <c r="B93" i="40"/>
  <c r="F88" i="40"/>
  <c r="F79" i="40"/>
  <c r="E93" i="40"/>
  <c r="G81" i="40"/>
  <c r="G82" i="40"/>
  <c r="G83" i="40"/>
  <c r="F84" i="40"/>
  <c r="G84" i="40"/>
  <c r="F90" i="40"/>
  <c r="G62" i="40"/>
  <c r="G63" i="40"/>
  <c r="G64" i="40"/>
  <c r="F65" i="40"/>
  <c r="G65" i="40"/>
  <c r="F70" i="40"/>
  <c r="F71" i="40"/>
  <c r="B55" i="40"/>
  <c r="F50" i="40"/>
  <c r="F41" i="40"/>
  <c r="E55" i="40"/>
  <c r="G43" i="40"/>
  <c r="G44" i="40"/>
  <c r="G45" i="40"/>
  <c r="F46" i="40"/>
  <c r="G46" i="40"/>
  <c r="F51" i="40"/>
  <c r="F52" i="40"/>
  <c r="B37" i="40"/>
  <c r="F32" i="40"/>
  <c r="F23" i="40"/>
  <c r="E37" i="40"/>
  <c r="G25" i="40"/>
  <c r="G26" i="40"/>
  <c r="G27" i="40"/>
  <c r="F28" i="40"/>
  <c r="G28" i="40"/>
  <c r="F33" i="40"/>
  <c r="F34" i="40"/>
  <c r="G6" i="40"/>
  <c r="G7" i="40"/>
  <c r="G8" i="40"/>
  <c r="F9" i="40"/>
  <c r="G9" i="40"/>
  <c r="B18" i="40"/>
  <c r="F13" i="40"/>
  <c r="F14" i="40"/>
  <c r="F15" i="40"/>
  <c r="E1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Administrador</author>
  </authors>
  <commentList>
    <comment ref="E13" authorId="0" shapeId="0" xr:uid="{7193525C-CC09-48BE-9BF3-3329145BA0E8}">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26" authorId="0" shapeId="0" xr:uid="{BCD76AFC-4E6E-428A-8A31-3B6FB17AABA9}">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41" authorId="0" shapeId="0" xr:uid="{7FFD9771-22B2-421B-AEAC-E2247C3A6053}">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47" authorId="0" shapeId="0" xr:uid="{BB082DC0-3568-4854-86EA-0F6EC70992F6}">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59" authorId="0" shapeId="0" xr:uid="{08C5A991-2A01-4DD0-B156-7BC752BA7A92}">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64" authorId="0" shapeId="0" xr:uid="{7C47C9FF-2864-4D1F-B038-D1DD94800107}">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 ref="E68" authorId="0" shapeId="0" xr:uid="{F96ECE75-D64E-4B82-918A-1D12F902912F}">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text>
    </comment>
    <comment ref="E72" authorId="0" shapeId="0" xr:uid="{5E7EFE1D-7354-4730-9D29-D5CCA0E7CBBA}">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Administrador</author>
  </authors>
  <commentList>
    <comment ref="A73" authorId="0" shapeId="0" xr:uid="{688829BE-DE2F-424F-99D1-A0B6C958693F}">
      <text>
        <r>
          <rPr>
            <b/>
            <sz val="9"/>
            <color indexed="81"/>
            <rFont val="Segoe UI"/>
            <charset val="1"/>
          </rPr>
          <t xml:space="preserve">ATENÇÃO Lúmen:  É uma quantidade de medida relacionada à óptica, está relacionada a PROJETORES, que serve para definir a qualidade de uma imagem projetada se será boa ao ambiente. Total  máximo de Lúmens por projetor é  de zero, imagem nítida, quando atingir à 3.600 lúmens à imagem já vai está desgastada.
</t>
        </r>
        <r>
          <rPr>
            <sz val="9"/>
            <color indexed="81"/>
            <rFont val="Segoe UI"/>
            <charset val="1"/>
          </rPr>
          <t xml:space="preserve">
</t>
        </r>
      </text>
    </comment>
  </commentList>
</comments>
</file>

<file path=xl/sharedStrings.xml><?xml version="1.0" encoding="utf-8"?>
<sst xmlns="http://schemas.openxmlformats.org/spreadsheetml/2006/main" count="14418" uniqueCount="924">
  <si>
    <t>BLOCO A</t>
  </si>
  <si>
    <t>BLOCO C</t>
  </si>
  <si>
    <t>BLOCO E</t>
  </si>
  <si>
    <t>TOUCH FUNCIONANDO</t>
  </si>
  <si>
    <t>A2</t>
  </si>
  <si>
    <t>A3</t>
  </si>
  <si>
    <t>A4</t>
  </si>
  <si>
    <t>A5</t>
  </si>
  <si>
    <t>A6</t>
  </si>
  <si>
    <t>A7</t>
  </si>
  <si>
    <t>A8</t>
  </si>
  <si>
    <t xml:space="preserve">MODELOS DE LOUSAS </t>
  </si>
  <si>
    <t>DATA ULTIMA MANUTENÇÃO</t>
  </si>
  <si>
    <t>C1</t>
  </si>
  <si>
    <t>C2</t>
  </si>
  <si>
    <t>C3</t>
  </si>
  <si>
    <t>C4</t>
  </si>
  <si>
    <t>C5</t>
  </si>
  <si>
    <t>C6</t>
  </si>
  <si>
    <t>C8</t>
  </si>
  <si>
    <t>C9</t>
  </si>
  <si>
    <t>C10</t>
  </si>
  <si>
    <t>C11</t>
  </si>
  <si>
    <t>E1</t>
  </si>
  <si>
    <t>E2</t>
  </si>
  <si>
    <t>E3</t>
  </si>
  <si>
    <t>E4</t>
  </si>
  <si>
    <t>E5</t>
  </si>
  <si>
    <t>E6</t>
  </si>
  <si>
    <t>E7</t>
  </si>
  <si>
    <t>E8</t>
  </si>
  <si>
    <t>MODELOS DE COMPUTADORES</t>
  </si>
  <si>
    <t>SISTEMA OPERACIONAL</t>
  </si>
  <si>
    <t>MEMÓRIA / TIPO SISTEMA</t>
  </si>
  <si>
    <t>4 GB --&gt;  64 BITS</t>
  </si>
  <si>
    <t>SOFTWARES INSTALADOS</t>
  </si>
  <si>
    <t>EUREKA; LSH; DUAL TOCH E INTERATIVA</t>
  </si>
  <si>
    <t>PROCESSADOR /  HD</t>
  </si>
  <si>
    <t xml:space="preserve">INTEL CORE I5 --&gt; 1 TB </t>
  </si>
  <si>
    <t>BLOCO D</t>
  </si>
  <si>
    <t>D1</t>
  </si>
  <si>
    <t>D2</t>
  </si>
  <si>
    <t>PROBLEMAS</t>
  </si>
  <si>
    <t xml:space="preserve">                                                                                                                                                                                                                                                                                                                                                                                                                                                                                                                                                                                                                                                                                                                            </t>
  </si>
  <si>
    <t>MODELOS DE PROJETORES</t>
  </si>
  <si>
    <t>MODELOS CÂMERAS GO PRO</t>
  </si>
  <si>
    <t>MICROFONES</t>
  </si>
  <si>
    <t>CÂMERAS DE SEGURANÇA</t>
  </si>
  <si>
    <t>DVR</t>
  </si>
  <si>
    <t xml:space="preserve"> 'SOM' SALA DE AULA</t>
  </si>
  <si>
    <t>AUDITÓRIO</t>
  </si>
  <si>
    <t>PREVISÃO DE COMPRAS</t>
  </si>
  <si>
    <t>4 GB--&gt; 32 BITS</t>
  </si>
  <si>
    <t>EUREKA.IN; lsh Driver; Dual Toch.</t>
  </si>
  <si>
    <t xml:space="preserve">DIG IV </t>
  </si>
  <si>
    <t xml:space="preserve">BENQ </t>
  </si>
  <si>
    <t>N3 - COC4</t>
  </si>
  <si>
    <t>N3 - COC5</t>
  </si>
  <si>
    <t>C3 BRANCO</t>
  </si>
  <si>
    <t>OPTOMA</t>
  </si>
  <si>
    <t>DIG IV</t>
  </si>
  <si>
    <t>BENQ</t>
  </si>
  <si>
    <t>N3 - COC1</t>
  </si>
  <si>
    <t xml:space="preserve">Windows 10 </t>
  </si>
  <si>
    <t>Intel Core i5 / HD: 500GB</t>
  </si>
  <si>
    <t>Intel Core i5 / HD: 1TB</t>
  </si>
  <si>
    <t>HOME THEATER MONDIAL</t>
  </si>
  <si>
    <t>SMS 1.000W</t>
  </si>
  <si>
    <t>SIM</t>
  </si>
  <si>
    <t>ONEAL</t>
  </si>
  <si>
    <t>QUADRILINE 777 i</t>
  </si>
  <si>
    <t>LENDEX</t>
  </si>
  <si>
    <t>Windows 10</t>
  </si>
  <si>
    <t>8 GB--&gt; 64 BITS</t>
  </si>
  <si>
    <t>SMS 500W</t>
  </si>
  <si>
    <t xml:space="preserve">N3 </t>
  </si>
  <si>
    <t>QOMO XD</t>
  </si>
  <si>
    <t>8 GB --&gt;  64 BITS</t>
  </si>
  <si>
    <t xml:space="preserve">QOMO XD </t>
  </si>
  <si>
    <t>ONEL</t>
  </si>
  <si>
    <t>PRIMETEK</t>
  </si>
  <si>
    <t xml:space="preserve">MONDIAL </t>
  </si>
  <si>
    <t>N3</t>
  </si>
  <si>
    <t>500W</t>
  </si>
  <si>
    <t>MONDIAL</t>
  </si>
  <si>
    <t>C3 PRETO</t>
  </si>
  <si>
    <t>DELL</t>
  </si>
  <si>
    <t>QUADRILINE</t>
  </si>
  <si>
    <t>DIG III</t>
  </si>
  <si>
    <t>OPTMA</t>
  </si>
  <si>
    <t>MEGAWARE</t>
  </si>
  <si>
    <t>8GB--&gt; 64 BITS</t>
  </si>
  <si>
    <t xml:space="preserve">INTEL CORE I5 --&gt; 500 GB </t>
  </si>
  <si>
    <t>Windows 10 Pro</t>
  </si>
  <si>
    <t>4 GB --&gt;  32 BITS</t>
  </si>
  <si>
    <t>NÃO</t>
  </si>
  <si>
    <t>ENERMAX 1.000W</t>
  </si>
  <si>
    <t>PRIMETECK</t>
  </si>
  <si>
    <t>C7</t>
  </si>
  <si>
    <t>C3 TECH</t>
  </si>
  <si>
    <t>BLUETOOTH</t>
  </si>
  <si>
    <t>KADOSH</t>
  </si>
  <si>
    <t>ENERMAX</t>
  </si>
  <si>
    <t xml:space="preserve">     </t>
  </si>
  <si>
    <t xml:space="preserve">Windons 10 </t>
  </si>
  <si>
    <t>NOTEBOOK SONY</t>
  </si>
  <si>
    <t>SOM CAIXA ONEAL</t>
  </si>
  <si>
    <t>BOYA</t>
  </si>
  <si>
    <t>AUD 1</t>
  </si>
  <si>
    <t>AUD 2</t>
  </si>
  <si>
    <t>NAVCITY</t>
  </si>
  <si>
    <t>-</t>
  </si>
  <si>
    <t>A1</t>
  </si>
  <si>
    <t>A9</t>
  </si>
  <si>
    <t>ROBÓTICA</t>
  </si>
  <si>
    <t>PLANILHA DE  EQUIPAMENTOS COC LAGO NORTE (TI)</t>
  </si>
  <si>
    <t>PLANILHA DE EQUIPAMENTOS COC LAGO NORTE (TI)</t>
  </si>
  <si>
    <t>SALAS DE AULAS COM EQUIPAMENTOS</t>
  </si>
  <si>
    <t>Itens selecionados e Critérios</t>
  </si>
  <si>
    <t>Avaliação</t>
  </si>
  <si>
    <t>Salas de Aula</t>
  </si>
  <si>
    <t>Ano</t>
  </si>
  <si>
    <t>Mês</t>
  </si>
  <si>
    <t>Valor:</t>
  </si>
  <si>
    <t>Índice:</t>
  </si>
  <si>
    <t>Listas de Anos e Meses</t>
  </si>
  <si>
    <t>Salas mais atendidas</t>
  </si>
  <si>
    <t>Q.T. Idas</t>
  </si>
  <si>
    <t>Resolvidas</t>
  </si>
  <si>
    <t>Canceladas</t>
  </si>
  <si>
    <t>Anos</t>
  </si>
  <si>
    <t>Meses</t>
  </si>
  <si>
    <t>Janeiro</t>
  </si>
  <si>
    <t>Fevereiro</t>
  </si>
  <si>
    <t>Março</t>
  </si>
  <si>
    <t>Abril</t>
  </si>
  <si>
    <t>Maio</t>
  </si>
  <si>
    <t>Junho</t>
  </si>
  <si>
    <t>Julho</t>
  </si>
  <si>
    <t>Agosto</t>
  </si>
  <si>
    <t>Setembro</t>
  </si>
  <si>
    <t>Outubro</t>
  </si>
  <si>
    <t>Novembro</t>
  </si>
  <si>
    <t xml:space="preserve">Análise mensal </t>
  </si>
  <si>
    <t>Dezembro</t>
  </si>
  <si>
    <t>Índice</t>
  </si>
  <si>
    <t>Salas + Atendidas</t>
  </si>
  <si>
    <t>Jan</t>
  </si>
  <si>
    <t>Análise de solicitações de atendimento</t>
  </si>
  <si>
    <t>Fev</t>
  </si>
  <si>
    <t>Computador</t>
  </si>
  <si>
    <t>Mar</t>
  </si>
  <si>
    <t>Microfones</t>
  </si>
  <si>
    <t>Abr</t>
  </si>
  <si>
    <t>Câmeras</t>
  </si>
  <si>
    <t>Mai</t>
  </si>
  <si>
    <t>Projetores</t>
  </si>
  <si>
    <t>Jun</t>
  </si>
  <si>
    <t>Monitores</t>
  </si>
  <si>
    <t>Jul</t>
  </si>
  <si>
    <t>Internet</t>
  </si>
  <si>
    <t>Ago</t>
  </si>
  <si>
    <t>Problema de Cabos</t>
  </si>
  <si>
    <t>Set</t>
  </si>
  <si>
    <t>Pilhas Descarregadas</t>
  </si>
  <si>
    <t>Out</t>
  </si>
  <si>
    <t>Energia</t>
  </si>
  <si>
    <t>Nov</t>
  </si>
  <si>
    <t>Lousa Digital</t>
  </si>
  <si>
    <t>Dez</t>
  </si>
  <si>
    <t>Home Theather</t>
  </si>
  <si>
    <t>Análise de Comissão Vendedor</t>
  </si>
  <si>
    <t xml:space="preserve">ROBOTICA </t>
  </si>
  <si>
    <t>Análise de Atendende</t>
  </si>
  <si>
    <t>Felipe</t>
  </si>
  <si>
    <t>Daniel</t>
  </si>
  <si>
    <t>André</t>
  </si>
  <si>
    <t>Luís Fernando</t>
  </si>
  <si>
    <t>Edson</t>
  </si>
  <si>
    <t>Finalizado</t>
  </si>
  <si>
    <t>Em andamento</t>
  </si>
  <si>
    <t>Manutenção</t>
  </si>
  <si>
    <t>ID</t>
  </si>
  <si>
    <t>SALA DE AULA</t>
  </si>
  <si>
    <t>DATA</t>
  </si>
  <si>
    <t>SOLICITANTE</t>
  </si>
  <si>
    <t>ATENDENTE</t>
  </si>
  <si>
    <t>DEFEITO</t>
  </si>
  <si>
    <t>DESCRIÇÃO DO DEFEITO</t>
  </si>
  <si>
    <t>PROFESSORES</t>
  </si>
  <si>
    <t>FELIPE</t>
  </si>
  <si>
    <t>PILHAS DESCARREGADAS</t>
  </si>
  <si>
    <t xml:space="preserve">MICROFONE - HEADSET </t>
  </si>
  <si>
    <t>RECLAMAÇÃO MICROFONE C/ RUÍDOS</t>
  </si>
  <si>
    <t>MICROFONE</t>
  </si>
  <si>
    <t>TROCA DE EQUIPAMENTO BLUETOOTH</t>
  </si>
  <si>
    <t>COMPUTADOR</t>
  </si>
  <si>
    <t>COMPUTADOR REINICIOU</t>
  </si>
  <si>
    <t>COMPUTADOR ATUALIZANDO</t>
  </si>
  <si>
    <t>REINICIOU SO E VOLTOU</t>
  </si>
  <si>
    <t>SISTEMA OPERACIONAL/ TELA AZUL</t>
  </si>
  <si>
    <t>FERNANDA</t>
  </si>
  <si>
    <t>SOM HOME THEATERS</t>
  </si>
  <si>
    <t>SAIDA DE SOM O PROF. NÃO OUVE OS ALUNOS</t>
  </si>
  <si>
    <t>PÂMELA</t>
  </si>
  <si>
    <t>AUMENTA O VOLUME DO MICROFONE</t>
  </si>
  <si>
    <t>LOUIZE</t>
  </si>
  <si>
    <t>MICROFONE - BLUETOOH</t>
  </si>
  <si>
    <t>PROBLEMA COM BT/ RECONECTOU</t>
  </si>
  <si>
    <t>ADRIANA</t>
  </si>
  <si>
    <t>MICROFONE BLUETOOTH</t>
  </si>
  <si>
    <t>THAIS</t>
  </si>
  <si>
    <t>FONE BT, NÃO CONSEGUE OUVIR OS ALUNOS</t>
  </si>
  <si>
    <t>ANDRE</t>
  </si>
  <si>
    <t>MICROFONE BAIXO</t>
  </si>
  <si>
    <t>JULIA MATOS</t>
  </si>
  <si>
    <t>LEVAR CELULAR E BT</t>
  </si>
  <si>
    <t>ELIANE</t>
  </si>
  <si>
    <t>DESCONECTOU O BT</t>
  </si>
  <si>
    <t>FONE BT PERDEU CONEXÃO COM O CELULAR</t>
  </si>
  <si>
    <t>MICROFONE COM RUIDO</t>
  </si>
  <si>
    <t>LEVAR O BLUETOOTH</t>
  </si>
  <si>
    <t>EDSON</t>
  </si>
  <si>
    <t>NATALIA</t>
  </si>
  <si>
    <t>VITORIA</t>
  </si>
  <si>
    <t>MICROFONE FALHANDO</t>
  </si>
  <si>
    <t>NÃO ESTAVA SAINDO O SOM</t>
  </si>
  <si>
    <t>JULIA</t>
  </si>
  <si>
    <t>CÂMERA GO PRO</t>
  </si>
  <si>
    <t>LEVAR CÂMERA</t>
  </si>
  <si>
    <t>CASSIA</t>
  </si>
  <si>
    <t>MONITOR</t>
  </si>
  <si>
    <t>NÃO ESTAVA APARECENDO IMAGEM NO MONITOR</t>
  </si>
  <si>
    <t>CARLA</t>
  </si>
  <si>
    <t>PILHAS MICROFONE/ALTERAR SAIDA DE SOM</t>
  </si>
  <si>
    <t>MICROFONE MAL CONTATO</t>
  </si>
  <si>
    <t>IZABELA</t>
  </si>
  <si>
    <t>MONITOR PISCANDO</t>
  </si>
  <si>
    <t>RAYANE</t>
  </si>
  <si>
    <t>MICROFONE COM INTERFERENCIA</t>
  </si>
  <si>
    <t>CLAUDIA</t>
  </si>
  <si>
    <t>SPONTE (ATUALIZAR A PAGINA)</t>
  </si>
  <si>
    <t>PAMELA</t>
  </si>
  <si>
    <t>LIVRO DE INGLES, ATUALIZAR A PAGINA</t>
  </si>
  <si>
    <t>GRACYELE</t>
  </si>
  <si>
    <t>INTERNET</t>
  </si>
  <si>
    <t xml:space="preserve">SEM CONEXÃO </t>
  </si>
  <si>
    <t>GRACYELLE</t>
  </si>
  <si>
    <t>MONITOR APAGOU</t>
  </si>
  <si>
    <t>LAUANA</t>
  </si>
  <si>
    <t>PILHAS E MICROFONE</t>
  </si>
  <si>
    <t>ANDRÉ</t>
  </si>
  <si>
    <t xml:space="preserve">GRACYELE </t>
  </si>
  <si>
    <t>TELA COM MAL CONTATO</t>
  </si>
  <si>
    <t>LIGAR CÂMERA</t>
  </si>
  <si>
    <t>ANGELICA</t>
  </si>
  <si>
    <t>ATUALIZAÇÃO DE NAVEGADOR</t>
  </si>
  <si>
    <t>CÂMERA DESLIGOU</t>
  </si>
  <si>
    <t>ROSANA</t>
  </si>
  <si>
    <t>CÂMERA DESLIGADA</t>
  </si>
  <si>
    <t>VIVIAN</t>
  </si>
  <si>
    <t>RECLAMAÇÃO OS ALUNOS NÃO OUVEM A PROFESSORA</t>
  </si>
  <si>
    <t>SOM DESCONECTADO</t>
  </si>
  <si>
    <t>ANA PAULA</t>
  </si>
  <si>
    <t>FLÁVIA</t>
  </si>
  <si>
    <t>PROJETOR</t>
  </si>
  <si>
    <t>DESLIGANDO</t>
  </si>
  <si>
    <t>FLAVIO</t>
  </si>
  <si>
    <t>ELIZABETH</t>
  </si>
  <si>
    <t>LAURA</t>
  </si>
  <si>
    <t>LOUSA DIGITAL</t>
  </si>
  <si>
    <t>LOUSA DESCALIBRADA</t>
  </si>
  <si>
    <t xml:space="preserve">LUCAS </t>
  </si>
  <si>
    <t>RECLAMAÇÃO DE CHIADO NO MICROFONE</t>
  </si>
  <si>
    <t>RAIRY</t>
  </si>
  <si>
    <t>GISELY</t>
  </si>
  <si>
    <t>REDE COM PROBLEMAS</t>
  </si>
  <si>
    <t>JOÃO</t>
  </si>
  <si>
    <t>MICROFONE CHIANDO</t>
  </si>
  <si>
    <t>ATUALIZAÇÃO DE COMPUTADOR</t>
  </si>
  <si>
    <t>ROGÉRIO</t>
  </si>
  <si>
    <t>DIEGO</t>
  </si>
  <si>
    <t>REINICIANDO SOZINHO</t>
  </si>
  <si>
    <t>RELIGAR CÂMERA</t>
  </si>
  <si>
    <t>SALA SEM MICROFONE O PROF.DEIXOU NA COORDENAÇÃO</t>
  </si>
  <si>
    <t>PICO DE ENERGIA</t>
  </si>
  <si>
    <t>O COMPUTADOR DESLIGOU</t>
  </si>
  <si>
    <t>PEDRO FELIX</t>
  </si>
  <si>
    <t>CAMERÂ DESLIGADA</t>
  </si>
  <si>
    <t>LEVAR BT</t>
  </si>
  <si>
    <t>LEVAR MICROFONE BLUETOOTH</t>
  </si>
  <si>
    <t>MICROFONE SEM BORRACHA</t>
  </si>
  <si>
    <t>CELULAR</t>
  </si>
  <si>
    <t>LIGAR O CELULAR</t>
  </si>
  <si>
    <t>CONECTAR MICROFONE BLUETOOTH</t>
  </si>
  <si>
    <t>SOM HOME TEATHER/ ALTERAR SAIDA DE SOM</t>
  </si>
  <si>
    <t>LEVAR CELULAR NA SALA</t>
  </si>
  <si>
    <t>NÃO ESTAVA SAINDO SOM</t>
  </si>
  <si>
    <t>MICROFONE BT FALHANDO</t>
  </si>
  <si>
    <t>TATA</t>
  </si>
  <si>
    <t>ALTERAR SAIDA DE SOM</t>
  </si>
  <si>
    <t>AJUSTAR A CÂMERA</t>
  </si>
  <si>
    <t>EDSON / ROGÉRIO</t>
  </si>
  <si>
    <t>PAULO</t>
  </si>
  <si>
    <t>CÂMERA SEM FOCO PARA OS ALUNOS QUE ESTÃO EM E.A.D</t>
  </si>
  <si>
    <t>AJUSTE CÂMERA</t>
  </si>
  <si>
    <t>ATUALIZAÇÃO DO SISTEMA OPERACIONAL</t>
  </si>
  <si>
    <t>ENTRAR NO GOOGLE</t>
  </si>
  <si>
    <t>FLAVIA</t>
  </si>
  <si>
    <t>DESBLOQUEOU SOM NO NAVEGADOR</t>
  </si>
  <si>
    <t>CÂMERA DESCONECTOU</t>
  </si>
  <si>
    <t>NÃO CONSEGUIO ENTRAR NO MEET</t>
  </si>
  <si>
    <t>PC TRAVOU GERAL</t>
  </si>
  <si>
    <t xml:space="preserve"> HEADSET ESTRAGOU</t>
  </si>
  <si>
    <t>A CÂMERA DESCONECTOU</t>
  </si>
  <si>
    <t>CABO - CONEXÃO</t>
  </si>
  <si>
    <t>CABO E HOME TEATHER DANIFICADO</t>
  </si>
  <si>
    <t>MONITOR COM RESOLUÇÃO ALTERADA</t>
  </si>
  <si>
    <t xml:space="preserve">PILHAS PARA O PROJETOR </t>
  </si>
  <si>
    <t>INSTABILIDADE DE CONEXÃO</t>
  </si>
  <si>
    <t xml:space="preserve"> INTERNET</t>
  </si>
  <si>
    <t>PROBLEMA DE ÁUDIO</t>
  </si>
  <si>
    <t>INSTABILIDADE DE CONEXÃO (CABO ROMPIDO)</t>
  </si>
  <si>
    <t>NÃO ESTAVA LIGANDO</t>
  </si>
  <si>
    <t xml:space="preserve">PROJETOR </t>
  </si>
  <si>
    <t>CABO DESCONECTADO</t>
  </si>
  <si>
    <t>LOUSA - DIGITAL</t>
  </si>
  <si>
    <t>LOUSA APITANDO</t>
  </si>
  <si>
    <t>AJUSTE DE CÂMERA</t>
  </si>
  <si>
    <t>CÂMERA DESCONECTADA</t>
  </si>
  <si>
    <t>CÂMERA DESLIGOU SÓ</t>
  </si>
  <si>
    <t>CÂMERA REINICIANDO</t>
  </si>
  <si>
    <t>DESLIGARAM O SWITH</t>
  </si>
  <si>
    <t>MAL CONTATO -RUÍDOS</t>
  </si>
  <si>
    <t>GABRIELA PEDRON</t>
  </si>
  <si>
    <t>PROBLEMA DE SOM</t>
  </si>
  <si>
    <t>SISTEMA OPERACIONAL - ATUALIZAÇÃO</t>
  </si>
  <si>
    <t>CPU RECOLHIDA SISTEMA OPERACIONAL / TELA AZUL</t>
  </si>
  <si>
    <t>DESCONECTOU DO COMPUTADOR</t>
  </si>
  <si>
    <t>DESLIGOU SOZINHA</t>
  </si>
  <si>
    <t>PLACA DE REDE/TROCA</t>
  </si>
  <si>
    <t xml:space="preserve"> SOM DESLIGADO</t>
  </si>
  <si>
    <t>FALHA NA CONEXÃO</t>
  </si>
  <si>
    <t>NAVEGADOR NÃO ESTAVA ENTRANDO NO GOOGLE MEET</t>
  </si>
  <si>
    <t>PROBLEMA NO COMPUTADOR</t>
  </si>
  <si>
    <t>GABI PEDRON</t>
  </si>
  <si>
    <t>A PROFESSORA NÃO ESTAVA OUVINDO OS ALUNOS DE CASA</t>
  </si>
  <si>
    <t>INTERFERENCIA DE SINAL</t>
  </si>
  <si>
    <t xml:space="preserve">GABI </t>
  </si>
  <si>
    <t>MICROFONE E SOM</t>
  </si>
  <si>
    <t>CÂMERA DESLIGOU SOZINHA</t>
  </si>
  <si>
    <t>YAN</t>
  </si>
  <si>
    <t>SOM NÃO ESTAVA SAINDO</t>
  </si>
  <si>
    <t>ENTRADA DE AUDIO COM DEFEITO</t>
  </si>
  <si>
    <t>PROBLEMA DE PROJEÇÃO</t>
  </si>
  <si>
    <t>PROJETOR NÃO ESTÁ LIGANDO</t>
  </si>
  <si>
    <t>MICROFONE SEM PILHAS</t>
  </si>
  <si>
    <t>O CABO DO PROJETOR ESTAVA DESCONECTADA DA TOMADA</t>
  </si>
  <si>
    <t>EQUIPAMENTO CÂMERA/MICROF.</t>
  </si>
  <si>
    <t>INSTABILIDADE GERAL DE INTERNET</t>
  </si>
  <si>
    <t>PICO DE INTERNET</t>
  </si>
  <si>
    <t>CONEXÃO CAIU</t>
  </si>
  <si>
    <t>PROBLEMA NA CONEXÃO</t>
  </si>
  <si>
    <t>PROBLEMA CONEXÃO</t>
  </si>
  <si>
    <t>QUEDA DE INTERNET</t>
  </si>
  <si>
    <t>(SPONTE) ATUALIZAR E AGUARDAR CARREGAR</t>
  </si>
  <si>
    <t>MANUTENÇÃO DO COMPUTADOR</t>
  </si>
  <si>
    <t>MANUTENÇÃO PROJETOR</t>
  </si>
  <si>
    <t>SOM SALA DE AULA</t>
  </si>
  <si>
    <t>MANUTENÇÃO MICROFONES</t>
  </si>
  <si>
    <t>MANUTENÇÃO DE CÂMERAS</t>
  </si>
  <si>
    <t>ESTABILIZADOR</t>
  </si>
  <si>
    <t>MANUTENÇÃO ESTABILIZADOR</t>
  </si>
  <si>
    <t>Nº DE PATRIMÔNIO</t>
  </si>
  <si>
    <t>LOGITEC</t>
  </si>
  <si>
    <t>SEM COMPUTADOR</t>
  </si>
  <si>
    <t>SEM SISTEMA OPERACIONAL</t>
  </si>
  <si>
    <t>SEM PROCESSADOR</t>
  </si>
  <si>
    <t>SEM MEMÓRIA</t>
  </si>
  <si>
    <t xml:space="preserve">SEM PROGRAMAS </t>
  </si>
  <si>
    <t>SEM PROJETOR</t>
  </si>
  <si>
    <t>SEM SOM</t>
  </si>
  <si>
    <t>SEM MICROFONE</t>
  </si>
  <si>
    <t>SEM ESTABELIZADOR</t>
  </si>
  <si>
    <t>AUDITÓRIO 1</t>
  </si>
  <si>
    <t>SEM LOUSA</t>
  </si>
  <si>
    <t>AUDITÓRIO 2</t>
  </si>
  <si>
    <t>COMPUTADOR 3D</t>
  </si>
  <si>
    <t>TRANSPARÊNCIA DE IMAGEM</t>
  </si>
  <si>
    <t>STATUS</t>
  </si>
  <si>
    <t>DATA DE COMPRA COMPUTADORES</t>
  </si>
  <si>
    <t>DATA COMPRA LOUSA DIGITAL</t>
  </si>
  <si>
    <t>MODELOS DE LOUSA DIGITAL</t>
  </si>
  <si>
    <t>DATA COMPRA PROJETOR</t>
  </si>
  <si>
    <t>DATA COMPRA CÂMERA GO PRO</t>
  </si>
  <si>
    <t>MODELO CELULAR</t>
  </si>
  <si>
    <t>DATA COMPRA CELULAR</t>
  </si>
  <si>
    <t>DATA DE COMPRA SOM</t>
  </si>
  <si>
    <t>DATA DE COMPRA MICROFONES</t>
  </si>
  <si>
    <t>DATA DE COMPRA CÂMERA DE SEGURANÇA</t>
  </si>
  <si>
    <t>DATA COMPRA ESTABILIZADORES</t>
  </si>
  <si>
    <t>Valor total</t>
  </si>
  <si>
    <t>Q. Atendimentos</t>
  </si>
  <si>
    <t>Status</t>
  </si>
  <si>
    <t>Total</t>
  </si>
  <si>
    <t>%</t>
  </si>
  <si>
    <t>DATA DE CONSERTO COMPUTADORES</t>
  </si>
  <si>
    <t>DATA CONSERTO DE  PROJETOR</t>
  </si>
  <si>
    <t>DATA DE  CONSERTO DE SOM</t>
  </si>
  <si>
    <t>DATA DE  CONSERTO DE MICROFONES</t>
  </si>
  <si>
    <t>MANUTENÇÃO  DE CÂMERAS</t>
  </si>
  <si>
    <t>DATA CONSERTO ESTABILIZADORES</t>
  </si>
  <si>
    <t xml:space="preserve">PLANILHA DE EQUIPAMENTOS COC LAGO NORTE (TI)                                          PLANILHA DE EQUIPAMENTOS COC LAGO NORTE (TI)                                            PLANILHA DE EQUIPAMENTOS COC LAGO NORTE (TI)                                             PLANILHA DE EQUIPAMENTOS COC LAGO NORTE (TI)                                                  PLANILHA DE EQUIPAMENTOS COC LAGO NORTE (TI)                                                   PLANILHA DE EQUIPAMENTOS COC LAGO NORTE (TI)                                              PLANILHA DE EQUIPAMENTOS COC LAGO NORTE (TI)          </t>
  </si>
  <si>
    <t>Dia</t>
  </si>
  <si>
    <t>SALAS MAIS ATENDIDAS</t>
  </si>
  <si>
    <t>Vermelho</t>
  </si>
  <si>
    <t>Verde</t>
  </si>
  <si>
    <t>Lumes</t>
  </si>
  <si>
    <t>Ponteiro</t>
  </si>
  <si>
    <t>Depois</t>
  </si>
  <si>
    <t>Mensagem</t>
  </si>
  <si>
    <t>SALA A1</t>
  </si>
  <si>
    <t>TRANSPARÊNCIA DE IMAGEM:</t>
  </si>
  <si>
    <t>Transp. de Imagem</t>
  </si>
  <si>
    <t xml:space="preserve">Amarelo </t>
  </si>
  <si>
    <t>Painel</t>
  </si>
  <si>
    <t>Lançamentos</t>
  </si>
  <si>
    <t>SALA A2</t>
  </si>
  <si>
    <t>SALA A3</t>
  </si>
  <si>
    <t>SALA A4</t>
  </si>
  <si>
    <t>SALA A5</t>
  </si>
  <si>
    <t>SALA A6</t>
  </si>
  <si>
    <t>SALA A7</t>
  </si>
  <si>
    <t>SALA A8</t>
  </si>
  <si>
    <t>SALA C1</t>
  </si>
  <si>
    <t>SALA C2</t>
  </si>
  <si>
    <t>SALA C3</t>
  </si>
  <si>
    <t>SALA C4</t>
  </si>
  <si>
    <t>SALA C5</t>
  </si>
  <si>
    <t>SALA C6</t>
  </si>
  <si>
    <t>SALA C7</t>
  </si>
  <si>
    <t>SALA C8</t>
  </si>
  <si>
    <t>SALA C9</t>
  </si>
  <si>
    <t>SALA C10</t>
  </si>
  <si>
    <t>SALA C11</t>
  </si>
  <si>
    <t>SALA E1</t>
  </si>
  <si>
    <t>SALA E2</t>
  </si>
  <si>
    <t>SALA E3</t>
  </si>
  <si>
    <t>SALA E4</t>
  </si>
  <si>
    <t>SALA E5</t>
  </si>
  <si>
    <t>SALA E6</t>
  </si>
  <si>
    <t>SALA E7</t>
  </si>
  <si>
    <t>SALA E8</t>
  </si>
  <si>
    <t>SALA DE MÚSICA</t>
  </si>
  <si>
    <t>SALA D1</t>
  </si>
  <si>
    <t>SALA D2</t>
  </si>
  <si>
    <t>PLANILHA DE  EQUIPAMENTOS - PREVISÃO DE COMPRAS -  COC LAGO NORTE (TI) (2021/2022)</t>
  </si>
  <si>
    <t>DATA DE COMPRA</t>
  </si>
  <si>
    <t xml:space="preserve">PILHAS DESCARREGADAS </t>
  </si>
  <si>
    <t>Controle de Pilhas</t>
  </si>
  <si>
    <t xml:space="preserve">PROBLEMA COM O VOLUME </t>
  </si>
  <si>
    <t>COMPUTADOR COM PROBLEMAS</t>
  </si>
  <si>
    <t>DANIEL</t>
  </si>
  <si>
    <t xml:space="preserve">MICROFONE </t>
  </si>
  <si>
    <t>TECLADO</t>
  </si>
  <si>
    <t>PROBLEMA COM A CONEXÃO</t>
  </si>
  <si>
    <t>PROBLEMA COM O COMPUTADOR</t>
  </si>
  <si>
    <t xml:space="preserve">PROBLEMAS COM A CÂMERA </t>
  </si>
  <si>
    <t xml:space="preserve">PROBLEMA COM A CÂMERA </t>
  </si>
  <si>
    <t>PROBLEMA COM VOLUME</t>
  </si>
  <si>
    <t>AÚDIO</t>
  </si>
  <si>
    <t>PROBLEMAS COM VOLUME</t>
  </si>
  <si>
    <t>INTERFERÊNCIA</t>
  </si>
  <si>
    <t>PROBLEMA COM O MICROFONE</t>
  </si>
  <si>
    <t>PROBLEMAS COM A INTERNET</t>
  </si>
  <si>
    <t>PROBLEMAS COM O MICROFONE</t>
  </si>
  <si>
    <t>PROBLEMA COM O MEET</t>
  </si>
  <si>
    <t>PROBLEMAS COM O PROJETOR</t>
  </si>
  <si>
    <t>PROBLEMA COM PROJETOR</t>
  </si>
  <si>
    <t>PROBLEMA COM COMPUTADOR</t>
  </si>
  <si>
    <t>PROBLEMA COM O SOM</t>
  </si>
  <si>
    <t>PROBLEMA COM O MONITOR</t>
  </si>
  <si>
    <t>PROBLEMA COM A INTERNET</t>
  </si>
  <si>
    <t>PROBLEMA COM MICROFONE</t>
  </si>
  <si>
    <t>PROBLEMA COM O PROJETOR</t>
  </si>
  <si>
    <t>PROBLEMA COM  A CÂMERA</t>
  </si>
  <si>
    <t>PROBLEMA COM A CÂMERA</t>
  </si>
  <si>
    <t xml:space="preserve">PROBLEMA COM O ÁUDIO </t>
  </si>
  <si>
    <t>Soma de Valor total</t>
  </si>
  <si>
    <t>Rótulos de Linha</t>
  </si>
  <si>
    <t>Total Geral</t>
  </si>
  <si>
    <t>Rótulos de Coluna</t>
  </si>
  <si>
    <t>(Tudo)</t>
  </si>
  <si>
    <t>UTILIZAÇÃO 3D MÓVEL</t>
  </si>
  <si>
    <t xml:space="preserve">PLANILHA DE  EQUIPAMENTOS - PROJETORES - COC LAGO NORTE (TI) </t>
  </si>
  <si>
    <t>MANUTENÇÃO</t>
  </si>
  <si>
    <t>ESPECIFICAÇÃO</t>
  </si>
  <si>
    <t>SERVIÇO</t>
  </si>
  <si>
    <t>TROCA DA LAMPADA E BALLAST.</t>
  </si>
  <si>
    <t>CONSERTO DA PLACA LOGICA E TROCA DA BALLAST.</t>
  </si>
  <si>
    <t xml:space="preserve">ORÇAMENTO </t>
  </si>
  <si>
    <t>VALOR</t>
  </si>
  <si>
    <t xml:space="preserve">DATA </t>
  </si>
  <si>
    <t>ORÇAMENTO CONSERTO</t>
  </si>
  <si>
    <t>HISTÓRICO DE CONSERTO DE EQUIPAMENTOS - COC LAGO NORTE</t>
  </si>
  <si>
    <t>MODELOS DE NOTBOOKS</t>
  </si>
  <si>
    <t>MODELOS DE TABLETS</t>
  </si>
  <si>
    <t>Nº PATRIMÔNIO</t>
  </si>
  <si>
    <t>QUALIDADE DO EQUIPAMENTO</t>
  </si>
  <si>
    <t xml:space="preserve">PROCESSADOR /HD /MEMÓRIA </t>
  </si>
  <si>
    <t>I3 - HD 500GB 6 GB - 64 BITS</t>
  </si>
  <si>
    <t>I5 - HD 500GB 8 GB - 64 BITS</t>
  </si>
  <si>
    <t>I5 - HD 1 TB 8 GB - 64 BITS</t>
  </si>
  <si>
    <t>N3 COMPUTER</t>
  </si>
  <si>
    <t>I5 - 500 GB 8 GB - 64 BITS</t>
  </si>
  <si>
    <t>I5 - 1TB 8 GB - 64 BITS</t>
  </si>
  <si>
    <t>I5 - 1TB 4GB - 64 BITS</t>
  </si>
  <si>
    <t>I5 - HD 500 GB 8 GB - 64 BITS</t>
  </si>
  <si>
    <t>I3 - 500 GB 4GB - 64 BITS</t>
  </si>
  <si>
    <t>ANDROID 9</t>
  </si>
  <si>
    <t>16GB</t>
  </si>
  <si>
    <t>VERSÃO 1.1</t>
  </si>
  <si>
    <t xml:space="preserve">VERSÃO </t>
  </si>
  <si>
    <t xml:space="preserve">MEMORIA </t>
  </si>
  <si>
    <t>ANDROID</t>
  </si>
  <si>
    <t>HP</t>
  </si>
  <si>
    <t>N. PATRIMÔNIO</t>
  </si>
  <si>
    <t>SMS 1000W</t>
  </si>
  <si>
    <t>MOUSE</t>
  </si>
  <si>
    <t>ROB 1</t>
  </si>
  <si>
    <t>LOGITECH</t>
  </si>
  <si>
    <t>KILLER SOUL</t>
  </si>
  <si>
    <t>INTELBRAS</t>
  </si>
  <si>
    <t>GENIUS</t>
  </si>
  <si>
    <t xml:space="preserve"> COMPUTADORES</t>
  </si>
  <si>
    <t>MONITORES</t>
  </si>
  <si>
    <t>IMPRESSORAS 3D - ROBÓTICA</t>
  </si>
  <si>
    <t>INTEGRIDADE FÍSICA EQ.</t>
  </si>
  <si>
    <t>ACESSÓRIOS EXTRAS</t>
  </si>
  <si>
    <t>TECLADO MODELO</t>
  </si>
  <si>
    <t>MOUSE MODELO</t>
  </si>
  <si>
    <t>QUEDA / FALTA DE ENERGIA</t>
  </si>
  <si>
    <t>S4A; ADULINO; MRDX</t>
  </si>
  <si>
    <t>MÚSICA</t>
  </si>
  <si>
    <t>SANSUNG - CX.8 - BLU RAY 3D</t>
  </si>
  <si>
    <t>SAVE PRO - 500W</t>
  </si>
  <si>
    <t>BENQ - MX825ST</t>
  </si>
  <si>
    <t>OPTOMA - TW610ST</t>
  </si>
  <si>
    <t>BENQ - MX819ST</t>
  </si>
  <si>
    <t>BENQ - MX713ST</t>
  </si>
  <si>
    <t>Marca: BENQ - Modelo: MX819ST</t>
  </si>
  <si>
    <t>TROCA DO DMD</t>
  </si>
  <si>
    <t>TROCA DA LAMPADA E TÚNEL DE LUZ</t>
  </si>
  <si>
    <t>0001</t>
  </si>
  <si>
    <t>TROCA DA LÂMPADA  E DO TUNEL DE LUZ + TROCA DO DMD</t>
  </si>
  <si>
    <t>TROCA DO BLOCO DE LENTES COMPLETO ; OBJETIVA TUNEL DE LUZ</t>
  </si>
  <si>
    <t xml:space="preserve">TROCA DA OBJETIVA </t>
  </si>
  <si>
    <t>57481</t>
  </si>
  <si>
    <t>Marca: BENQ - Modelo: MX825ST</t>
  </si>
  <si>
    <t xml:space="preserve">CONSERTO DO SECUNDÁRIO E DA FONTE E CONSERTO DA  BALLAST </t>
  </si>
  <si>
    <t>TROCA DA LÂMPADA E DA BALLAST E LIMPESA DO BLOCO DE LENTES</t>
  </si>
  <si>
    <t>TROCA DA LÂMPADA E DA BALLAST</t>
  </si>
  <si>
    <t>TRACA DA LÂMPADA</t>
  </si>
  <si>
    <t>TROCA DA LÂMPADA E LIMPEZA BLOCO DE LENTES</t>
  </si>
  <si>
    <t>TROCA DA OBJETIVA COMPLETA</t>
  </si>
  <si>
    <t>Marca: BENQ - Modelo: MX810ST</t>
  </si>
  <si>
    <t>TROCA DA LÂMPADA E DO TÚNEL DE LUZ</t>
  </si>
  <si>
    <t>Marca: BENQ - Modelo: MX713ST</t>
  </si>
  <si>
    <t xml:space="preserve"> LÂMPADA; TROCA BLOCO DE LUZ LENTES E TÚNEL DE LUZ ;TROCA DO DMD</t>
  </si>
  <si>
    <t>TROCA DA LÂMPADA; TROCA BLOCO DE LUZ LENTES E TÚNEL DE LUZ</t>
  </si>
  <si>
    <t>000552</t>
  </si>
  <si>
    <t>63357</t>
  </si>
  <si>
    <t>MANCHA NA LOUSA</t>
  </si>
  <si>
    <t>PADRÃO DE FABRICA</t>
  </si>
  <si>
    <t>LENOVO - P.17</t>
  </si>
  <si>
    <t>AOC- P.18</t>
  </si>
  <si>
    <t>HP - P.19</t>
  </si>
  <si>
    <t>SANSUNG - P.18,5</t>
  </si>
  <si>
    <t>AOC  - P.18</t>
  </si>
  <si>
    <t>AOC - P.18</t>
  </si>
  <si>
    <t>LG - P.18</t>
  </si>
  <si>
    <t>AOC - P.16</t>
  </si>
  <si>
    <t>LG - P.16</t>
  </si>
  <si>
    <t xml:space="preserve">ÓTIMO </t>
  </si>
  <si>
    <t>WEBCAM LOGITECH C920</t>
  </si>
  <si>
    <t>Marca: OPTOMA - Modelo: TW610ST</t>
  </si>
  <si>
    <t>EQUIPAMENTOS</t>
  </si>
  <si>
    <t>DESCRIÇÃO DEFEITO</t>
  </si>
  <si>
    <t>PROJETOR BENQ - MX713ST</t>
  </si>
  <si>
    <t>IMAGEM MUITO CLARA E EQUIPAMENTO DESGASTADO COM USO</t>
  </si>
  <si>
    <t>ANO COMPRA</t>
  </si>
  <si>
    <t>ÓTIMO</t>
  </si>
  <si>
    <t>BTC</t>
  </si>
  <si>
    <t>10.1.1.16</t>
  </si>
  <si>
    <t>10.1.1.19</t>
  </si>
  <si>
    <t>10.1.1.21</t>
  </si>
  <si>
    <t>10.1.1.15</t>
  </si>
  <si>
    <t>10.1.1.17</t>
  </si>
  <si>
    <t xml:space="preserve">10.1.1.18 </t>
  </si>
  <si>
    <t>10.1.1.18</t>
  </si>
  <si>
    <t>MOTO G9 PLAY</t>
  </si>
  <si>
    <t>ANDROID 10</t>
  </si>
  <si>
    <t>64GB</t>
  </si>
  <si>
    <t>MODELO</t>
  </si>
  <si>
    <t>MODEL XT2083-1</t>
  </si>
  <si>
    <t>PROFESSOR</t>
  </si>
  <si>
    <t>NORMAL</t>
  </si>
  <si>
    <t>00095</t>
  </si>
  <si>
    <t>000209</t>
  </si>
  <si>
    <t>000478</t>
  </si>
  <si>
    <t>000250</t>
  </si>
  <si>
    <t>000833</t>
  </si>
  <si>
    <t>000548</t>
  </si>
  <si>
    <t>000620</t>
  </si>
  <si>
    <t>000586</t>
  </si>
  <si>
    <t>000356</t>
  </si>
  <si>
    <t>000740</t>
  </si>
  <si>
    <t>000421</t>
  </si>
  <si>
    <t>000839</t>
  </si>
  <si>
    <t>000935</t>
  </si>
  <si>
    <t>000283</t>
  </si>
  <si>
    <t>000481</t>
  </si>
  <si>
    <t>000355</t>
  </si>
  <si>
    <t>000424</t>
  </si>
  <si>
    <t>000624</t>
  </si>
  <si>
    <t>000700</t>
  </si>
  <si>
    <t>000743</t>
  </si>
  <si>
    <t>000836</t>
  </si>
  <si>
    <t>000457</t>
  </si>
  <si>
    <t>000588</t>
  </si>
  <si>
    <t>000842</t>
  </si>
  <si>
    <t>000985</t>
  </si>
  <si>
    <t>000425</t>
  </si>
  <si>
    <t>000218</t>
  </si>
  <si>
    <t>000729</t>
  </si>
  <si>
    <t>000805</t>
  </si>
  <si>
    <t>000458</t>
  </si>
  <si>
    <t>000589</t>
  </si>
  <si>
    <t>000841</t>
  </si>
  <si>
    <t>000625</t>
  </si>
  <si>
    <t>000282</t>
  </si>
  <si>
    <t>000357</t>
  </si>
  <si>
    <t>000419</t>
  </si>
  <si>
    <t>000623</t>
  </si>
  <si>
    <t>000742</t>
  </si>
  <si>
    <t>000906</t>
  </si>
  <si>
    <t>000461</t>
  </si>
  <si>
    <t>000549</t>
  </si>
  <si>
    <t>000990</t>
  </si>
  <si>
    <t>000699</t>
  </si>
  <si>
    <t>000835</t>
  </si>
  <si>
    <t>000907</t>
  </si>
  <si>
    <t>000840</t>
  </si>
  <si>
    <t>000167</t>
  </si>
  <si>
    <t>000420</t>
  </si>
  <si>
    <t>000834</t>
  </si>
  <si>
    <t>000741</t>
  </si>
  <si>
    <t>000116</t>
  </si>
  <si>
    <t>000479</t>
  </si>
  <si>
    <t>000988</t>
  </si>
  <si>
    <t>PÉSSIMO</t>
  </si>
  <si>
    <t xml:space="preserve">C3 TECH </t>
  </si>
  <si>
    <t>MOTIVO DA BAIXA DO EQUIPAMENTO</t>
  </si>
  <si>
    <t>DANIFICADA FISICAMENTE</t>
  </si>
  <si>
    <t>BOM "VERIFICAR SENSOR"</t>
  </si>
  <si>
    <t>MODELOS DOS CELULARES</t>
  </si>
  <si>
    <t>OPTMA - TW610ST</t>
  </si>
  <si>
    <t>DATA LIMPEZA MANUTENÇÃO</t>
  </si>
  <si>
    <t>BOM/ ACEITÁVEL</t>
  </si>
  <si>
    <t>BETEC - 728A</t>
  </si>
  <si>
    <t>BOM</t>
  </si>
  <si>
    <t>TV - LG 42 POLEGADAS</t>
  </si>
  <si>
    <t>VHD 3220 D G4.0</t>
  </si>
  <si>
    <t>VHD 3220 D G4.1</t>
  </si>
  <si>
    <t>VHD 3220 D G4.2</t>
  </si>
  <si>
    <t>VHD 3220 D G4.3</t>
  </si>
  <si>
    <t>VHD 3220 D G4.4</t>
  </si>
  <si>
    <t>VHD 3220 D G4.5</t>
  </si>
  <si>
    <t>VHD 3220 D G4.6</t>
  </si>
  <si>
    <t>VHD 3220 D G4.7</t>
  </si>
  <si>
    <t>VHD 3220 D G4.8</t>
  </si>
  <si>
    <t>VHD 3220 D G4.9</t>
  </si>
  <si>
    <t>VHD 3220 D G4.10</t>
  </si>
  <si>
    <t>VHD 3220 D G4.11</t>
  </si>
  <si>
    <t>VHD 3220 D G4.12</t>
  </si>
  <si>
    <t>VHD 3220 D G4.13</t>
  </si>
  <si>
    <t>VHD 3220 D G4.14</t>
  </si>
  <si>
    <t>VHD 3220 D G4.15</t>
  </si>
  <si>
    <t>VHD 3220 D G4.16</t>
  </si>
  <si>
    <t>HOME THEATHER</t>
  </si>
  <si>
    <t>PROJETOR SEM CONDIÇÕES DE USO, ESTÁ OBSOLETO</t>
  </si>
  <si>
    <t xml:space="preserve">TECNOLOGIA- DASHBOARD - COC LAGO NORTE </t>
  </si>
  <si>
    <t xml:space="preserve">TECNOLOGIA - DASHBOARD - COC LAGO NORTE </t>
  </si>
  <si>
    <t>TECNOLOGIA- DASHBOARD - COC LAGO NORTE</t>
  </si>
  <si>
    <t>Data</t>
  </si>
  <si>
    <t>Turma</t>
  </si>
  <si>
    <t>Assunto</t>
  </si>
  <si>
    <t>Cíntia</t>
  </si>
  <si>
    <t>Horário</t>
  </si>
  <si>
    <t>08h45</t>
  </si>
  <si>
    <t>5° Ano A2</t>
  </si>
  <si>
    <t>Vídeos: 107 - 108 (Sistemas)</t>
  </si>
  <si>
    <t>09h00</t>
  </si>
  <si>
    <t>5°Ano A1</t>
  </si>
  <si>
    <t>Vídeos: 107 - 108 ( Sistemas)</t>
  </si>
  <si>
    <t>15h30</t>
  </si>
  <si>
    <t>Izabela</t>
  </si>
  <si>
    <t>4º Ano B</t>
  </si>
  <si>
    <t>2º Ano B</t>
  </si>
  <si>
    <t>Aula de Apresentação</t>
  </si>
  <si>
    <t>10h30</t>
  </si>
  <si>
    <t>Video: 18 (Conceitos básicos de decimais)</t>
  </si>
  <si>
    <t>Gracyelle</t>
  </si>
  <si>
    <t>11h00</t>
  </si>
  <si>
    <t>Adriana</t>
  </si>
  <si>
    <t>Video: 9 (Ciclo de vida de uma borboleta)</t>
  </si>
  <si>
    <t>14H00</t>
  </si>
  <si>
    <t>3º Ano B</t>
  </si>
  <si>
    <t>3º Ano A</t>
  </si>
  <si>
    <t>11H30</t>
  </si>
  <si>
    <t>4º Ano A</t>
  </si>
  <si>
    <t>Video: ****</t>
  </si>
  <si>
    <t>09H30</t>
  </si>
  <si>
    <t>15H40</t>
  </si>
  <si>
    <t>2º Ano A</t>
  </si>
  <si>
    <t xml:space="preserve">Videos: (Animais domésticos e onde vivem) </t>
  </si>
  <si>
    <t>Videos: (Animais selvagens e suas moradias)</t>
  </si>
  <si>
    <t>10H30</t>
  </si>
  <si>
    <t>Vídeo: Porcentagem</t>
  </si>
  <si>
    <t>Vídeos: 3 - A reciclagem de plásticos; 36 - Ecossistemas de florestas; 92 - Poluição do Ar</t>
  </si>
  <si>
    <t>Total de Atendimento</t>
  </si>
  <si>
    <t>Rerserva</t>
  </si>
  <si>
    <t>Soma de Total de Atendimento</t>
  </si>
  <si>
    <t>QUANTIDADE DE UTILIZAÇÃO</t>
  </si>
  <si>
    <t>Professores</t>
  </si>
  <si>
    <t>3D - LANÇAMENTOS -  3D  - COC LAGO NORTE</t>
  </si>
  <si>
    <t>TABELA DINÂMICA 3D - COC LAGO NORTE</t>
  </si>
  <si>
    <t>Sem Equipamento</t>
  </si>
  <si>
    <t xml:space="preserve"> VGA</t>
  </si>
  <si>
    <t>HDMI</t>
  </si>
  <si>
    <t>USB LOUSA</t>
  </si>
  <si>
    <t xml:space="preserve"> FONTE PC</t>
  </si>
  <si>
    <t>FONTE PROJETOR</t>
  </si>
  <si>
    <t>USB CÂMERA</t>
  </si>
  <si>
    <t>CABO MP4</t>
  </si>
  <si>
    <t xml:space="preserve">PLANILHA DE  EQUIPAMENTOS -LANÇAMENTOS DE CABOS -  COC LAGO NORTE (TI)  </t>
  </si>
  <si>
    <t>(vazio)</t>
  </si>
  <si>
    <t>P2 XP 1</t>
  </si>
  <si>
    <t xml:space="preserve">PLANILHA DE  EQUIPAMENTOS - ACESSÓRIOS ELETRÔNICOS-  COC LAGO NORTE (TI) </t>
  </si>
  <si>
    <t>PLANILHA DE  EQUIPAMENTOS - CÂMERAS GO PRO -  COC LAGO NORTE (TI)</t>
  </si>
  <si>
    <t xml:space="preserve">PLANILHA DE  EQUIPAMENTOS - HOME THEATHER -  COC LAGO NORTE (TI) </t>
  </si>
  <si>
    <t xml:space="preserve">PLANILHA DE  EQUIPAMENTOS - MICROFONES -  COC LAGO NORTE (TI)  </t>
  </si>
  <si>
    <t xml:space="preserve">PLANILHA DE  EQUIPAMENTOS - CÂMERAS DE SEGURANÇA - COC LAGO NORTE (TI) </t>
  </si>
  <si>
    <t>DELL INSPIRON</t>
  </si>
  <si>
    <t>NÃO/VGA</t>
  </si>
  <si>
    <t>I5 - 439 GB 8 GB - 64 BITS</t>
  </si>
  <si>
    <t>DELL VOSTRO</t>
  </si>
  <si>
    <t xml:space="preserve">PLANILHA DE  EQUIPAMENTOS -ROTEADORES -  COC LAGO NORTE (TI)  </t>
  </si>
  <si>
    <t>ROTEADORES CORREDORES</t>
  </si>
  <si>
    <t>ROTEADORES SALA</t>
  </si>
  <si>
    <t>UNI-FI</t>
  </si>
  <si>
    <t>ALMOXARIFADO</t>
  </si>
  <si>
    <t>Marca: OPTOMA - Modelo: TX610ST</t>
  </si>
  <si>
    <t>Sem equipamento</t>
  </si>
  <si>
    <t>NOTEBOOK E.A.D</t>
  </si>
  <si>
    <t>COORD.</t>
  </si>
  <si>
    <t>3D</t>
  </si>
  <si>
    <t>I5 - 1TB 4 GB - 64 BITS</t>
  </si>
  <si>
    <t>SANSUNG - P.17</t>
  </si>
  <si>
    <t>I5 - 500 GB 4 GB - 64 BITS</t>
  </si>
  <si>
    <t>C3 TECH BRANCO</t>
  </si>
  <si>
    <t>LENOVO</t>
  </si>
  <si>
    <t>NOTEBOOK - VOSTRO 3501</t>
  </si>
  <si>
    <t>GALAXY SM T385M</t>
  </si>
  <si>
    <t>SANSUNG</t>
  </si>
  <si>
    <t>I5 - 1TB - 8GB - 64 BITS</t>
  </si>
  <si>
    <t>OBJETOS DE APRENDIZAGEM 3D E MÓDULO 3D ESTEREOSCÓPICO</t>
  </si>
  <si>
    <t>UNI-FI (AZUL)</t>
  </si>
  <si>
    <t>MODELO DE PROJETOR</t>
  </si>
  <si>
    <t>UNI-FI COC0080 - BL.C - P703</t>
  </si>
  <si>
    <t>UNI-FI COC0081 - BL.C - P702</t>
  </si>
  <si>
    <t xml:space="preserve"> UNI-FI COC0083 - BL.C - P700</t>
  </si>
  <si>
    <t>UNI-FI PT513.BIB</t>
  </si>
  <si>
    <t>UNI-FI BL.A-SL.05 PT509</t>
  </si>
  <si>
    <t>UNI-FI COC0071- P514</t>
  </si>
  <si>
    <t>UNI-FI TI-512</t>
  </si>
  <si>
    <t>UNI-FI TI-516</t>
  </si>
  <si>
    <t>15/10/2021</t>
  </si>
  <si>
    <t>18/10/2021</t>
  </si>
  <si>
    <t>NÃO ESPECIFICADO</t>
  </si>
  <si>
    <t>PROBLEMAS COM O COMPUTADOR</t>
  </si>
  <si>
    <t>26/10/2021</t>
  </si>
  <si>
    <t>27/10/2021</t>
  </si>
  <si>
    <t>PILHAS</t>
  </si>
  <si>
    <t>28/10/2021</t>
  </si>
  <si>
    <t>29/10/2021</t>
  </si>
  <si>
    <t>UNI-FI COC0088-ROB P520</t>
  </si>
  <si>
    <t>AVAST; TEAMVIEWER</t>
  </si>
  <si>
    <t>VALOR TOTAL</t>
  </si>
  <si>
    <t>ANO</t>
  </si>
  <si>
    <t xml:space="preserve">MÊS </t>
  </si>
  <si>
    <t>DIA</t>
  </si>
  <si>
    <t>SALA</t>
  </si>
  <si>
    <t>ENTRADA DE MATERIAIS -  COC LAGO NORTE (TI) (2021/2022)</t>
  </si>
  <si>
    <t>DIGI 3 - QUADRADA</t>
  </si>
  <si>
    <t>DIGI 4 - RETANGULAR</t>
  </si>
  <si>
    <t xml:space="preserve">HOME THEATHER </t>
  </si>
  <si>
    <t>PATRIMÔNIO</t>
  </si>
  <si>
    <t>CPD</t>
  </si>
  <si>
    <t>MICROFONE BOYA</t>
  </si>
  <si>
    <t>SETOR</t>
  </si>
  <si>
    <t xml:space="preserve">DIRECIONAMENTO DE MATERIAIS -  COC LAGO NORTE (TI) </t>
  </si>
  <si>
    <t>MICROFONE HEADSET COM ROSCA</t>
  </si>
  <si>
    <t>ROB1</t>
  </si>
  <si>
    <t>AUD.2</t>
  </si>
  <si>
    <t>ORÇAMENTOS E CONSERTOS DE PROJETORES - COC LAGO NORTE</t>
  </si>
  <si>
    <t>000984</t>
  </si>
  <si>
    <t>P.14</t>
  </si>
  <si>
    <t>LG - P.14</t>
  </si>
  <si>
    <t>EVOLUTION 500W</t>
  </si>
  <si>
    <t>ENERMAX 500W</t>
  </si>
  <si>
    <t>LENOVO - P.14</t>
  </si>
  <si>
    <t>LENOVO - P. 14</t>
  </si>
  <si>
    <t>HP - P.18</t>
  </si>
  <si>
    <t>SAVE PRO MCM</t>
  </si>
  <si>
    <t>SAVE PRO MCM 500W</t>
  </si>
  <si>
    <t>PROVIEW - P.14</t>
  </si>
  <si>
    <t>QUALIDADE DE IMAGENS PROJETORES  SALA DE AULA ATUALIZADO EM 26/11/2021</t>
  </si>
  <si>
    <t xml:space="preserve">PLANILHA DE  EQUIPAMENTOS - DESKTOPS - CLASSROOM - COC LAGO NORTE (TI) </t>
  </si>
  <si>
    <t xml:space="preserve">PLANILHA DE  EQUIPAMENTOS - LOUSA DIGITAL - COC LAGO NORTE (TI) </t>
  </si>
  <si>
    <t>EQUIPAMENTOS - BAIXA DE PATRIMÔNIO - COC LAGO NORTE (TI)</t>
  </si>
  <si>
    <t>31/ago</t>
  </si>
  <si>
    <t>02/set</t>
  </si>
  <si>
    <t>09/set</t>
  </si>
  <si>
    <t>10/set</t>
  </si>
  <si>
    <t>14/set</t>
  </si>
  <si>
    <t>15/set</t>
  </si>
  <si>
    <t>21/set</t>
  </si>
  <si>
    <t>24/set</t>
  </si>
  <si>
    <t>05/out</t>
  </si>
  <si>
    <t>21/out</t>
  </si>
  <si>
    <t>29/out</t>
  </si>
  <si>
    <t>DESKTOP</t>
  </si>
  <si>
    <t>TECLADO/MOUSE</t>
  </si>
  <si>
    <t>Sala sem Equipamentos</t>
  </si>
  <si>
    <t>AUD1</t>
  </si>
  <si>
    <t xml:space="preserve"> LANÇAMENTO DE QUEDA OU FALTA DE ENERGIA COC LAGO NORTE (TI)</t>
  </si>
  <si>
    <t>BILING.</t>
  </si>
  <si>
    <t xml:space="preserve">C3 - TECH </t>
  </si>
  <si>
    <t>000134</t>
  </si>
  <si>
    <t>000198</t>
  </si>
  <si>
    <t>001543</t>
  </si>
  <si>
    <t>001417</t>
  </si>
  <si>
    <t>001421</t>
  </si>
  <si>
    <t>001414</t>
  </si>
  <si>
    <t>001413</t>
  </si>
  <si>
    <t>001416</t>
  </si>
  <si>
    <t>001479</t>
  </si>
  <si>
    <t>001546</t>
  </si>
  <si>
    <t>001551</t>
  </si>
  <si>
    <t>001544</t>
  </si>
  <si>
    <t>001542</t>
  </si>
  <si>
    <t>001541</t>
  </si>
  <si>
    <t>001926</t>
  </si>
  <si>
    <t>001539</t>
  </si>
  <si>
    <t>001611</t>
  </si>
  <si>
    <t>001616</t>
  </si>
  <si>
    <t>001610</t>
  </si>
  <si>
    <t>001607</t>
  </si>
  <si>
    <t>001605</t>
  </si>
  <si>
    <t>001604</t>
  </si>
  <si>
    <t>001606</t>
  </si>
  <si>
    <t>001608</t>
  </si>
  <si>
    <t>001650</t>
  </si>
  <si>
    <t>001649</t>
  </si>
  <si>
    <t>001645</t>
  </si>
  <si>
    <t>001639</t>
  </si>
  <si>
    <t>001640</t>
  </si>
  <si>
    <t>001641</t>
  </si>
  <si>
    <t>001644</t>
  </si>
  <si>
    <t>001638</t>
  </si>
  <si>
    <t>001576</t>
  </si>
  <si>
    <t>000052</t>
  </si>
  <si>
    <t>000460</t>
  </si>
  <si>
    <t>001538</t>
  </si>
  <si>
    <t>001927</t>
  </si>
  <si>
    <t>000480</t>
  </si>
  <si>
    <t>001191</t>
  </si>
  <si>
    <t>000054</t>
  </si>
  <si>
    <t>000662</t>
  </si>
  <si>
    <t>WISE</t>
  </si>
  <si>
    <t>DIGI 4 - QUADRADA</t>
  </si>
  <si>
    <t>MICROSOFT</t>
  </si>
  <si>
    <t>TRANSFERIDO</t>
  </si>
  <si>
    <t>LOUSA</t>
  </si>
  <si>
    <t>PROBLEMA COM A LOUSA</t>
  </si>
  <si>
    <t xml:space="preserve">- </t>
  </si>
  <si>
    <t xml:space="preserve">C6 </t>
  </si>
  <si>
    <t>NAVEGADOR</t>
  </si>
  <si>
    <t>PROBLEMAS COM O NAVEGADOR</t>
  </si>
  <si>
    <t>PROBLEMA COM O MOUSE</t>
  </si>
  <si>
    <t>PROBLEMAS COM A CÂMERA</t>
  </si>
  <si>
    <t>PROBLEMAS COM CÂMERA</t>
  </si>
  <si>
    <t>PROBLEMAS COM PROJETOR</t>
  </si>
  <si>
    <t>PROBLEMAS COM O SOM</t>
  </si>
  <si>
    <t>PROBLEMAS COM O MOUSE</t>
  </si>
  <si>
    <t>PROBLEMAS COM MICROFONE</t>
  </si>
  <si>
    <t>PROBLEMAS COM A LOUSA</t>
  </si>
  <si>
    <t>PROBLEMAS COM O TECLADO</t>
  </si>
  <si>
    <t>PROBLEMAS COM O MONITOR</t>
  </si>
  <si>
    <t>EMAIL</t>
  </si>
  <si>
    <t>PROBLEMAS COM O EMAIL</t>
  </si>
  <si>
    <t>AUD2</t>
  </si>
  <si>
    <t>OFFICE</t>
  </si>
  <si>
    <t>PROBLEMAS COM O OFFICE</t>
  </si>
  <si>
    <t>MEET</t>
  </si>
  <si>
    <t>PROBLEMAS COM O MEET</t>
  </si>
  <si>
    <t>07/02/2022</t>
  </si>
  <si>
    <t>LOGIN</t>
  </si>
  <si>
    <t xml:space="preserve">PROBLEMAS COM O LOGIN </t>
  </si>
  <si>
    <t>06/04/2022</t>
  </si>
  <si>
    <t xml:space="preserve"> PROBLEMAS COM A CÂMERA</t>
  </si>
  <si>
    <t>-000052</t>
  </si>
  <si>
    <t>02/02/2022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</si>
</sst>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quot;R$&quot;\ * #,##0_-;\-&quot;R$&quot;\ * #,##0_-;_-&quot;R$&quot;\ * &quot;-&quot;??_-;_-@_-"/>
    <numFmt numFmtId="165" formatCode="&quot;R$&quot;\ #,##0.00"/>
    <numFmt numFmtId="166" formatCode="dd/mm/yy"/>
  </numFmts>
  <fonts count="58" x14ac:knownFonts="1">
    <font>
      <sz val="11"/>
      <color theme="1"/>
      <name val="Calibri"/>
      <family val="2"/>
      <scheme val="minor"/>
    </font>
    <font>
      <sz val="12"/>
      <color theme="1"/>
      <name val="Calibri"/>
      <family val="2"/>
      <scheme val="minor"/>
    </font>
    <font>
      <sz val="11"/>
      <color theme="1"/>
      <name val="Calibri"/>
      <family val="2"/>
      <scheme val="minor"/>
    </font>
    <font>
      <b/>
      <sz val="11"/>
      <color rgb="FFFA7D00"/>
      <name val="Calibri"/>
      <family val="2"/>
      <scheme val="minor"/>
    </font>
    <font>
      <sz val="11"/>
      <color theme="0"/>
      <name val="Calibri"/>
      <family val="2"/>
      <scheme val="minor"/>
    </font>
    <font>
      <sz val="8"/>
      <name val="Calibri"/>
      <family val="2"/>
      <scheme val="minor"/>
    </font>
    <font>
      <b/>
      <sz val="12"/>
      <color rgb="FF00B0F0"/>
      <name val="Calibri"/>
      <family val="2"/>
      <scheme val="minor"/>
    </font>
    <font>
      <sz val="11"/>
      <name val="Calibri"/>
      <family val="2"/>
      <scheme val="minor"/>
    </font>
    <font>
      <b/>
      <sz val="11"/>
      <color theme="0"/>
      <name val="Calibri"/>
      <family val="2"/>
      <scheme val="minor"/>
    </font>
    <font>
      <sz val="12"/>
      <color theme="1"/>
      <name val="Calibri"/>
      <family val="2"/>
      <scheme val="minor"/>
    </font>
    <font>
      <u/>
      <sz val="11"/>
      <color theme="10"/>
      <name val="Calibri"/>
      <family val="2"/>
      <scheme val="minor"/>
    </font>
    <font>
      <sz val="18"/>
      <color theme="9" tint="0.79998168889431442"/>
      <name val="Exotc350 Bd BT"/>
      <family val="5"/>
    </font>
    <font>
      <sz val="11"/>
      <color theme="9" tint="0.79998168889431442"/>
      <name val="Calibri"/>
      <family val="2"/>
      <scheme val="minor"/>
    </font>
    <font>
      <sz val="11"/>
      <color theme="9" tint="-0.499984740745262"/>
      <name val="Calibri"/>
      <family val="2"/>
      <scheme val="minor"/>
    </font>
    <font>
      <b/>
      <sz val="11"/>
      <name val="Calibri"/>
      <family val="2"/>
      <scheme val="minor"/>
    </font>
    <font>
      <sz val="12"/>
      <color theme="9" tint="0.79998168889431442"/>
      <name val="Calibri"/>
      <family val="2"/>
      <scheme val="minor"/>
    </font>
    <font>
      <b/>
      <sz val="12"/>
      <color theme="1"/>
      <name val="Calibri"/>
      <family val="2"/>
      <scheme val="minor"/>
    </font>
    <font>
      <b/>
      <sz val="11"/>
      <color theme="1"/>
      <name val="Calibri"/>
      <family val="2"/>
      <scheme val="minor"/>
    </font>
    <font>
      <b/>
      <sz val="10"/>
      <color theme="0"/>
      <name val="Calibri"/>
      <family val="2"/>
      <scheme val="minor"/>
    </font>
    <font>
      <b/>
      <sz val="9"/>
      <color theme="0"/>
      <name val="Calibri"/>
      <family val="2"/>
      <scheme val="minor"/>
    </font>
    <font>
      <sz val="14"/>
      <color theme="1"/>
      <name val="Calibri"/>
      <family val="2"/>
      <scheme val="minor"/>
    </font>
    <font>
      <b/>
      <sz val="10"/>
      <color theme="1"/>
      <name val="Arial Black"/>
      <family val="2"/>
    </font>
    <font>
      <sz val="10"/>
      <color theme="1"/>
      <name val="Arial Black"/>
      <family val="2"/>
    </font>
    <font>
      <b/>
      <sz val="12"/>
      <color theme="0"/>
      <name val="Calibri"/>
      <family val="2"/>
      <scheme val="minor"/>
    </font>
    <font>
      <sz val="12"/>
      <color rgb="FF0D41E1"/>
      <name val="Calibri"/>
      <family val="2"/>
      <scheme val="minor"/>
    </font>
    <font>
      <b/>
      <sz val="11"/>
      <color rgb="FFFF0000"/>
      <name val="Calibri"/>
      <family val="2"/>
      <scheme val="minor"/>
    </font>
    <font>
      <b/>
      <sz val="12"/>
      <color theme="9" tint="0.79998168889431442"/>
      <name val="Calibri"/>
      <family val="2"/>
      <scheme val="minor"/>
    </font>
    <font>
      <b/>
      <sz val="48"/>
      <color theme="9" tint="0.79998168889431442"/>
      <name val="Calibri"/>
      <family val="2"/>
      <scheme val="minor"/>
    </font>
    <font>
      <sz val="9"/>
      <color indexed="81"/>
      <name val="Segoe UI"/>
      <charset val="1"/>
    </font>
    <font>
      <b/>
      <sz val="9"/>
      <color indexed="81"/>
      <name val="Segoe UI"/>
      <charset val="1"/>
    </font>
    <font>
      <i/>
      <sz val="11"/>
      <color theme="1"/>
      <name val="Calibri"/>
      <family val="2"/>
      <scheme val="minor"/>
    </font>
    <font>
      <sz val="12"/>
      <name val="Calibri"/>
      <family val="2"/>
      <scheme val="minor"/>
    </font>
    <font>
      <sz val="11"/>
      <color rgb="FFFF0000"/>
      <name val="Calibri"/>
      <family val="2"/>
      <scheme val="minor"/>
    </font>
    <font>
      <sz val="12"/>
      <color rgb="FFFF0000"/>
      <name val="Calibri"/>
      <family val="2"/>
      <scheme val="minor"/>
    </font>
    <font>
      <i/>
      <sz val="11"/>
      <color rgb="FFFF0000"/>
      <name val="Calibri"/>
      <family val="2"/>
      <scheme val="minor"/>
    </font>
    <font>
      <b/>
      <sz val="12"/>
      <name val="Calibri"/>
      <family val="2"/>
      <scheme val="minor"/>
    </font>
    <font>
      <i/>
      <sz val="11"/>
      <name val="Calibri"/>
      <family val="2"/>
      <scheme val="minor"/>
    </font>
    <font>
      <b/>
      <sz val="12"/>
      <color rgb="FFFF0000"/>
      <name val="Calibri"/>
      <family val="2"/>
      <scheme val="minor"/>
    </font>
    <font>
      <b/>
      <sz val="12"/>
      <color theme="5" tint="0.39997558519241921"/>
      <name val="Calibri"/>
      <family val="2"/>
      <scheme val="minor"/>
    </font>
    <font>
      <sz val="10"/>
      <color theme="1"/>
      <name val="Calibri"/>
      <family val="2"/>
      <scheme val="minor"/>
    </font>
    <font>
      <sz val="10"/>
      <name val="Calibri"/>
      <family val="2"/>
      <scheme val="minor"/>
    </font>
    <font>
      <sz val="12"/>
      <color theme="4" tint="-0.249977111117893"/>
      <name val="Calibri"/>
      <family val="2"/>
      <scheme val="minor"/>
    </font>
    <font>
      <sz val="10"/>
      <name val="Arial Black"/>
      <family val="2"/>
    </font>
    <font>
      <i/>
      <sz val="10"/>
      <color theme="1"/>
      <name val="Calibri"/>
      <family val="2"/>
      <scheme val="minor"/>
    </font>
    <font>
      <i/>
      <sz val="11"/>
      <color theme="0" tint="-0.499984740745262"/>
      <name val="Calibri"/>
      <family val="2"/>
      <scheme val="minor"/>
    </font>
    <font>
      <b/>
      <sz val="12"/>
      <color theme="0" tint="-0.499984740745262"/>
      <name val="Calibri"/>
      <family val="2"/>
      <scheme val="minor"/>
    </font>
    <font>
      <sz val="11"/>
      <color theme="0" tint="-0.499984740745262"/>
      <name val="Calibri"/>
      <family val="2"/>
      <scheme val="minor"/>
    </font>
    <font>
      <sz val="10"/>
      <color theme="0" tint="-0.499984740745262"/>
      <name val="Calibri"/>
      <family val="2"/>
      <scheme val="minor"/>
    </font>
    <font>
      <sz val="12"/>
      <color theme="0" tint="-0.499984740745262"/>
      <name val="Calibri"/>
      <family val="2"/>
      <scheme val="minor"/>
    </font>
    <font>
      <sz val="10"/>
      <color theme="0" tint="-0.499984740745262"/>
      <name val="Arial Black"/>
      <family val="2"/>
    </font>
    <font>
      <b/>
      <sz val="10"/>
      <color theme="0" tint="-0.499984740745262"/>
      <name val="Arial Black"/>
      <family val="2"/>
    </font>
    <font>
      <b/>
      <sz val="11"/>
      <color theme="0" tint="-0.499984740745262"/>
      <name val="Calibri"/>
      <family val="2"/>
      <scheme val="minor"/>
    </font>
    <font>
      <b/>
      <i/>
      <sz val="11"/>
      <color theme="0" tint="-0.499984740745262"/>
      <name val="Calibri"/>
      <family val="2"/>
      <scheme val="minor"/>
    </font>
    <font>
      <sz val="11"/>
      <color theme="0" tint="-0.34998626667073579"/>
      <name val="Calibri"/>
      <family val="2"/>
      <scheme val="minor"/>
    </font>
    <font>
      <b/>
      <sz val="12"/>
      <color theme="0" tint="-0.34998626667073579"/>
      <name val="Calibri"/>
      <family val="2"/>
      <scheme val="minor"/>
    </font>
    <font>
      <sz val="11"/>
      <color rgb="FFC00000"/>
      <name val="Calibri"/>
      <family val="2"/>
      <scheme val="minor"/>
    </font>
    <font>
      <sz val="12"/>
      <color rgb="FFC00000"/>
      <name val="Calibri"/>
      <family val="2"/>
      <scheme val="minor"/>
    </font>
    <font>
      <b/>
      <i/>
      <sz val="12"/>
      <color theme="0" tint="-0.499984740745262"/>
      <name val="Calibri"/>
      <family val="2"/>
      <scheme val="minor"/>
    </font>
  </fonts>
  <fills count="42">
    <fill>
      <patternFill patternType="none"/>
    </fill>
    <fill>
      <patternFill patternType="gray125"/>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7"/>
      </patternFill>
    </fill>
    <fill>
      <patternFill patternType="solid">
        <fgColor theme="9"/>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
      <patternFill patternType="solid">
        <fgColor theme="9"/>
        <bgColor indexed="64"/>
      </patternFill>
    </fill>
    <fill>
      <patternFill patternType="solid">
        <fgColor rgb="FF7030A0"/>
        <bgColor indexed="64"/>
      </patternFill>
    </fill>
    <fill>
      <patternFill patternType="solid">
        <fgColor rgb="FF0AD1EC"/>
        <bgColor indexed="64"/>
      </patternFill>
    </fill>
    <fill>
      <patternFill patternType="solid">
        <fgColor rgb="FFFFFFCC"/>
        <bgColor indexed="64"/>
      </patternFill>
    </fill>
    <fill>
      <patternFill patternType="solid">
        <fgColor theme="7" tint="-0.499984740745262"/>
        <bgColor indexed="64"/>
      </patternFill>
    </fill>
    <fill>
      <patternFill patternType="solid">
        <fgColor rgb="FF00A8A4"/>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D9EACE"/>
        <bgColor indexed="64"/>
      </patternFill>
    </fill>
    <fill>
      <patternFill patternType="solid">
        <fgColor rgb="FFF1F7ED"/>
        <bgColor indexed="64"/>
      </patternFill>
    </fill>
    <fill>
      <patternFill patternType="solid">
        <fgColor rgb="FFFFFF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4"/>
        <bgColor indexed="64"/>
      </patternFill>
    </fill>
    <fill>
      <patternFill patternType="solid">
        <fgColor rgb="FF92D050"/>
        <bgColor indexed="64"/>
      </patternFill>
    </fill>
    <fill>
      <patternFill patternType="solid">
        <fgColor rgb="FFF26419"/>
        <bgColor indexed="64"/>
      </patternFill>
    </fill>
    <fill>
      <patternFill patternType="solid">
        <fgColor rgb="FF00A6FB"/>
        <bgColor indexed="64"/>
      </patternFill>
    </fill>
    <fill>
      <patternFill patternType="solid">
        <fgColor rgb="FFD90429"/>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D41E1"/>
        <bgColor indexed="64"/>
      </patternFill>
    </fill>
    <fill>
      <patternFill patternType="solid">
        <fgColor rgb="FF70AD47"/>
        <bgColor indexed="64"/>
      </patternFill>
    </fill>
    <fill>
      <patternFill patternType="solid">
        <fgColor theme="1" tint="4.9989318521683403E-2"/>
        <bgColor indexed="64"/>
      </patternFill>
    </fill>
    <fill>
      <patternFill patternType="solid">
        <fgColor rgb="FF009999"/>
        <bgColor indexed="64"/>
      </patternFill>
    </fill>
    <fill>
      <patternFill patternType="solid">
        <fgColor rgb="FF00B0AC"/>
        <bgColor indexed="64"/>
      </patternFill>
    </fill>
    <fill>
      <patternFill patternType="solid">
        <fgColor theme="5" tint="-0.249977111117893"/>
        <bgColor indexed="64"/>
      </patternFill>
    </fill>
    <fill>
      <patternFill patternType="solid">
        <fgColor rgb="FFF2F2F2"/>
        <bgColor indexed="64"/>
      </patternFill>
    </fill>
    <fill>
      <patternFill patternType="solid">
        <fgColor rgb="FF00B050"/>
        <bgColor indexed="64"/>
      </patternFill>
    </fill>
  </fills>
  <borders count="9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rgb="FFB2B2B2"/>
      </top>
      <bottom style="thin">
        <color rgb="FFB2B2B2"/>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rgb="FF7F7F7F"/>
      </right>
      <top style="medium">
        <color auto="1"/>
      </top>
      <bottom style="thin">
        <color rgb="FF7F7F7F"/>
      </bottom>
      <diagonal/>
    </border>
    <border>
      <left style="thin">
        <color rgb="FF7F7F7F"/>
      </left>
      <right style="medium">
        <color auto="1"/>
      </right>
      <top style="medium">
        <color auto="1"/>
      </top>
      <bottom style="thin">
        <color rgb="FF7F7F7F"/>
      </bottom>
      <diagonal/>
    </border>
    <border>
      <left style="medium">
        <color auto="1"/>
      </left>
      <right style="thin">
        <color rgb="FF7F7F7F"/>
      </right>
      <top style="thin">
        <color rgb="FF7F7F7F"/>
      </top>
      <bottom style="thin">
        <color rgb="FF7F7F7F"/>
      </bottom>
      <diagonal/>
    </border>
    <border>
      <left style="thin">
        <color rgb="FF7F7F7F"/>
      </left>
      <right style="medium">
        <color auto="1"/>
      </right>
      <top style="thin">
        <color rgb="FF7F7F7F"/>
      </top>
      <bottom style="thin">
        <color rgb="FF7F7F7F"/>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bottom style="thin">
        <color rgb="FF7F7F7F"/>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rgb="FFB2B2B2"/>
      </right>
      <top style="medium">
        <color auto="1"/>
      </top>
      <bottom style="thin">
        <color rgb="FFB2B2B2"/>
      </bottom>
      <diagonal/>
    </border>
    <border>
      <left style="thin">
        <color rgb="FFB2B2B2"/>
      </left>
      <right style="thin">
        <color rgb="FFB2B2B2"/>
      </right>
      <top style="medium">
        <color auto="1"/>
      </top>
      <bottom style="thin">
        <color rgb="FFB2B2B2"/>
      </bottom>
      <diagonal/>
    </border>
    <border>
      <left style="thin">
        <color rgb="FFB2B2B2"/>
      </left>
      <right style="medium">
        <color auto="1"/>
      </right>
      <top style="medium">
        <color auto="1"/>
      </top>
      <bottom style="thin">
        <color rgb="FFB2B2B2"/>
      </bottom>
      <diagonal/>
    </border>
    <border>
      <left style="medium">
        <color auto="1"/>
      </left>
      <right style="thin">
        <color rgb="FFB2B2B2"/>
      </right>
      <top style="thin">
        <color rgb="FFB2B2B2"/>
      </top>
      <bottom style="thin">
        <color rgb="FFB2B2B2"/>
      </bottom>
      <diagonal/>
    </border>
    <border>
      <left style="thin">
        <color rgb="FFB2B2B2"/>
      </left>
      <right style="medium">
        <color auto="1"/>
      </right>
      <top style="thin">
        <color rgb="FFB2B2B2"/>
      </top>
      <bottom style="thin">
        <color rgb="FFB2B2B2"/>
      </bottom>
      <diagonal/>
    </border>
    <border>
      <left style="medium">
        <color auto="1"/>
      </left>
      <right style="thin">
        <color rgb="FFB2B2B2"/>
      </right>
      <top style="thin">
        <color rgb="FFB2B2B2"/>
      </top>
      <bottom style="medium">
        <color auto="1"/>
      </bottom>
      <diagonal/>
    </border>
    <border>
      <left style="thin">
        <color rgb="FFB2B2B2"/>
      </left>
      <right style="thin">
        <color rgb="FFB2B2B2"/>
      </right>
      <top style="thin">
        <color rgb="FFB2B2B2"/>
      </top>
      <bottom style="medium">
        <color auto="1"/>
      </bottom>
      <diagonal/>
    </border>
    <border>
      <left style="thin">
        <color rgb="FFB2B2B2"/>
      </left>
      <right style="medium">
        <color auto="1"/>
      </right>
      <top style="thin">
        <color rgb="FFB2B2B2"/>
      </top>
      <bottom style="medium">
        <color auto="1"/>
      </bottom>
      <diagonal/>
    </border>
    <border>
      <left style="medium">
        <color auto="1"/>
      </left>
      <right/>
      <top style="thin">
        <color rgb="FFB2B2B2"/>
      </top>
      <bottom style="thin">
        <color rgb="FFB2B2B2"/>
      </bottom>
      <diagonal/>
    </border>
    <border>
      <left/>
      <right style="medium">
        <color auto="1"/>
      </right>
      <top style="thin">
        <color rgb="FFB2B2B2"/>
      </top>
      <bottom style="thin">
        <color rgb="FFB2B2B2"/>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theme="9" tint="0.39994506668294322"/>
      </left>
      <right style="thin">
        <color theme="9" tint="0.39994506668294322"/>
      </right>
      <top style="thin">
        <color theme="9" tint="0.39994506668294322"/>
      </top>
      <bottom style="thin">
        <color theme="9" tint="0.39994506668294322"/>
      </bottom>
      <diagonal/>
    </border>
    <border>
      <left style="thin">
        <color theme="9" tint="0.39994506668294322"/>
      </left>
      <right/>
      <top/>
      <bottom/>
      <diagonal/>
    </border>
    <border>
      <left/>
      <right style="thin">
        <color theme="9" tint="0.39994506668294322"/>
      </right>
      <top/>
      <bottom/>
      <diagonal/>
    </border>
    <border>
      <left/>
      <right/>
      <top/>
      <bottom style="thin">
        <color theme="9" tint="0.39994506668294322"/>
      </bottom>
      <diagonal/>
    </border>
    <border>
      <left style="thin">
        <color theme="9" tint="0.39994506668294322"/>
      </left>
      <right style="thin">
        <color theme="9" tint="0.39994506668294322"/>
      </right>
      <top/>
      <bottom/>
      <diagonal/>
    </border>
    <border>
      <left/>
      <right/>
      <top style="thin">
        <color theme="9" tint="0.39997558519241921"/>
      </top>
      <bottom style="thin">
        <color theme="9" tint="0.3999755851924192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style="medium">
        <color auto="1"/>
      </top>
      <bottom/>
      <diagonal/>
    </border>
    <border>
      <left/>
      <right/>
      <top/>
      <bottom style="medium">
        <color auto="1"/>
      </bottom>
      <diagonal/>
    </border>
    <border>
      <left style="medium">
        <color auto="1"/>
      </left>
      <right style="thin">
        <color rgb="FF7F7F7F"/>
      </right>
      <top/>
      <bottom style="medium">
        <color auto="1"/>
      </bottom>
      <diagonal/>
    </border>
    <border>
      <left style="thin">
        <color rgb="FF7F7F7F"/>
      </left>
      <right style="medium">
        <color auto="1"/>
      </right>
      <top/>
      <bottom style="medium">
        <color auto="1"/>
      </bottom>
      <diagonal/>
    </border>
    <border>
      <left style="medium">
        <color auto="1"/>
      </left>
      <right style="thin">
        <color rgb="FF7F7F7F"/>
      </right>
      <top style="medium">
        <color auto="1"/>
      </top>
      <bottom style="medium">
        <color auto="1"/>
      </bottom>
      <diagonal/>
    </border>
    <border>
      <left style="thin">
        <color rgb="FF7F7F7F"/>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thin">
        <color rgb="FF7F7F7F"/>
      </bottom>
      <diagonal/>
    </border>
    <border>
      <left/>
      <right style="medium">
        <color auto="1"/>
      </right>
      <top style="medium">
        <color auto="1"/>
      </top>
      <bottom style="thin">
        <color rgb="FF7F7F7F"/>
      </bottom>
      <diagonal/>
    </border>
    <border>
      <left style="medium">
        <color auto="1"/>
      </left>
      <right/>
      <top style="thin">
        <color rgb="FFB2B2B2"/>
      </top>
      <bottom style="medium">
        <color auto="1"/>
      </bottom>
      <diagonal/>
    </border>
    <border>
      <left/>
      <right/>
      <top style="thin">
        <color rgb="FFB2B2B2"/>
      </top>
      <bottom style="medium">
        <color auto="1"/>
      </bottom>
      <diagonal/>
    </border>
    <border>
      <left/>
      <right style="medium">
        <color auto="1"/>
      </right>
      <top style="thin">
        <color rgb="FFB2B2B2"/>
      </top>
      <bottom style="medium">
        <color auto="1"/>
      </bottom>
      <diagonal/>
    </border>
    <border>
      <left style="medium">
        <color auto="1"/>
      </left>
      <right/>
      <top style="medium">
        <color auto="1"/>
      </top>
      <bottom style="thin">
        <color rgb="FFB2B2B2"/>
      </bottom>
      <diagonal/>
    </border>
    <border>
      <left/>
      <right/>
      <top style="medium">
        <color auto="1"/>
      </top>
      <bottom style="thin">
        <color rgb="FFB2B2B2"/>
      </bottom>
      <diagonal/>
    </border>
    <border>
      <left/>
      <right style="medium">
        <color auto="1"/>
      </right>
      <top style="medium">
        <color auto="1"/>
      </top>
      <bottom style="thin">
        <color rgb="FFB2B2B2"/>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right style="medium">
        <color indexed="64"/>
      </right>
      <top/>
      <bottom style="thin">
        <color auto="1"/>
      </bottom>
      <diagonal/>
    </border>
    <border>
      <left/>
      <right style="thin">
        <color auto="1"/>
      </right>
      <top style="medium">
        <color auto="1"/>
      </top>
      <bottom style="thin">
        <color auto="1"/>
      </bottom>
      <diagonal/>
    </border>
    <border>
      <left style="thin">
        <color rgb="FF7F7F7F"/>
      </left>
      <right/>
      <top/>
      <bottom style="thin">
        <color rgb="FF7F7F7F"/>
      </bottom>
      <diagonal/>
    </border>
    <border>
      <left style="thin">
        <color rgb="FF7F7F7F"/>
      </left>
      <right/>
      <top style="thin">
        <color rgb="FF7F7F7F"/>
      </top>
      <bottom style="medium">
        <color auto="1"/>
      </bottom>
      <diagonal/>
    </border>
    <border>
      <left style="medium">
        <color auto="1"/>
      </left>
      <right/>
      <top style="thin">
        <color rgb="FF7F7F7F"/>
      </top>
      <bottom style="medium">
        <color auto="1"/>
      </bottom>
      <diagonal/>
    </border>
    <border>
      <left/>
      <right style="medium">
        <color auto="1"/>
      </right>
      <top style="thin">
        <color rgb="FF7F7F7F"/>
      </top>
      <bottom style="medium">
        <color auto="1"/>
      </bottom>
      <diagonal/>
    </border>
    <border>
      <left style="medium">
        <color auto="1"/>
      </left>
      <right/>
      <top style="thin">
        <color rgb="FF7F7F7F"/>
      </top>
      <bottom style="thin">
        <color rgb="FF7F7F7F"/>
      </bottom>
      <diagonal/>
    </border>
    <border>
      <left/>
      <right style="medium">
        <color auto="1"/>
      </right>
      <top style="thin">
        <color rgb="FF7F7F7F"/>
      </top>
      <bottom style="thin">
        <color rgb="FF7F7F7F"/>
      </bottom>
      <diagonal/>
    </border>
  </borders>
  <cellStyleXfs count="11">
    <xf numFmtId="0" fontId="0" fillId="0" borderId="0"/>
    <xf numFmtId="0" fontId="3" fillId="2" borderId="1" applyNumberFormat="0" applyAlignment="0" applyProtection="0"/>
    <xf numFmtId="0" fontId="2" fillId="3" borderId="2" applyNumberFormat="0" applyFont="0" applyAlignment="0" applyProtection="0"/>
    <xf numFmtId="0" fontId="2" fillId="4" borderId="0" applyNumberFormat="0" applyBorder="0" applyAlignment="0" applyProtection="0"/>
    <xf numFmtId="0" fontId="2"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2" fillId="9" borderId="0" applyNumberFormat="0" applyBorder="0" applyAlignment="0" applyProtection="0"/>
    <xf numFmtId="0" fontId="10" fillId="0" borderId="0" applyNumberFormat="0" applyFill="0" applyBorder="0" applyAlignment="0" applyProtection="0"/>
    <xf numFmtId="43" fontId="2" fillId="0" borderId="0" applyFont="0" applyFill="0" applyBorder="0" applyAlignment="0" applyProtection="0"/>
  </cellStyleXfs>
  <cellXfs count="1388">
    <xf numFmtId="0" fontId="0" fillId="0" borderId="0" xfId="0"/>
    <xf numFmtId="0" fontId="0" fillId="10" borderId="0" xfId="0" applyFill="1"/>
    <xf numFmtId="0" fontId="2" fillId="10" borderId="0" xfId="8" applyFill="1" applyAlignment="1"/>
    <xf numFmtId="0" fontId="4" fillId="10" borderId="0" xfId="5" applyFill="1" applyBorder="1" applyAlignment="1"/>
    <xf numFmtId="0" fontId="0" fillId="10" borderId="0" xfId="2" applyFont="1" applyFill="1" applyBorder="1" applyAlignment="1"/>
    <xf numFmtId="0" fontId="0" fillId="10" borderId="0" xfId="0" applyFill="1" applyAlignment="1">
      <alignment horizontal="center" vertical="center"/>
    </xf>
    <xf numFmtId="0" fontId="4" fillId="10" borderId="0" xfId="7" applyFill="1" applyAlignment="1"/>
    <xf numFmtId="0" fontId="4" fillId="10" borderId="0" xfId="6" applyFill="1" applyAlignment="1"/>
    <xf numFmtId="0" fontId="2" fillId="10" borderId="0" xfId="3" applyFill="1" applyBorder="1" applyAlignment="1"/>
    <xf numFmtId="0" fontId="6" fillId="10" borderId="0" xfId="1" applyFont="1" applyFill="1" applyBorder="1" applyAlignment="1">
      <alignment horizontal="center"/>
    </xf>
    <xf numFmtId="0" fontId="12" fillId="18" borderId="0" xfId="0" applyFont="1" applyFill="1"/>
    <xf numFmtId="0" fontId="12" fillId="18" borderId="0" xfId="0" applyFont="1" applyFill="1" applyAlignment="1">
      <alignment horizontal="center"/>
    </xf>
    <xf numFmtId="0" fontId="12" fillId="19" borderId="0" xfId="0" applyFont="1" applyFill="1" applyAlignment="1">
      <alignment horizontal="left"/>
    </xf>
    <xf numFmtId="0" fontId="13" fillId="20" borderId="0" xfId="0" applyFont="1" applyFill="1" applyAlignment="1">
      <alignment horizontal="center"/>
    </xf>
    <xf numFmtId="0" fontId="0" fillId="21" borderId="55" xfId="0" applyFill="1" applyBorder="1" applyAlignment="1">
      <alignment horizontal="center"/>
    </xf>
    <xf numFmtId="164" fontId="13" fillId="22" borderId="55" xfId="0" applyNumberFormat="1" applyFont="1" applyFill="1" applyBorder="1" applyAlignment="1">
      <alignment horizontal="left"/>
    </xf>
    <xf numFmtId="0" fontId="13" fillId="22" borderId="55" xfId="0" applyFont="1" applyFill="1" applyBorder="1" applyAlignment="1">
      <alignment horizontal="center"/>
    </xf>
    <xf numFmtId="9" fontId="13" fillId="22" borderId="55" xfId="0" applyNumberFormat="1" applyFont="1" applyFill="1" applyBorder="1" applyAlignment="1">
      <alignment horizontal="center"/>
    </xf>
    <xf numFmtId="2" fontId="13" fillId="22" borderId="55" xfId="0" applyNumberFormat="1" applyFont="1" applyFill="1" applyBorder="1" applyAlignment="1">
      <alignment horizontal="center"/>
    </xf>
    <xf numFmtId="0" fontId="0" fillId="0" borderId="0" xfId="0" applyAlignment="1">
      <alignment horizontal="right"/>
    </xf>
    <xf numFmtId="0" fontId="13" fillId="22" borderId="55" xfId="0" applyFont="1" applyFill="1" applyBorder="1" applyAlignment="1">
      <alignment horizontal="left"/>
    </xf>
    <xf numFmtId="0" fontId="12" fillId="19" borderId="0" xfId="0" applyFont="1" applyFill="1" applyAlignment="1">
      <alignment horizontal="center"/>
    </xf>
    <xf numFmtId="1" fontId="14" fillId="22" borderId="55" xfId="0" applyNumberFormat="1" applyFont="1" applyFill="1" applyBorder="1" applyAlignment="1">
      <alignment horizontal="center"/>
    </xf>
    <xf numFmtId="0" fontId="0" fillId="21" borderId="55" xfId="0" applyFill="1" applyBorder="1" applyAlignment="1">
      <alignment horizontal="left"/>
    </xf>
    <xf numFmtId="1" fontId="14" fillId="22" borderId="59" xfId="0" applyNumberFormat="1" applyFont="1" applyFill="1" applyBorder="1" applyAlignment="1">
      <alignment horizontal="center"/>
    </xf>
    <xf numFmtId="0" fontId="0" fillId="21" borderId="55" xfId="0" applyFill="1" applyBorder="1" applyAlignment="1">
      <alignment horizontal="left" indent="1"/>
    </xf>
    <xf numFmtId="164" fontId="13" fillId="0" borderId="55" xfId="0" applyNumberFormat="1" applyFont="1" applyBorder="1" applyAlignment="1">
      <alignment horizontal="left"/>
    </xf>
    <xf numFmtId="0" fontId="12" fillId="0" borderId="0" xfId="0" applyFont="1"/>
    <xf numFmtId="14" fontId="0" fillId="0" borderId="60" xfId="0" applyNumberFormat="1" applyBorder="1" applyAlignment="1">
      <alignment horizontal="center"/>
    </xf>
    <xf numFmtId="14" fontId="7" fillId="0" borderId="60" xfId="0" applyNumberFormat="1" applyFont="1" applyBorder="1" applyAlignment="1">
      <alignment horizontal="center"/>
    </xf>
    <xf numFmtId="14" fontId="0" fillId="0" borderId="0" xfId="0" applyNumberFormat="1" applyAlignment="1">
      <alignment horizontal="center"/>
    </xf>
    <xf numFmtId="0" fontId="11" fillId="0" borderId="0" xfId="0" applyFont="1" applyAlignment="1">
      <alignment vertical="center"/>
    </xf>
    <xf numFmtId="0" fontId="15" fillId="19" borderId="0" xfId="0" applyFont="1" applyFill="1" applyAlignment="1">
      <alignment horizontal="center"/>
    </xf>
    <xf numFmtId="0" fontId="12" fillId="19" borderId="0" xfId="0" applyFont="1" applyFill="1"/>
    <xf numFmtId="0" fontId="0" fillId="0" borderId="61" xfId="0" applyBorder="1"/>
    <xf numFmtId="0" fontId="0" fillId="0" borderId="62" xfId="0" applyBorder="1"/>
    <xf numFmtId="0" fontId="0" fillId="0" borderId="0" xfId="0" applyAlignment="1">
      <alignment horizontal="center"/>
    </xf>
    <xf numFmtId="0" fontId="0" fillId="0" borderId="61" xfId="0" applyBorder="1" applyAlignment="1">
      <alignment horizontal="center"/>
    </xf>
    <xf numFmtId="0" fontId="19" fillId="27" borderId="61" xfId="0" applyFont="1" applyFill="1" applyBorder="1"/>
    <xf numFmtId="0" fontId="17" fillId="0" borderId="0" xfId="0" applyFont="1"/>
    <xf numFmtId="0" fontId="18" fillId="24" borderId="6" xfId="0" applyFont="1" applyFill="1" applyBorder="1" applyAlignment="1">
      <alignment horizontal="left"/>
    </xf>
    <xf numFmtId="0" fontId="0" fillId="0" borderId="8" xfId="0" applyBorder="1"/>
    <xf numFmtId="0" fontId="0" fillId="0" borderId="8" xfId="0" applyBorder="1" applyAlignment="1">
      <alignment horizontal="center"/>
    </xf>
    <xf numFmtId="0" fontId="0" fillId="0" borderId="7" xfId="0" applyBorder="1"/>
    <xf numFmtId="0" fontId="0" fillId="0" borderId="53" xfId="0" applyBorder="1" applyAlignment="1">
      <alignment horizontal="center"/>
    </xf>
    <xf numFmtId="0" fontId="0" fillId="0" borderId="64" xfId="0" applyBorder="1" applyAlignment="1">
      <alignment horizontal="center"/>
    </xf>
    <xf numFmtId="0" fontId="0" fillId="0" borderId="64" xfId="0" applyBorder="1"/>
    <xf numFmtId="0" fontId="0" fillId="0" borderId="54" xfId="0" applyBorder="1"/>
    <xf numFmtId="0" fontId="0" fillId="0" borderId="3" xfId="0" applyBorder="1"/>
    <xf numFmtId="9" fontId="0" fillId="0" borderId="3" xfId="0" applyNumberFormat="1" applyBorder="1"/>
    <xf numFmtId="0" fontId="0" fillId="0" borderId="21" xfId="0" applyBorder="1"/>
    <xf numFmtId="1" fontId="0" fillId="26" borderId="3" xfId="0" applyNumberFormat="1" applyFill="1" applyBorder="1"/>
    <xf numFmtId="1" fontId="0" fillId="23" borderId="3" xfId="0" applyNumberFormat="1" applyFill="1" applyBorder="1"/>
    <xf numFmtId="1" fontId="0" fillId="25" borderId="3" xfId="0" applyNumberFormat="1" applyFill="1" applyBorder="1"/>
    <xf numFmtId="0" fontId="20" fillId="0" borderId="0" xfId="0" applyFont="1" applyAlignment="1">
      <alignment horizontal="center"/>
    </xf>
    <xf numFmtId="0" fontId="0" fillId="18" borderId="61" xfId="0" applyFill="1" applyBorder="1"/>
    <xf numFmtId="0" fontId="0" fillId="18" borderId="0" xfId="0" applyFill="1" applyAlignment="1">
      <alignment horizontal="center"/>
    </xf>
    <xf numFmtId="0" fontId="0" fillId="18" borderId="0" xfId="0" applyFill="1"/>
    <xf numFmtId="0" fontId="0" fillId="0" borderId="0" xfId="0" pivotButton="1"/>
    <xf numFmtId="0" fontId="0" fillId="0" borderId="0" xfId="0" applyAlignment="1">
      <alignment horizontal="left"/>
    </xf>
    <xf numFmtId="0" fontId="7" fillId="0" borderId="0" xfId="2" applyFont="1" applyFill="1" applyBorder="1" applyAlignment="1">
      <alignment horizontal="center"/>
    </xf>
    <xf numFmtId="0" fontId="7" fillId="0" borderId="0" xfId="5" applyFont="1" applyFill="1" applyBorder="1" applyAlignment="1"/>
    <xf numFmtId="14" fontId="7" fillId="0" borderId="0" xfId="4" applyNumberFormat="1" applyFont="1" applyFill="1" applyBorder="1" applyAlignment="1"/>
    <xf numFmtId="0" fontId="8" fillId="0" borderId="0" xfId="6" applyFont="1" applyFill="1" applyAlignment="1"/>
    <xf numFmtId="0" fontId="0" fillId="0" borderId="3" xfId="0" applyBorder="1" applyAlignment="1">
      <alignment horizontal="center"/>
    </xf>
    <xf numFmtId="0" fontId="23" fillId="17" borderId="0" xfId="6" applyFont="1" applyFill="1" applyAlignment="1">
      <alignment horizontal="center"/>
    </xf>
    <xf numFmtId="0" fontId="7" fillId="0" borderId="0" xfId="4" applyFont="1" applyFill="1" applyBorder="1" applyAlignment="1"/>
    <xf numFmtId="0" fontId="22" fillId="2" borderId="3" xfId="1" applyFont="1" applyBorder="1" applyAlignment="1">
      <alignment horizontal="center"/>
    </xf>
    <xf numFmtId="0" fontId="2" fillId="2" borderId="3" xfId="1" applyFont="1" applyBorder="1" applyAlignment="1">
      <alignment horizontal="center"/>
    </xf>
    <xf numFmtId="0" fontId="7" fillId="0" borderId="0" xfId="4" applyNumberFormat="1" applyFont="1" applyFill="1" applyBorder="1" applyAlignment="1">
      <alignment vertical="center"/>
    </xf>
    <xf numFmtId="165" fontId="2" fillId="2" borderId="3" xfId="1" applyNumberFormat="1" applyFont="1" applyBorder="1" applyAlignment="1">
      <alignment horizontal="center"/>
    </xf>
    <xf numFmtId="14" fontId="2" fillId="2" borderId="3" xfId="1" applyNumberFormat="1" applyFont="1" applyBorder="1" applyAlignment="1">
      <alignment horizontal="center"/>
    </xf>
    <xf numFmtId="0" fontId="9" fillId="2" borderId="3" xfId="1" applyFont="1" applyBorder="1" applyAlignment="1">
      <alignment horizontal="center"/>
    </xf>
    <xf numFmtId="0" fontId="24" fillId="2" borderId="3" xfId="1" applyFont="1" applyBorder="1" applyAlignment="1">
      <alignment horizontal="center"/>
    </xf>
    <xf numFmtId="0" fontId="8" fillId="17" borderId="0" xfId="9" applyFont="1" applyFill="1" applyAlignment="1">
      <alignment horizontal="center"/>
    </xf>
    <xf numFmtId="0" fontId="22" fillId="0" borderId="0" xfId="1" applyFont="1" applyFill="1" applyBorder="1" applyAlignment="1">
      <alignment vertical="center"/>
    </xf>
    <xf numFmtId="0" fontId="7" fillId="0" borderId="0" xfId="5" applyFont="1" applyFill="1" applyBorder="1" applyAlignment="1">
      <alignment vertical="center" wrapText="1"/>
    </xf>
    <xf numFmtId="14" fontId="7" fillId="0" borderId="0" xfId="4" applyNumberFormat="1" applyFont="1" applyFill="1" applyBorder="1" applyAlignment="1">
      <alignment vertical="center"/>
    </xf>
    <xf numFmtId="165" fontId="7" fillId="0" borderId="0" xfId="4" applyNumberFormat="1" applyFont="1" applyFill="1" applyBorder="1" applyAlignment="1">
      <alignment vertical="center"/>
    </xf>
    <xf numFmtId="0" fontId="0" fillId="0" borderId="0" xfId="2" applyFont="1" applyFill="1" applyBorder="1" applyAlignment="1">
      <alignment vertical="top" wrapText="1"/>
    </xf>
    <xf numFmtId="0" fontId="4" fillId="10" borderId="0" xfId="6" applyFill="1" applyAlignment="1">
      <alignment vertical="center"/>
    </xf>
    <xf numFmtId="0" fontId="2" fillId="10" borderId="0" xfId="8" applyFill="1" applyAlignment="1">
      <alignment vertical="center"/>
    </xf>
    <xf numFmtId="0" fontId="0" fillId="10" borderId="0" xfId="0" applyFill="1" applyAlignment="1">
      <alignment vertical="center"/>
    </xf>
    <xf numFmtId="0" fontId="8" fillId="0" borderId="0" xfId="2" applyFont="1" applyFill="1" applyBorder="1" applyAlignment="1"/>
    <xf numFmtId="0" fontId="7" fillId="0" borderId="0" xfId="2" applyFont="1" applyFill="1" applyBorder="1" applyAlignment="1"/>
    <xf numFmtId="0" fontId="2" fillId="10" borderId="0" xfId="2" applyFont="1" applyFill="1" applyBorder="1" applyAlignment="1"/>
    <xf numFmtId="0" fontId="2" fillId="10" borderId="0" xfId="5" applyFont="1" applyFill="1" applyBorder="1" applyAlignment="1"/>
    <xf numFmtId="0" fontId="8" fillId="0" borderId="0" xfId="8" applyFont="1" applyFill="1" applyBorder="1" applyAlignment="1">
      <alignment horizontal="center"/>
    </xf>
    <xf numFmtId="0" fontId="4" fillId="0" borderId="0" xfId="5" applyFill="1" applyBorder="1" applyAlignment="1">
      <alignment horizontal="center"/>
    </xf>
    <xf numFmtId="14" fontId="0" fillId="0" borderId="0" xfId="4" applyNumberFormat="1" applyFont="1" applyFill="1" applyBorder="1" applyAlignment="1">
      <alignment horizontal="center"/>
    </xf>
    <xf numFmtId="14" fontId="0" fillId="0" borderId="0" xfId="4" applyNumberFormat="1" applyFont="1" applyFill="1" applyBorder="1" applyAlignment="1">
      <alignment horizontal="center" vertical="center"/>
    </xf>
    <xf numFmtId="0" fontId="8" fillId="0" borderId="0" xfId="8" applyFont="1" applyFill="1" applyAlignment="1">
      <alignment horizontal="center"/>
    </xf>
    <xf numFmtId="0" fontId="2" fillId="0" borderId="0" xfId="5" applyFont="1" applyFill="1" applyBorder="1" applyAlignment="1">
      <alignment horizontal="center"/>
    </xf>
    <xf numFmtId="0" fontId="7" fillId="0" borderId="0" xfId="5" applyFont="1" applyFill="1" applyBorder="1" applyAlignment="1">
      <alignment horizontal="center"/>
    </xf>
    <xf numFmtId="14" fontId="1" fillId="2" borderId="3" xfId="1" applyNumberFormat="1" applyFont="1" applyBorder="1" applyAlignment="1">
      <alignment horizontal="center"/>
    </xf>
    <xf numFmtId="0" fontId="1" fillId="0" borderId="3" xfId="0" applyFont="1" applyBorder="1" applyAlignment="1">
      <alignment horizontal="center"/>
    </xf>
    <xf numFmtId="165" fontId="1" fillId="2" borderId="3" xfId="1" applyNumberFormat="1" applyFont="1" applyBorder="1" applyAlignment="1">
      <alignment horizontal="center"/>
    </xf>
    <xf numFmtId="0" fontId="1" fillId="0" borderId="3" xfId="0" applyFont="1" applyBorder="1" applyAlignment="1">
      <alignment horizontal="center" vertical="center"/>
    </xf>
    <xf numFmtId="49" fontId="1" fillId="2" borderId="3" xfId="1" applyNumberFormat="1" applyFont="1" applyBorder="1" applyAlignment="1">
      <alignment horizontal="center"/>
    </xf>
    <xf numFmtId="0" fontId="1" fillId="2" borderId="3" xfId="1" applyFont="1" applyBorder="1" applyAlignment="1">
      <alignment horizontal="center"/>
    </xf>
    <xf numFmtId="0" fontId="0" fillId="10" borderId="0" xfId="0" applyFill="1" applyAlignment="1">
      <alignment horizontal="center"/>
    </xf>
    <xf numFmtId="0" fontId="1" fillId="2" borderId="3" xfId="1" applyNumberFormat="1" applyFont="1" applyBorder="1" applyAlignment="1">
      <alignment horizontal="center"/>
    </xf>
    <xf numFmtId="0" fontId="1" fillId="10" borderId="0" xfId="0" applyFont="1" applyFill="1" applyAlignment="1">
      <alignment horizontal="center"/>
    </xf>
    <xf numFmtId="0" fontId="4" fillId="10" borderId="0" xfId="0" applyFont="1" applyFill="1" applyAlignment="1">
      <alignment horizontal="center"/>
    </xf>
    <xf numFmtId="0" fontId="23" fillId="36" borderId="0" xfId="0" applyFont="1" applyFill="1" applyAlignment="1">
      <alignment horizontal="center" vertical="center"/>
    </xf>
    <xf numFmtId="49" fontId="0" fillId="2" borderId="3" xfId="1" applyNumberFormat="1" applyFont="1" applyBorder="1" applyAlignment="1">
      <alignment horizontal="center"/>
    </xf>
    <xf numFmtId="49" fontId="0" fillId="10" borderId="0" xfId="0" applyNumberFormat="1" applyFill="1"/>
    <xf numFmtId="49" fontId="6" fillId="10" borderId="0" xfId="1" applyNumberFormat="1" applyFont="1" applyFill="1" applyBorder="1" applyAlignment="1">
      <alignment horizontal="center"/>
    </xf>
    <xf numFmtId="14" fontId="1" fillId="10" borderId="79" xfId="0" applyNumberFormat="1" applyFont="1" applyFill="1" applyBorder="1" applyAlignment="1">
      <alignment horizontal="center" vertical="center"/>
    </xf>
    <xf numFmtId="14" fontId="1" fillId="10" borderId="80" xfId="0" applyNumberFormat="1" applyFont="1" applyFill="1" applyBorder="1" applyAlignment="1">
      <alignment horizontal="center" vertical="center"/>
    </xf>
    <xf numFmtId="14" fontId="1" fillId="10" borderId="81" xfId="0" applyNumberFormat="1" applyFont="1" applyFill="1" applyBorder="1" applyAlignment="1">
      <alignment horizontal="center" vertical="center"/>
    </xf>
    <xf numFmtId="0" fontId="7" fillId="0" borderId="3" xfId="0" applyFont="1" applyBorder="1" applyAlignment="1">
      <alignment horizontal="center"/>
    </xf>
    <xf numFmtId="14" fontId="31" fillId="2" borderId="3" xfId="1" applyNumberFormat="1" applyFont="1" applyBorder="1" applyAlignment="1">
      <alignment horizontal="center"/>
    </xf>
    <xf numFmtId="0" fontId="7" fillId="0" borderId="0" xfId="0" applyFont="1"/>
    <xf numFmtId="0" fontId="31" fillId="0" borderId="3" xfId="0" applyFont="1" applyBorder="1" applyAlignment="1">
      <alignment horizontal="center"/>
    </xf>
    <xf numFmtId="165" fontId="31" fillId="2" borderId="3" xfId="1" applyNumberFormat="1" applyFont="1" applyBorder="1" applyAlignment="1">
      <alignment horizontal="center"/>
    </xf>
    <xf numFmtId="0" fontId="31" fillId="2" borderId="3" xfId="1" applyFont="1" applyBorder="1" applyAlignment="1">
      <alignment horizontal="center"/>
    </xf>
    <xf numFmtId="0" fontId="31" fillId="0" borderId="3" xfId="0" applyFont="1" applyBorder="1" applyAlignment="1">
      <alignment horizontal="center" vertical="center"/>
    </xf>
    <xf numFmtId="0" fontId="14" fillId="0" borderId="0" xfId="6" applyFont="1" applyFill="1" applyAlignment="1"/>
    <xf numFmtId="0" fontId="7" fillId="2" borderId="3" xfId="1" applyFont="1" applyBorder="1" applyAlignment="1">
      <alignment horizontal="center"/>
    </xf>
    <xf numFmtId="49" fontId="7" fillId="2" borderId="3" xfId="1" applyNumberFormat="1" applyFont="1" applyBorder="1" applyAlignment="1">
      <alignment horizontal="center"/>
    </xf>
    <xf numFmtId="0" fontId="7" fillId="10" borderId="0" xfId="2" applyFont="1" applyFill="1" applyBorder="1" applyAlignment="1"/>
    <xf numFmtId="0" fontId="7" fillId="10" borderId="0" xfId="0" applyFont="1" applyFill="1"/>
    <xf numFmtId="14" fontId="7" fillId="0" borderId="0" xfId="4" applyNumberFormat="1" applyFont="1" applyFill="1" applyBorder="1" applyAlignment="1">
      <alignment horizontal="center" vertical="center"/>
    </xf>
    <xf numFmtId="0" fontId="7" fillId="10" borderId="0" xfId="5" applyFont="1" applyFill="1" applyBorder="1" applyAlignment="1"/>
    <xf numFmtId="0" fontId="32" fillId="10" borderId="0" xfId="0" applyFont="1" applyFill="1"/>
    <xf numFmtId="0" fontId="32" fillId="10" borderId="0" xfId="5" applyFont="1" applyFill="1" applyBorder="1" applyAlignment="1"/>
    <xf numFmtId="0" fontId="34" fillId="10" borderId="0" xfId="0" applyFont="1" applyFill="1" applyAlignment="1">
      <alignment horizontal="center" vertical="center"/>
    </xf>
    <xf numFmtId="166" fontId="0" fillId="0" borderId="60" xfId="0" applyNumberFormat="1" applyBorder="1" applyAlignment="1">
      <alignment horizontal="center"/>
    </xf>
    <xf numFmtId="0" fontId="17" fillId="0" borderId="0" xfId="0" applyFont="1" applyAlignment="1">
      <alignment horizontal="center"/>
    </xf>
    <xf numFmtId="0" fontId="24" fillId="0" borderId="3" xfId="1" applyFont="1" applyFill="1" applyBorder="1" applyAlignment="1">
      <alignment horizontal="center"/>
    </xf>
    <xf numFmtId="0" fontId="32" fillId="10" borderId="0" xfId="0" applyFont="1" applyFill="1" applyAlignment="1">
      <alignment horizontal="center" vertical="center"/>
    </xf>
    <xf numFmtId="0" fontId="32" fillId="10" borderId="0" xfId="2" applyFont="1" applyFill="1" applyBorder="1" applyAlignment="1"/>
    <xf numFmtId="0" fontId="44" fillId="10" borderId="0" xfId="2" applyFont="1" applyFill="1" applyBorder="1" applyAlignment="1"/>
    <xf numFmtId="0" fontId="44" fillId="10" borderId="0" xfId="5" applyFont="1" applyFill="1" applyBorder="1" applyAlignment="1"/>
    <xf numFmtId="0" fontId="44" fillId="10" borderId="0" xfId="0" applyFont="1" applyFill="1"/>
    <xf numFmtId="0" fontId="46" fillId="10" borderId="0" xfId="0" applyFont="1" applyFill="1" applyAlignment="1">
      <alignment horizontal="center" vertical="center"/>
    </xf>
    <xf numFmtId="0" fontId="44" fillId="10" borderId="0" xfId="0" applyFont="1" applyFill="1" applyAlignment="1">
      <alignment horizontal="center" vertical="center"/>
    </xf>
    <xf numFmtId="0" fontId="46" fillId="10" borderId="0" xfId="2" applyFont="1" applyFill="1" applyBorder="1" applyAlignment="1"/>
    <xf numFmtId="0" fontId="46" fillId="10" borderId="0" xfId="0" applyFont="1" applyFill="1"/>
    <xf numFmtId="0" fontId="46" fillId="0" borderId="0" xfId="5" applyFont="1" applyFill="1" applyBorder="1" applyAlignment="1">
      <alignment horizontal="center"/>
    </xf>
    <xf numFmtId="0" fontId="46" fillId="10" borderId="0" xfId="5" applyFont="1" applyFill="1" applyBorder="1" applyAlignment="1"/>
    <xf numFmtId="0" fontId="46" fillId="10" borderId="0" xfId="3" applyFont="1" applyFill="1" applyBorder="1" applyAlignment="1"/>
    <xf numFmtId="0" fontId="51" fillId="10" borderId="0" xfId="0" applyFont="1" applyFill="1"/>
    <xf numFmtId="0" fontId="52" fillId="10" borderId="0" xfId="0" applyFont="1" applyFill="1" applyAlignment="1">
      <alignment horizontal="center" vertical="center"/>
    </xf>
    <xf numFmtId="0" fontId="53" fillId="10" borderId="0" xfId="0" applyFont="1" applyFill="1"/>
    <xf numFmtId="0" fontId="53" fillId="10" borderId="0" xfId="0" applyFont="1" applyFill="1" applyAlignment="1">
      <alignment horizontal="center" vertical="center"/>
    </xf>
    <xf numFmtId="0" fontId="53" fillId="10" borderId="0" xfId="2" applyFont="1" applyFill="1" applyBorder="1" applyAlignment="1"/>
    <xf numFmtId="0" fontId="53" fillId="10" borderId="0" xfId="5" applyFont="1" applyFill="1" applyBorder="1" applyAlignment="1"/>
    <xf numFmtId="14" fontId="46" fillId="0" borderId="0" xfId="4" applyNumberFormat="1" applyFont="1" applyFill="1" applyBorder="1" applyAlignment="1">
      <alignment horizontal="center" vertical="center"/>
    </xf>
    <xf numFmtId="0" fontId="0" fillId="10" borderId="0" xfId="0" applyFill="1" applyProtection="1">
      <protection locked="0"/>
    </xf>
    <xf numFmtId="0" fontId="0" fillId="10" borderId="0" xfId="0" applyFill="1" applyAlignment="1" applyProtection="1">
      <alignment horizontal="center" vertical="center"/>
      <protection locked="0"/>
    </xf>
    <xf numFmtId="0" fontId="1" fillId="10" borderId="0" xfId="0" applyFont="1" applyFill="1" applyProtection="1">
      <protection locked="0"/>
    </xf>
    <xf numFmtId="0" fontId="0" fillId="0" borderId="0" xfId="0" applyProtection="1">
      <protection locked="0"/>
    </xf>
    <xf numFmtId="0" fontId="53" fillId="10" borderId="0" xfId="0" applyFont="1" applyFill="1" applyProtection="1">
      <protection locked="0"/>
    </xf>
    <xf numFmtId="0" fontId="7" fillId="0" borderId="0" xfId="5" applyFont="1" applyFill="1" applyBorder="1" applyAlignment="1" applyProtection="1">
      <protection locked="0"/>
    </xf>
    <xf numFmtId="0" fontId="2" fillId="10" borderId="0" xfId="0" applyFont="1" applyFill="1"/>
    <xf numFmtId="0" fontId="2" fillId="10" borderId="0" xfId="0" applyFont="1" applyFill="1" applyAlignment="1">
      <alignment horizontal="center" vertical="center"/>
    </xf>
    <xf numFmtId="0" fontId="55" fillId="10" borderId="0" xfId="0" applyFont="1" applyFill="1"/>
    <xf numFmtId="0" fontId="55" fillId="0" borderId="0" xfId="5" applyFont="1" applyFill="1" applyBorder="1" applyAlignment="1">
      <alignment horizontal="center"/>
    </xf>
    <xf numFmtId="0" fontId="55" fillId="10" borderId="0" xfId="5" applyFont="1" applyFill="1" applyBorder="1" applyAlignment="1"/>
    <xf numFmtId="0" fontId="55" fillId="10" borderId="0" xfId="3" applyFont="1" applyFill="1" applyBorder="1" applyAlignment="1"/>
    <xf numFmtId="0" fontId="0" fillId="41" borderId="0" xfId="0" applyFill="1" applyAlignment="1">
      <alignment horizontal="center"/>
    </xf>
    <xf numFmtId="0" fontId="17" fillId="41" borderId="0" xfId="0" applyFont="1" applyFill="1" applyAlignment="1">
      <alignment horizontal="center"/>
    </xf>
    <xf numFmtId="14" fontId="0" fillId="41" borderId="60" xfId="0" applyNumberFormat="1" applyFill="1" applyBorder="1" applyAlignment="1">
      <alignment horizontal="center"/>
    </xf>
    <xf numFmtId="0" fontId="0" fillId="0" borderId="0" xfId="0" quotePrefix="1" applyAlignment="1">
      <alignment horizontal="center"/>
    </xf>
    <xf numFmtId="0" fontId="52" fillId="10" borderId="0" xfId="2" applyFont="1" applyFill="1" applyBorder="1" applyAlignment="1"/>
    <xf numFmtId="0" fontId="52" fillId="10" borderId="0" xfId="5" applyFont="1" applyFill="1" applyBorder="1" applyAlignment="1"/>
    <xf numFmtId="0" fontId="52" fillId="10" borderId="0" xfId="0" applyFont="1" applyFill="1"/>
    <xf numFmtId="0" fontId="17" fillId="0" borderId="0" xfId="0" quotePrefix="1" applyFont="1" applyAlignment="1">
      <alignment horizontal="center"/>
    </xf>
    <xf numFmtId="166" fontId="0" fillId="0" borderId="60" xfId="0" quotePrefix="1" applyNumberFormat="1" applyBorder="1" applyAlignment="1">
      <alignment horizontal="center"/>
    </xf>
    <xf numFmtId="14" fontId="0" fillId="18" borderId="0" xfId="0" applyNumberFormat="1" applyFill="1" applyAlignment="1">
      <alignment horizontal="center"/>
    </xf>
    <xf numFmtId="14" fontId="0" fillId="0" borderId="0" xfId="0" quotePrefix="1" applyNumberFormat="1" applyAlignment="1">
      <alignment horizontal="center"/>
    </xf>
    <xf numFmtId="49" fontId="8" fillId="17" borderId="6" xfId="7" applyNumberFormat="1" applyFont="1" applyFill="1" applyBorder="1" applyAlignment="1">
      <alignment horizontal="center"/>
    </xf>
    <xf numFmtId="49" fontId="8" fillId="17" borderId="7" xfId="7" applyNumberFormat="1" applyFont="1" applyFill="1" applyBorder="1" applyAlignment="1">
      <alignment horizontal="center"/>
    </xf>
    <xf numFmtId="49" fontId="2" fillId="15" borderId="20" xfId="1" applyNumberFormat="1" applyFont="1" applyFill="1" applyBorder="1" applyAlignment="1">
      <alignment horizontal="center"/>
    </xf>
    <xf numFmtId="49" fontId="2" fillId="15" borderId="21" xfId="1" applyNumberFormat="1" applyFont="1" applyFill="1" applyBorder="1" applyAlignment="1">
      <alignment horizontal="center"/>
    </xf>
    <xf numFmtId="49" fontId="2" fillId="15" borderId="22" xfId="1" applyNumberFormat="1" applyFont="1" applyFill="1" applyBorder="1" applyAlignment="1">
      <alignment horizontal="center"/>
    </xf>
    <xf numFmtId="49" fontId="2" fillId="15" borderId="23" xfId="1" applyNumberFormat="1" applyFont="1" applyFill="1" applyBorder="1" applyAlignment="1">
      <alignment horizontal="center"/>
    </xf>
    <xf numFmtId="49" fontId="8" fillId="14" borderId="6" xfId="7" applyNumberFormat="1" applyFont="1" applyFill="1" applyBorder="1" applyAlignment="1">
      <alignment horizontal="center"/>
    </xf>
    <xf numFmtId="49" fontId="8" fillId="14" borderId="7" xfId="7" applyNumberFormat="1" applyFont="1" applyFill="1" applyBorder="1" applyAlignment="1">
      <alignment horizontal="center"/>
    </xf>
    <xf numFmtId="49" fontId="2" fillId="15" borderId="24" xfId="1" applyNumberFormat="1" applyFont="1" applyFill="1" applyBorder="1" applyAlignment="1">
      <alignment horizontal="center"/>
    </xf>
    <xf numFmtId="49" fontId="2" fillId="15" borderId="25" xfId="1" applyNumberFormat="1" applyFont="1" applyFill="1" applyBorder="1" applyAlignment="1">
      <alignment horizontal="center"/>
    </xf>
    <xf numFmtId="49" fontId="7" fillId="15" borderId="22" xfId="1" applyNumberFormat="1" applyFont="1" applyFill="1" applyBorder="1" applyAlignment="1">
      <alignment horizontal="center"/>
    </xf>
    <xf numFmtId="49" fontId="7" fillId="15" borderId="23" xfId="1" applyNumberFormat="1" applyFont="1" applyFill="1" applyBorder="1" applyAlignment="1">
      <alignment horizontal="center"/>
    </xf>
    <xf numFmtId="0" fontId="8" fillId="12" borderId="53" xfId="7" applyFont="1" applyFill="1" applyBorder="1" applyAlignment="1" applyProtection="1">
      <alignment horizontal="center"/>
      <protection locked="0"/>
    </xf>
    <xf numFmtId="0" fontId="8" fillId="12" borderId="54" xfId="7" applyFont="1" applyFill="1" applyBorder="1" applyAlignment="1" applyProtection="1">
      <alignment horizontal="center"/>
      <protection locked="0"/>
    </xf>
    <xf numFmtId="49" fontId="2" fillId="15" borderId="26" xfId="1" applyNumberFormat="1" applyFont="1" applyFill="1" applyBorder="1" applyAlignment="1">
      <alignment horizontal="center"/>
    </xf>
    <xf numFmtId="49" fontId="2" fillId="15" borderId="28" xfId="1" applyNumberFormat="1" applyFont="1" applyFill="1" applyBorder="1" applyAlignment="1">
      <alignment horizontal="center"/>
    </xf>
    <xf numFmtId="0" fontId="11" fillId="18" borderId="0" xfId="0" applyFont="1" applyFill="1" applyAlignment="1">
      <alignment horizontal="center" vertical="center"/>
    </xf>
    <xf numFmtId="49" fontId="1" fillId="15" borderId="24" xfId="1" applyNumberFormat="1" applyFont="1" applyFill="1" applyBorder="1" applyAlignment="1">
      <alignment horizontal="center"/>
    </xf>
    <xf numFmtId="49" fontId="9" fillId="15" borderId="25" xfId="1" applyNumberFormat="1" applyFont="1" applyFill="1" applyBorder="1" applyAlignment="1">
      <alignment horizontal="center"/>
    </xf>
    <xf numFmtId="49" fontId="1" fillId="15" borderId="66" xfId="1" applyNumberFormat="1" applyFont="1" applyFill="1" applyBorder="1" applyAlignment="1">
      <alignment horizontal="center"/>
    </xf>
    <xf numFmtId="49" fontId="9" fillId="15" borderId="67" xfId="1" applyNumberFormat="1" applyFont="1" applyFill="1" applyBorder="1" applyAlignment="1">
      <alignment horizontal="center"/>
    </xf>
    <xf numFmtId="0" fontId="8" fillId="17" borderId="9" xfId="2" applyFont="1" applyFill="1" applyBorder="1" applyAlignment="1">
      <alignment horizontal="center"/>
    </xf>
    <xf numFmtId="0" fontId="8" fillId="17" borderId="10" xfId="2" applyFont="1" applyFill="1" applyBorder="1" applyAlignment="1">
      <alignment horizontal="center"/>
    </xf>
    <xf numFmtId="0" fontId="8" fillId="17" borderId="11" xfId="2" applyFont="1" applyFill="1" applyBorder="1" applyAlignment="1">
      <alignment horizontal="center"/>
    </xf>
    <xf numFmtId="0" fontId="0" fillId="3" borderId="18" xfId="2" applyFont="1" applyBorder="1" applyAlignment="1">
      <alignment horizontal="center"/>
    </xf>
    <xf numFmtId="0" fontId="0" fillId="3" borderId="70" xfId="2" applyFont="1" applyBorder="1" applyAlignment="1">
      <alignment horizontal="center"/>
    </xf>
    <xf numFmtId="0" fontId="0" fillId="3" borderId="19" xfId="2" applyFont="1" applyBorder="1" applyAlignment="1">
      <alignment horizontal="center"/>
    </xf>
    <xf numFmtId="0" fontId="7" fillId="15" borderId="26" xfId="5" applyFont="1" applyFill="1" applyBorder="1" applyAlignment="1">
      <alignment horizontal="center"/>
    </xf>
    <xf numFmtId="0" fontId="7" fillId="15" borderId="27" xfId="5" applyFont="1" applyFill="1" applyBorder="1" applyAlignment="1">
      <alignment horizontal="center"/>
    </xf>
    <xf numFmtId="0" fontId="7" fillId="15" borderId="28" xfId="5" applyFont="1" applyFill="1" applyBorder="1" applyAlignment="1">
      <alignment horizontal="center"/>
    </xf>
    <xf numFmtId="14" fontId="0" fillId="15" borderId="18" xfId="4" applyNumberFormat="1" applyFont="1" applyFill="1" applyBorder="1" applyAlignment="1">
      <alignment horizontal="center"/>
    </xf>
    <xf numFmtId="14" fontId="0" fillId="15" borderId="70" xfId="4" applyNumberFormat="1" applyFont="1" applyFill="1" applyBorder="1" applyAlignment="1">
      <alignment horizontal="center"/>
    </xf>
    <xf numFmtId="14" fontId="0" fillId="15" borderId="19" xfId="4" applyNumberFormat="1" applyFont="1" applyFill="1" applyBorder="1" applyAlignment="1">
      <alignment horizontal="center"/>
    </xf>
    <xf numFmtId="0" fontId="7" fillId="15" borderId="18" xfId="5" applyFont="1" applyFill="1" applyBorder="1" applyAlignment="1">
      <alignment horizontal="center"/>
    </xf>
    <xf numFmtId="0" fontId="4" fillId="15" borderId="70" xfId="5" applyFill="1" applyBorder="1" applyAlignment="1">
      <alignment horizontal="center"/>
    </xf>
    <xf numFmtId="0" fontId="4" fillId="15" borderId="19" xfId="5" applyFill="1" applyBorder="1" applyAlignment="1">
      <alignment horizontal="center"/>
    </xf>
    <xf numFmtId="0" fontId="7" fillId="3" borderId="76" xfId="2" applyFont="1" applyBorder="1" applyAlignment="1">
      <alignment horizontal="center"/>
    </xf>
    <xf numFmtId="0" fontId="7" fillId="3" borderId="77" xfId="2" applyFont="1" applyBorder="1" applyAlignment="1">
      <alignment horizontal="center"/>
    </xf>
    <xf numFmtId="0" fontId="7" fillId="3" borderId="78" xfId="2" applyFont="1" applyBorder="1" applyAlignment="1">
      <alignment horizontal="center"/>
    </xf>
    <xf numFmtId="0" fontId="0" fillId="3" borderId="22" xfId="2" applyFont="1" applyBorder="1" applyAlignment="1">
      <alignment horizontal="center"/>
    </xf>
    <xf numFmtId="0" fontId="0" fillId="3" borderId="29" xfId="2" applyFont="1" applyBorder="1" applyAlignment="1">
      <alignment horizontal="center"/>
    </xf>
    <xf numFmtId="0" fontId="0" fillId="3" borderId="23" xfId="2" applyFont="1" applyBorder="1" applyAlignment="1">
      <alignment horizontal="center"/>
    </xf>
    <xf numFmtId="0" fontId="7" fillId="15" borderId="22" xfId="5" applyFont="1" applyFill="1" applyBorder="1" applyAlignment="1">
      <alignment horizontal="center"/>
    </xf>
    <xf numFmtId="0" fontId="7" fillId="15" borderId="29" xfId="5" applyFont="1" applyFill="1" applyBorder="1" applyAlignment="1">
      <alignment horizontal="center"/>
    </xf>
    <xf numFmtId="0" fontId="7" fillId="15" borderId="23" xfId="5" applyFont="1" applyFill="1" applyBorder="1" applyAlignment="1">
      <alignment horizontal="center"/>
    </xf>
    <xf numFmtId="14" fontId="0" fillId="15" borderId="22" xfId="4" applyNumberFormat="1" applyFont="1" applyFill="1" applyBorder="1" applyAlignment="1">
      <alignment horizontal="center"/>
    </xf>
    <xf numFmtId="14" fontId="0" fillId="15" borderId="29" xfId="4" applyNumberFormat="1" applyFont="1" applyFill="1" applyBorder="1" applyAlignment="1">
      <alignment horizontal="center"/>
    </xf>
    <xf numFmtId="14" fontId="0" fillId="15" borderId="23" xfId="4" applyNumberFormat="1" applyFont="1" applyFill="1" applyBorder="1" applyAlignment="1">
      <alignment horizontal="center"/>
    </xf>
    <xf numFmtId="0" fontId="4" fillId="15" borderId="29" xfId="5" applyFill="1" applyBorder="1" applyAlignment="1">
      <alignment horizontal="center"/>
    </xf>
    <xf numFmtId="0" fontId="4" fillId="15" borderId="23" xfId="5" applyFill="1" applyBorder="1" applyAlignment="1">
      <alignment horizontal="center"/>
    </xf>
    <xf numFmtId="0" fontId="7" fillId="3" borderId="73" xfId="2" applyFont="1" applyBorder="1" applyAlignment="1">
      <alignment horizontal="center"/>
    </xf>
    <xf numFmtId="0" fontId="7" fillId="3" borderId="74" xfId="2" applyFont="1" applyBorder="1" applyAlignment="1">
      <alignment horizontal="center"/>
    </xf>
    <xf numFmtId="0" fontId="7" fillId="3" borderId="75" xfId="2" applyFont="1" applyBorder="1" applyAlignment="1">
      <alignment horizontal="center"/>
    </xf>
    <xf numFmtId="0" fontId="7" fillId="15" borderId="20" xfId="5" applyFont="1" applyFill="1" applyBorder="1" applyAlignment="1">
      <alignment horizontal="center"/>
    </xf>
    <xf numFmtId="0" fontId="4" fillId="15" borderId="3" xfId="5" applyFill="1" applyBorder="1" applyAlignment="1">
      <alignment horizontal="center"/>
    </xf>
    <xf numFmtId="0" fontId="4" fillId="15" borderId="21" xfId="5" applyFill="1" applyBorder="1" applyAlignment="1">
      <alignment horizontal="center"/>
    </xf>
    <xf numFmtId="14" fontId="0" fillId="15" borderId="20" xfId="4" applyNumberFormat="1" applyFont="1" applyFill="1" applyBorder="1" applyAlignment="1">
      <alignment horizontal="center"/>
    </xf>
    <xf numFmtId="14" fontId="0" fillId="15" borderId="3" xfId="4" applyNumberFormat="1" applyFont="1" applyFill="1" applyBorder="1" applyAlignment="1">
      <alignment horizontal="center"/>
    </xf>
    <xf numFmtId="14" fontId="0" fillId="15" borderId="21" xfId="4" applyNumberFormat="1" applyFont="1" applyFill="1" applyBorder="1" applyAlignment="1">
      <alignment horizontal="center"/>
    </xf>
    <xf numFmtId="0" fontId="7" fillId="15" borderId="43" xfId="5" applyFont="1" applyFill="1" applyBorder="1" applyAlignment="1">
      <alignment horizontal="center"/>
    </xf>
    <xf numFmtId="0" fontId="7" fillId="15" borderId="4" xfId="5" applyFont="1" applyFill="1" applyBorder="1" applyAlignment="1">
      <alignment horizontal="center"/>
    </xf>
    <xf numFmtId="0" fontId="7" fillId="15" borderId="44" xfId="5" applyFont="1" applyFill="1" applyBorder="1" applyAlignment="1">
      <alignment horizontal="center"/>
    </xf>
    <xf numFmtId="0" fontId="48" fillId="15" borderId="22" xfId="1" applyFont="1" applyFill="1" applyBorder="1" applyAlignment="1">
      <alignment horizontal="center"/>
    </xf>
    <xf numFmtId="0" fontId="48" fillId="15" borderId="23" xfId="1" applyFont="1" applyFill="1" applyBorder="1" applyAlignment="1">
      <alignment horizontal="center"/>
    </xf>
    <xf numFmtId="0" fontId="8" fillId="17" borderId="6" xfId="7" applyFont="1" applyFill="1" applyBorder="1" applyAlignment="1">
      <alignment horizontal="center"/>
    </xf>
    <xf numFmtId="0" fontId="8" fillId="17" borderId="7" xfId="7" applyFont="1" applyFill="1" applyBorder="1" applyAlignment="1">
      <alignment horizontal="center"/>
    </xf>
    <xf numFmtId="0" fontId="16" fillId="2" borderId="20" xfId="1" applyFont="1" applyBorder="1" applyAlignment="1">
      <alignment horizontal="center"/>
    </xf>
    <xf numFmtId="0" fontId="16" fillId="2" borderId="21" xfId="1" applyFont="1" applyBorder="1" applyAlignment="1">
      <alignment horizontal="center"/>
    </xf>
    <xf numFmtId="0" fontId="16" fillId="2" borderId="24" xfId="1" applyFont="1" applyBorder="1" applyAlignment="1">
      <alignment horizontal="center"/>
    </xf>
    <xf numFmtId="0" fontId="16" fillId="2" borderId="25" xfId="1" applyFont="1" applyBorder="1" applyAlignment="1">
      <alignment horizontal="center"/>
    </xf>
    <xf numFmtId="0" fontId="16" fillId="2" borderId="66" xfId="1" applyFont="1" applyBorder="1" applyAlignment="1">
      <alignment horizontal="center"/>
    </xf>
    <xf numFmtId="0" fontId="16" fillId="2" borderId="67" xfId="1" applyFont="1" applyBorder="1" applyAlignment="1">
      <alignment horizontal="center"/>
    </xf>
    <xf numFmtId="0" fontId="8" fillId="17" borderId="9" xfId="6" applyFont="1" applyFill="1" applyBorder="1" applyAlignment="1">
      <alignment horizontal="center"/>
    </xf>
    <xf numFmtId="0" fontId="8" fillId="17" borderId="10" xfId="6" applyFont="1" applyFill="1" applyBorder="1" applyAlignment="1">
      <alignment horizontal="center"/>
    </xf>
    <xf numFmtId="0" fontId="8" fillId="17" borderId="11" xfId="6" applyFont="1" applyFill="1" applyBorder="1" applyAlignment="1">
      <alignment horizontal="center"/>
    </xf>
    <xf numFmtId="0" fontId="8" fillId="17" borderId="6" xfId="8" applyFont="1" applyFill="1" applyBorder="1" applyAlignment="1">
      <alignment horizontal="center"/>
    </xf>
    <xf numFmtId="0" fontId="8" fillId="17" borderId="8" xfId="8" applyFont="1" applyFill="1" applyBorder="1" applyAlignment="1">
      <alignment horizontal="center"/>
    </xf>
    <xf numFmtId="0" fontId="8" fillId="17" borderId="7" xfId="8" applyFont="1" applyFill="1" applyBorder="1" applyAlignment="1">
      <alignment horizontal="center"/>
    </xf>
    <xf numFmtId="0" fontId="16" fillId="2" borderId="18" xfId="1" applyFont="1" applyBorder="1" applyAlignment="1">
      <alignment horizontal="center"/>
    </xf>
    <xf numFmtId="0" fontId="16" fillId="2" borderId="19" xfId="1" applyFont="1" applyBorder="1" applyAlignment="1">
      <alignment horizontal="center"/>
    </xf>
    <xf numFmtId="0" fontId="0" fillId="3" borderId="20" xfId="2" applyFont="1" applyBorder="1" applyAlignment="1">
      <alignment horizontal="center"/>
    </xf>
    <xf numFmtId="0" fontId="0" fillId="3" borderId="3" xfId="2" applyFont="1" applyBorder="1" applyAlignment="1">
      <alignment horizontal="center"/>
    </xf>
    <xf numFmtId="0" fontId="0" fillId="3" borderId="21" xfId="2" applyFont="1" applyBorder="1" applyAlignment="1">
      <alignment horizontal="center"/>
    </xf>
    <xf numFmtId="0" fontId="4" fillId="15" borderId="27" xfId="5" applyFill="1" applyBorder="1" applyAlignment="1">
      <alignment horizontal="center"/>
    </xf>
    <xf numFmtId="0" fontId="4" fillId="15" borderId="28" xfId="5" applyFill="1" applyBorder="1" applyAlignment="1">
      <alignment horizontal="center"/>
    </xf>
    <xf numFmtId="14" fontId="0" fillId="15" borderId="26" xfId="4" applyNumberFormat="1" applyFont="1" applyFill="1" applyBorder="1" applyAlignment="1">
      <alignment horizontal="center"/>
    </xf>
    <xf numFmtId="14" fontId="0" fillId="15" borderId="27" xfId="4" applyNumberFormat="1" applyFont="1" applyFill="1" applyBorder="1" applyAlignment="1">
      <alignment horizontal="center"/>
    </xf>
    <xf numFmtId="14" fontId="0" fillId="15" borderId="28" xfId="4" applyNumberFormat="1" applyFont="1" applyFill="1" applyBorder="1" applyAlignment="1">
      <alignment horizontal="center"/>
    </xf>
    <xf numFmtId="0" fontId="16" fillId="2" borderId="43" xfId="1" applyFont="1" applyBorder="1" applyAlignment="1">
      <alignment horizontal="center"/>
    </xf>
    <xf numFmtId="0" fontId="16" fillId="2" borderId="44" xfId="1" applyFont="1" applyBorder="1" applyAlignment="1">
      <alignment horizontal="center"/>
    </xf>
    <xf numFmtId="0" fontId="2" fillId="15" borderId="3" xfId="4" applyFill="1" applyBorder="1" applyAlignment="1">
      <alignment horizontal="center"/>
    </xf>
    <xf numFmtId="0" fontId="2" fillId="15" borderId="21" xfId="4" applyFill="1" applyBorder="1" applyAlignment="1">
      <alignment horizontal="center"/>
    </xf>
    <xf numFmtId="0" fontId="45" fillId="2" borderId="16" xfId="1" applyFont="1" applyBorder="1" applyAlignment="1">
      <alignment horizontal="center"/>
    </xf>
    <xf numFmtId="0" fontId="45" fillId="2" borderId="17" xfId="1" applyFont="1" applyBorder="1" applyAlignment="1">
      <alignment horizontal="center"/>
    </xf>
    <xf numFmtId="0" fontId="44" fillId="15" borderId="22" xfId="5" applyFont="1" applyFill="1" applyBorder="1" applyAlignment="1">
      <alignment horizontal="center"/>
    </xf>
    <xf numFmtId="0" fontId="44" fillId="15" borderId="29" xfId="5" applyFont="1" applyFill="1" applyBorder="1" applyAlignment="1">
      <alignment horizontal="center"/>
    </xf>
    <xf numFmtId="0" fontId="44" fillId="15" borderId="23" xfId="5" applyFont="1" applyFill="1" applyBorder="1" applyAlignment="1">
      <alignment horizontal="center"/>
    </xf>
    <xf numFmtId="0" fontId="44" fillId="3" borderId="20" xfId="2" applyFont="1" applyBorder="1" applyAlignment="1">
      <alignment horizontal="center"/>
    </xf>
    <xf numFmtId="0" fontId="44" fillId="3" borderId="3" xfId="2" applyFont="1" applyBorder="1" applyAlignment="1">
      <alignment horizontal="center"/>
    </xf>
    <xf numFmtId="0" fontId="44" fillId="3" borderId="21" xfId="2" applyFont="1" applyBorder="1" applyAlignment="1">
      <alignment horizontal="center"/>
    </xf>
    <xf numFmtId="0" fontId="46" fillId="15" borderId="22" xfId="5" applyFont="1" applyFill="1" applyBorder="1" applyAlignment="1">
      <alignment horizontal="center"/>
    </xf>
    <xf numFmtId="0" fontId="46" fillId="15" borderId="29" xfId="5" applyFont="1" applyFill="1" applyBorder="1" applyAlignment="1">
      <alignment horizontal="center"/>
    </xf>
    <xf numFmtId="0" fontId="46" fillId="15" borderId="23" xfId="5" applyFont="1" applyFill="1" applyBorder="1" applyAlignment="1">
      <alignment horizontal="center"/>
    </xf>
    <xf numFmtId="0" fontId="8" fillId="16" borderId="6" xfId="7" applyFont="1" applyFill="1" applyBorder="1" applyAlignment="1">
      <alignment horizontal="center"/>
    </xf>
    <xf numFmtId="0" fontId="8" fillId="16" borderId="7" xfId="7" applyFont="1" applyFill="1" applyBorder="1" applyAlignment="1">
      <alignment horizontal="center"/>
    </xf>
    <xf numFmtId="0" fontId="8" fillId="16" borderId="6" xfId="6" applyFont="1" applyFill="1" applyBorder="1" applyAlignment="1">
      <alignment horizontal="center"/>
    </xf>
    <xf numFmtId="0" fontId="8" fillId="16" borderId="8" xfId="6" applyFont="1" applyFill="1" applyBorder="1" applyAlignment="1">
      <alignment horizontal="center"/>
    </xf>
    <xf numFmtId="0" fontId="8" fillId="16" borderId="7" xfId="6" applyFont="1" applyFill="1" applyBorder="1" applyAlignment="1">
      <alignment horizontal="center"/>
    </xf>
    <xf numFmtId="0" fontId="8" fillId="16" borderId="6" xfId="8" applyFont="1" applyFill="1" applyBorder="1" applyAlignment="1">
      <alignment horizontal="center"/>
    </xf>
    <xf numFmtId="0" fontId="8" fillId="16" borderId="8" xfId="8" applyFont="1" applyFill="1" applyBorder="1" applyAlignment="1">
      <alignment horizontal="center"/>
    </xf>
    <xf numFmtId="0" fontId="8" fillId="16" borderId="7" xfId="8" applyFont="1" applyFill="1" applyBorder="1" applyAlignment="1">
      <alignment horizontal="center"/>
    </xf>
    <xf numFmtId="0" fontId="8" fillId="16" borderId="9" xfId="2" applyFont="1" applyFill="1" applyBorder="1" applyAlignment="1">
      <alignment horizontal="center"/>
    </xf>
    <xf numFmtId="0" fontId="8" fillId="16" borderId="10" xfId="2" applyFont="1" applyFill="1" applyBorder="1" applyAlignment="1">
      <alignment horizontal="center"/>
    </xf>
    <xf numFmtId="0" fontId="8" fillId="16" borderId="11" xfId="2" applyFont="1" applyFill="1" applyBorder="1" applyAlignment="1">
      <alignment horizontal="center"/>
    </xf>
    <xf numFmtId="0" fontId="45" fillId="2" borderId="24" xfId="1" applyFont="1" applyBorder="1" applyAlignment="1">
      <alignment horizontal="center"/>
    </xf>
    <xf numFmtId="0" fontId="45" fillId="2" borderId="25" xfId="1" applyFont="1" applyBorder="1" applyAlignment="1">
      <alignment horizontal="center"/>
    </xf>
    <xf numFmtId="0" fontId="46" fillId="15" borderId="20" xfId="5" applyFont="1" applyFill="1" applyBorder="1" applyAlignment="1">
      <alignment horizontal="center"/>
    </xf>
    <xf numFmtId="0" fontId="46" fillId="15" borderId="3" xfId="5" applyFont="1" applyFill="1" applyBorder="1" applyAlignment="1">
      <alignment horizontal="center"/>
    </xf>
    <xf numFmtId="0" fontId="46" fillId="15" borderId="21" xfId="5" applyFont="1" applyFill="1" applyBorder="1" applyAlignment="1">
      <alignment horizontal="center"/>
    </xf>
    <xf numFmtId="0" fontId="46" fillId="15" borderId="18" xfId="5" applyFont="1" applyFill="1" applyBorder="1" applyAlignment="1">
      <alignment horizontal="center"/>
    </xf>
    <xf numFmtId="0" fontId="46" fillId="15" borderId="70" xfId="5" applyFont="1" applyFill="1" applyBorder="1" applyAlignment="1">
      <alignment horizontal="center"/>
    </xf>
    <xf numFmtId="0" fontId="46" fillId="15" borderId="19" xfId="5" applyFont="1" applyFill="1" applyBorder="1" applyAlignment="1">
      <alignment horizontal="center"/>
    </xf>
    <xf numFmtId="49" fontId="8" fillId="16" borderId="6" xfId="7" applyNumberFormat="1" applyFont="1" applyFill="1" applyBorder="1" applyAlignment="1">
      <alignment horizontal="center"/>
    </xf>
    <xf numFmtId="49" fontId="8" fillId="16" borderId="7" xfId="7" applyNumberFormat="1" applyFont="1" applyFill="1" applyBorder="1" applyAlignment="1">
      <alignment horizontal="center"/>
    </xf>
    <xf numFmtId="49" fontId="48" fillId="15" borderId="18" xfId="1" applyNumberFormat="1" applyFont="1" applyFill="1" applyBorder="1" applyAlignment="1">
      <alignment horizontal="center"/>
    </xf>
    <xf numFmtId="49" fontId="48" fillId="15" borderId="19" xfId="1" applyNumberFormat="1" applyFont="1" applyFill="1" applyBorder="1" applyAlignment="1">
      <alignment horizontal="center"/>
    </xf>
    <xf numFmtId="49" fontId="48" fillId="15" borderId="22" xfId="1" applyNumberFormat="1" applyFont="1" applyFill="1" applyBorder="1" applyAlignment="1">
      <alignment horizontal="center"/>
    </xf>
    <xf numFmtId="49" fontId="48" fillId="15" borderId="23" xfId="1" applyNumberFormat="1" applyFont="1" applyFill="1" applyBorder="1" applyAlignment="1">
      <alignment horizontal="center"/>
    </xf>
    <xf numFmtId="0" fontId="48" fillId="15" borderId="18" xfId="1" applyFont="1" applyFill="1" applyBorder="1" applyAlignment="1">
      <alignment horizontal="center"/>
    </xf>
    <xf numFmtId="0" fontId="48" fillId="15" borderId="19" xfId="1" applyFont="1" applyFill="1" applyBorder="1" applyAlignment="1">
      <alignment horizontal="center"/>
    </xf>
    <xf numFmtId="0" fontId="0" fillId="3" borderId="20" xfId="2" quotePrefix="1" applyFont="1" applyBorder="1" applyAlignment="1">
      <alignment horizontal="center"/>
    </xf>
    <xf numFmtId="0" fontId="0" fillId="15" borderId="20" xfId="5" applyFont="1" applyFill="1" applyBorder="1" applyAlignment="1">
      <alignment horizontal="center"/>
    </xf>
    <xf numFmtId="0" fontId="7" fillId="3" borderId="20" xfId="2" applyFont="1" applyBorder="1" applyAlignment="1">
      <alignment horizontal="center"/>
    </xf>
    <xf numFmtId="0" fontId="7" fillId="3" borderId="3" xfId="2" applyFont="1" applyBorder="1" applyAlignment="1">
      <alignment horizontal="center"/>
    </xf>
    <xf numFmtId="0" fontId="7" fillId="3" borderId="21" xfId="2" applyFont="1" applyBorder="1" applyAlignment="1">
      <alignment horizontal="center"/>
    </xf>
    <xf numFmtId="14" fontId="7" fillId="15" borderId="45" xfId="4" applyNumberFormat="1" applyFont="1" applyFill="1" applyBorder="1" applyAlignment="1">
      <alignment horizontal="center"/>
    </xf>
    <xf numFmtId="14" fontId="7" fillId="15" borderId="46" xfId="4" applyNumberFormat="1" applyFont="1" applyFill="1" applyBorder="1" applyAlignment="1">
      <alignment horizontal="center"/>
    </xf>
    <xf numFmtId="14" fontId="7" fillId="15" borderId="47" xfId="4" applyNumberFormat="1" applyFont="1" applyFill="1" applyBorder="1" applyAlignment="1">
      <alignment horizontal="center"/>
    </xf>
    <xf numFmtId="49" fontId="2" fillId="15" borderId="20" xfId="1" quotePrefix="1" applyNumberFormat="1" applyFont="1" applyFill="1" applyBorder="1" applyAlignment="1">
      <alignment horizontal="center"/>
    </xf>
    <xf numFmtId="49" fontId="1" fillId="15" borderId="22" xfId="1" applyNumberFormat="1" applyFont="1" applyFill="1" applyBorder="1" applyAlignment="1">
      <alignment horizontal="center"/>
    </xf>
    <xf numFmtId="49" fontId="9" fillId="15" borderId="23" xfId="1" applyNumberFormat="1" applyFont="1" applyFill="1" applyBorder="1" applyAlignment="1">
      <alignment horizontal="center"/>
    </xf>
    <xf numFmtId="0" fontId="8" fillId="14" borderId="6" xfId="7" applyFont="1" applyFill="1" applyBorder="1" applyAlignment="1">
      <alignment horizontal="center"/>
    </xf>
    <xf numFmtId="0" fontId="8" fillId="14" borderId="7" xfId="7" applyFont="1" applyFill="1" applyBorder="1" applyAlignment="1">
      <alignment horizontal="center"/>
    </xf>
    <xf numFmtId="49" fontId="31" fillId="15" borderId="22" xfId="1" applyNumberFormat="1" applyFont="1" applyFill="1" applyBorder="1" applyAlignment="1">
      <alignment horizontal="center"/>
    </xf>
    <xf numFmtId="49" fontId="31" fillId="15" borderId="23" xfId="1" applyNumberFormat="1" applyFont="1" applyFill="1" applyBorder="1" applyAlignment="1">
      <alignment horizontal="center"/>
    </xf>
    <xf numFmtId="0" fontId="8" fillId="13" borderId="53" xfId="7" applyFont="1" applyFill="1" applyBorder="1" applyAlignment="1">
      <alignment horizontal="center"/>
    </xf>
    <xf numFmtId="0" fontId="8" fillId="13" borderId="54" xfId="7" applyFont="1" applyFill="1" applyBorder="1" applyAlignment="1">
      <alignment horizontal="center"/>
    </xf>
    <xf numFmtId="49" fontId="1" fillId="15" borderId="26" xfId="1" applyNumberFormat="1" applyFont="1" applyFill="1" applyBorder="1" applyAlignment="1">
      <alignment horizontal="center"/>
    </xf>
    <xf numFmtId="49" fontId="9" fillId="15" borderId="28" xfId="1" applyNumberFormat="1" applyFont="1" applyFill="1" applyBorder="1" applyAlignment="1">
      <alignment horizontal="center"/>
    </xf>
    <xf numFmtId="14" fontId="0" fillId="15" borderId="20" xfId="4" applyNumberFormat="1" applyFont="1" applyFill="1" applyBorder="1" applyAlignment="1">
      <alignment horizontal="center" vertical="center"/>
    </xf>
    <xf numFmtId="14" fontId="0" fillId="15" borderId="3" xfId="4" applyNumberFormat="1" applyFont="1" applyFill="1" applyBorder="1" applyAlignment="1">
      <alignment horizontal="center" vertical="center"/>
    </xf>
    <xf numFmtId="14" fontId="0" fillId="15" borderId="21" xfId="4" applyNumberFormat="1" applyFont="1" applyFill="1" applyBorder="1" applyAlignment="1">
      <alignment horizontal="center" vertical="center"/>
    </xf>
    <xf numFmtId="14" fontId="7" fillId="15" borderId="45" xfId="4" applyNumberFormat="1" applyFont="1" applyFill="1" applyBorder="1" applyAlignment="1">
      <alignment horizontal="center" vertical="center"/>
    </xf>
    <xf numFmtId="14" fontId="7" fillId="15" borderId="46" xfId="4" applyNumberFormat="1" applyFont="1" applyFill="1" applyBorder="1" applyAlignment="1">
      <alignment horizontal="center" vertical="center"/>
    </xf>
    <xf numFmtId="14" fontId="7" fillId="15" borderId="47" xfId="4" applyNumberFormat="1" applyFont="1" applyFill="1" applyBorder="1" applyAlignment="1">
      <alignment horizontal="center" vertical="center"/>
    </xf>
    <xf numFmtId="49" fontId="1" fillId="15" borderId="20" xfId="1" applyNumberFormat="1" applyFont="1" applyFill="1" applyBorder="1" applyAlignment="1">
      <alignment horizontal="center"/>
    </xf>
    <xf numFmtId="49" fontId="9" fillId="15" borderId="21" xfId="1" applyNumberFormat="1" applyFont="1" applyFill="1" applyBorder="1" applyAlignment="1">
      <alignment horizontal="center"/>
    </xf>
    <xf numFmtId="0" fontId="16" fillId="2" borderId="14" xfId="1" applyFont="1" applyBorder="1" applyAlignment="1">
      <alignment horizontal="center"/>
    </xf>
    <xf numFmtId="0" fontId="16" fillId="2" borderId="15" xfId="1" applyFont="1" applyBorder="1" applyAlignment="1">
      <alignment horizontal="center"/>
    </xf>
    <xf numFmtId="0" fontId="2" fillId="3" borderId="20" xfId="2" applyFont="1" applyBorder="1" applyAlignment="1">
      <alignment horizontal="center"/>
    </xf>
    <xf numFmtId="0" fontId="2" fillId="3" borderId="3" xfId="2" applyFont="1" applyBorder="1" applyAlignment="1">
      <alignment horizontal="center"/>
    </xf>
    <xf numFmtId="0" fontId="2" fillId="3" borderId="21" xfId="2" applyFont="1" applyBorder="1" applyAlignment="1">
      <alignment horizontal="center"/>
    </xf>
    <xf numFmtId="0" fontId="7" fillId="3" borderId="22" xfId="2" applyFont="1" applyBorder="1" applyAlignment="1">
      <alignment horizontal="center"/>
    </xf>
    <xf numFmtId="0" fontId="7" fillId="3" borderId="29" xfId="2" applyFont="1" applyBorder="1" applyAlignment="1">
      <alignment horizontal="center"/>
    </xf>
    <xf numFmtId="0" fontId="7" fillId="3" borderId="23" xfId="2" applyFont="1" applyBorder="1" applyAlignment="1">
      <alignment horizontal="center"/>
    </xf>
    <xf numFmtId="0" fontId="8" fillId="14" borderId="9" xfId="2" applyFont="1" applyFill="1" applyBorder="1" applyAlignment="1">
      <alignment horizontal="center"/>
    </xf>
    <xf numFmtId="0" fontId="8" fillId="14" borderId="10" xfId="2" applyFont="1" applyFill="1" applyBorder="1" applyAlignment="1">
      <alignment horizontal="center"/>
    </xf>
    <xf numFmtId="0" fontId="8" fillId="14" borderId="11" xfId="2" applyFont="1" applyFill="1" applyBorder="1" applyAlignment="1">
      <alignment horizontal="center"/>
    </xf>
    <xf numFmtId="0" fontId="7" fillId="3" borderId="33" xfId="2" applyFont="1" applyBorder="1" applyAlignment="1">
      <alignment horizontal="center"/>
    </xf>
    <xf numFmtId="0" fontId="7" fillId="3" borderId="2" xfId="2" applyFont="1" applyAlignment="1">
      <alignment horizontal="center"/>
    </xf>
    <xf numFmtId="0" fontId="7" fillId="3" borderId="34" xfId="2" applyFont="1" applyBorder="1" applyAlignment="1">
      <alignment horizontal="center"/>
    </xf>
    <xf numFmtId="0" fontId="8" fillId="13" borderId="50" xfId="2" applyFont="1" applyFill="1" applyBorder="1" applyAlignment="1">
      <alignment horizontal="center"/>
    </xf>
    <xf numFmtId="0" fontId="8" fillId="13" borderId="51" xfId="2" applyFont="1" applyFill="1" applyBorder="1" applyAlignment="1">
      <alignment horizontal="center"/>
    </xf>
    <xf numFmtId="0" fontId="8" fillId="13" borderId="52" xfId="2" applyFont="1" applyFill="1" applyBorder="1" applyAlignment="1">
      <alignment horizontal="center"/>
    </xf>
    <xf numFmtId="0" fontId="16" fillId="2" borderId="16" xfId="1" applyFont="1" applyBorder="1" applyAlignment="1">
      <alignment horizontal="center"/>
    </xf>
    <xf numFmtId="0" fontId="16" fillId="2" borderId="17" xfId="1" applyFont="1" applyBorder="1" applyAlignment="1">
      <alignment horizontal="center"/>
    </xf>
    <xf numFmtId="0" fontId="8" fillId="14" borderId="6" xfId="6" applyFont="1" applyFill="1" applyBorder="1" applyAlignment="1">
      <alignment horizontal="center"/>
    </xf>
    <xf numFmtId="0" fontId="8" fillId="14" borderId="8" xfId="6" applyFont="1" applyFill="1" applyBorder="1" applyAlignment="1">
      <alignment horizontal="center"/>
    </xf>
    <xf numFmtId="0" fontId="8" fillId="14" borderId="7" xfId="6" applyFont="1" applyFill="1" applyBorder="1" applyAlignment="1">
      <alignment horizontal="center"/>
    </xf>
    <xf numFmtId="0" fontId="0" fillId="3" borderId="26" xfId="2" applyFont="1" applyBorder="1" applyAlignment="1">
      <alignment horizontal="center"/>
    </xf>
    <xf numFmtId="0" fontId="0" fillId="3" borderId="27" xfId="2" applyFont="1" applyBorder="1" applyAlignment="1">
      <alignment horizontal="center"/>
    </xf>
    <xf numFmtId="0" fontId="0" fillId="3" borderId="28" xfId="2" applyFont="1" applyBorder="1" applyAlignment="1">
      <alignment horizontal="center"/>
    </xf>
    <xf numFmtId="0" fontId="8" fillId="14" borderId="6" xfId="8" applyFont="1" applyFill="1" applyBorder="1" applyAlignment="1">
      <alignment horizontal="center"/>
    </xf>
    <xf numFmtId="0" fontId="8" fillId="14" borderId="8" xfId="8" applyFont="1" applyFill="1" applyBorder="1" applyAlignment="1">
      <alignment horizontal="center"/>
    </xf>
    <xf numFmtId="0" fontId="8" fillId="14" borderId="7" xfId="8" applyFont="1" applyFill="1" applyBorder="1" applyAlignment="1">
      <alignment horizontal="center"/>
    </xf>
    <xf numFmtId="0" fontId="8" fillId="14" borderId="50" xfId="2" applyFont="1" applyFill="1" applyBorder="1" applyAlignment="1">
      <alignment horizontal="center"/>
    </xf>
    <xf numFmtId="0" fontId="8" fillId="14" borderId="51" xfId="2" applyFont="1" applyFill="1" applyBorder="1" applyAlignment="1">
      <alignment horizontal="center"/>
    </xf>
    <xf numFmtId="0" fontId="8" fillId="14" borderId="52" xfId="2" applyFont="1" applyFill="1" applyBorder="1" applyAlignment="1">
      <alignment horizontal="center"/>
    </xf>
    <xf numFmtId="49" fontId="1" fillId="15" borderId="43" xfId="1" applyNumberFormat="1" applyFont="1" applyFill="1" applyBorder="1" applyAlignment="1">
      <alignment horizontal="center"/>
    </xf>
    <xf numFmtId="49" fontId="9" fillId="15" borderId="44" xfId="1" applyNumberFormat="1" applyFont="1" applyFill="1" applyBorder="1" applyAlignment="1">
      <alignment horizontal="center"/>
    </xf>
    <xf numFmtId="0" fontId="0" fillId="3" borderId="43" xfId="2" applyFont="1" applyBorder="1" applyAlignment="1">
      <alignment horizontal="center"/>
    </xf>
    <xf numFmtId="0" fontId="0" fillId="3" borderId="4" xfId="2" applyFont="1" applyBorder="1" applyAlignment="1">
      <alignment horizontal="center"/>
    </xf>
    <xf numFmtId="0" fontId="0" fillId="3" borderId="44" xfId="2" applyFont="1" applyBorder="1" applyAlignment="1">
      <alignment horizontal="center"/>
    </xf>
    <xf numFmtId="49" fontId="8" fillId="11" borderId="53" xfId="7" applyNumberFormat="1" applyFont="1" applyFill="1" applyBorder="1" applyAlignment="1">
      <alignment horizontal="center"/>
    </xf>
    <xf numFmtId="49" fontId="8" fillId="11" borderId="54" xfId="7" applyNumberFormat="1" applyFont="1" applyFill="1" applyBorder="1" applyAlignment="1">
      <alignment horizontal="center"/>
    </xf>
    <xf numFmtId="0" fontId="8" fillId="11" borderId="6" xfId="7" applyFont="1" applyFill="1" applyBorder="1" applyAlignment="1">
      <alignment horizontal="center"/>
    </xf>
    <xf numFmtId="0" fontId="8" fillId="11" borderId="7" xfId="7" applyFont="1" applyFill="1" applyBorder="1" applyAlignment="1">
      <alignment horizontal="center"/>
    </xf>
    <xf numFmtId="49" fontId="1" fillId="15" borderId="18" xfId="1" applyNumberFormat="1" applyFont="1" applyFill="1" applyBorder="1" applyAlignment="1">
      <alignment horizontal="center"/>
    </xf>
    <xf numFmtId="49" fontId="9" fillId="15" borderId="19" xfId="1" applyNumberFormat="1" applyFont="1" applyFill="1" applyBorder="1" applyAlignment="1">
      <alignment horizontal="center"/>
    </xf>
    <xf numFmtId="0" fontId="8" fillId="11" borderId="50" xfId="2" applyFont="1" applyFill="1" applyBorder="1" applyAlignment="1">
      <alignment horizontal="center"/>
    </xf>
    <xf numFmtId="0" fontId="8" fillId="11" borderId="51" xfId="2" applyFont="1" applyFill="1" applyBorder="1" applyAlignment="1">
      <alignment horizontal="center"/>
    </xf>
    <xf numFmtId="0" fontId="8" fillId="11" borderId="52" xfId="2" applyFont="1" applyFill="1" applyBorder="1" applyAlignment="1">
      <alignment horizontal="center"/>
    </xf>
    <xf numFmtId="0" fontId="8" fillId="12" borderId="50" xfId="2" applyFont="1" applyFill="1" applyBorder="1" applyAlignment="1">
      <alignment horizontal="center"/>
    </xf>
    <xf numFmtId="0" fontId="8" fillId="12" borderId="51" xfId="2" applyFont="1" applyFill="1" applyBorder="1" applyAlignment="1">
      <alignment horizontal="center"/>
    </xf>
    <xf numFmtId="0" fontId="8" fillId="12" borderId="52" xfId="2" applyFont="1" applyFill="1" applyBorder="1" applyAlignment="1">
      <alignment horizontal="center"/>
    </xf>
    <xf numFmtId="0" fontId="7" fillId="3" borderId="26" xfId="2" applyFont="1" applyBorder="1" applyAlignment="1">
      <alignment horizontal="center"/>
    </xf>
    <xf numFmtId="0" fontId="7" fillId="3" borderId="27" xfId="2" applyFont="1" applyBorder="1" applyAlignment="1">
      <alignment horizontal="center"/>
    </xf>
    <xf numFmtId="0" fontId="7" fillId="3" borderId="28" xfId="2" applyFont="1" applyBorder="1" applyAlignment="1">
      <alignment horizontal="center"/>
    </xf>
    <xf numFmtId="0" fontId="8" fillId="12" borderId="6" xfId="8" applyFont="1" applyFill="1" applyBorder="1" applyAlignment="1">
      <alignment horizontal="center"/>
    </xf>
    <xf numFmtId="0" fontId="8" fillId="12" borderId="8" xfId="8" applyFont="1" applyFill="1" applyBorder="1" applyAlignment="1">
      <alignment horizontal="center"/>
    </xf>
    <xf numFmtId="0" fontId="8" fillId="12" borderId="7" xfId="8" applyFont="1" applyFill="1" applyBorder="1" applyAlignment="1">
      <alignment horizontal="center"/>
    </xf>
    <xf numFmtId="0" fontId="8" fillId="12" borderId="53" xfId="7" applyFont="1" applyFill="1" applyBorder="1" applyAlignment="1" applyProtection="1">
      <alignment horizontal="center" vertical="center"/>
      <protection locked="0"/>
    </xf>
    <xf numFmtId="0" fontId="8" fillId="12" borderId="54" xfId="7" applyFont="1" applyFill="1" applyBorder="1" applyAlignment="1" applyProtection="1">
      <alignment horizontal="center" vertical="center"/>
      <protection locked="0"/>
    </xf>
    <xf numFmtId="0" fontId="8" fillId="12" borderId="6" xfId="6" applyFont="1" applyFill="1" applyBorder="1" applyAlignment="1">
      <alignment horizontal="center" vertical="center"/>
    </xf>
    <xf numFmtId="0" fontId="8" fillId="12" borderId="8" xfId="6" applyFont="1" applyFill="1" applyBorder="1" applyAlignment="1">
      <alignment horizontal="center" vertical="center"/>
    </xf>
    <xf numFmtId="0" fontId="8" fillId="12" borderId="7" xfId="6" applyFont="1" applyFill="1" applyBorder="1" applyAlignment="1">
      <alignment horizontal="center" vertical="center"/>
    </xf>
    <xf numFmtId="0" fontId="16" fillId="2" borderId="26" xfId="1" applyFont="1" applyBorder="1" applyAlignment="1">
      <alignment horizontal="center"/>
    </xf>
    <xf numFmtId="0" fontId="16" fillId="2" borderId="28" xfId="1" applyFont="1" applyBorder="1" applyAlignment="1">
      <alignment horizontal="center"/>
    </xf>
    <xf numFmtId="0" fontId="2" fillId="15" borderId="18" xfId="2" applyFont="1" applyFill="1" applyBorder="1" applyAlignment="1">
      <alignment horizontal="center"/>
    </xf>
    <xf numFmtId="0" fontId="2" fillId="15" borderId="70" xfId="2" applyFont="1" applyFill="1" applyBorder="1" applyAlignment="1">
      <alignment horizontal="center"/>
    </xf>
    <xf numFmtId="0" fontId="2" fillId="15" borderId="19" xfId="2" applyFont="1" applyFill="1" applyBorder="1" applyAlignment="1">
      <alignment horizontal="center"/>
    </xf>
    <xf numFmtId="0" fontId="2" fillId="15" borderId="29" xfId="4" applyFill="1" applyBorder="1" applyAlignment="1">
      <alignment horizontal="center"/>
    </xf>
    <xf numFmtId="0" fontId="2" fillId="15" borderId="23" xfId="4" applyFill="1" applyBorder="1" applyAlignment="1">
      <alignment horizontal="center"/>
    </xf>
    <xf numFmtId="0" fontId="45" fillId="2" borderId="22" xfId="1" applyFont="1" applyBorder="1" applyAlignment="1">
      <alignment horizontal="center"/>
    </xf>
    <xf numFmtId="0" fontId="45" fillId="2" borderId="23" xfId="1" applyFont="1" applyBorder="1" applyAlignment="1">
      <alignment horizontal="center"/>
    </xf>
    <xf numFmtId="0" fontId="44" fillId="3" borderId="22" xfId="2" applyFont="1" applyBorder="1" applyAlignment="1">
      <alignment horizontal="center"/>
    </xf>
    <xf numFmtId="0" fontId="44" fillId="3" borderId="29" xfId="2" applyFont="1" applyBorder="1" applyAlignment="1">
      <alignment horizontal="center"/>
    </xf>
    <xf numFmtId="0" fontId="44" fillId="3" borderId="23" xfId="2" applyFont="1" applyBorder="1" applyAlignment="1">
      <alignment horizontal="center"/>
    </xf>
    <xf numFmtId="0" fontId="0" fillId="3" borderId="45" xfId="2" applyFont="1" applyBorder="1" applyAlignment="1">
      <alignment horizontal="center"/>
    </xf>
    <xf numFmtId="0" fontId="0" fillId="3" borderId="46" xfId="2" applyFont="1" applyBorder="1" applyAlignment="1">
      <alignment horizontal="center"/>
    </xf>
    <xf numFmtId="0" fontId="0" fillId="3" borderId="47" xfId="2" applyFont="1" applyBorder="1" applyAlignment="1">
      <alignment horizontal="center"/>
    </xf>
    <xf numFmtId="14" fontId="0" fillId="15" borderId="22" xfId="4" applyNumberFormat="1" applyFont="1" applyFill="1" applyBorder="1" applyAlignment="1">
      <alignment horizontal="center" vertical="center"/>
    </xf>
    <xf numFmtId="14" fontId="0" fillId="15" borderId="29" xfId="4" applyNumberFormat="1" applyFont="1" applyFill="1" applyBorder="1" applyAlignment="1">
      <alignment horizontal="center" vertical="center"/>
    </xf>
    <xf numFmtId="14" fontId="0" fillId="15" borderId="23" xfId="4" applyNumberFormat="1" applyFont="1" applyFill="1" applyBorder="1" applyAlignment="1">
      <alignment horizontal="center" vertical="center"/>
    </xf>
    <xf numFmtId="0" fontId="8" fillId="11" borderId="6" xfId="6" applyFont="1" applyFill="1" applyBorder="1" applyAlignment="1">
      <alignment horizontal="center"/>
    </xf>
    <xf numFmtId="0" fontId="8" fillId="11" borderId="8" xfId="6" applyFont="1" applyFill="1" applyBorder="1" applyAlignment="1">
      <alignment horizontal="center"/>
    </xf>
    <xf numFmtId="0" fontId="8" fillId="11" borderId="7" xfId="6" applyFont="1" applyFill="1" applyBorder="1" applyAlignment="1">
      <alignment horizontal="center"/>
    </xf>
    <xf numFmtId="0" fontId="8" fillId="11" borderId="53" xfId="8" applyFont="1" applyFill="1" applyBorder="1" applyAlignment="1">
      <alignment horizontal="center"/>
    </xf>
    <xf numFmtId="0" fontId="8" fillId="11" borderId="64" xfId="8" applyFont="1" applyFill="1" applyBorder="1" applyAlignment="1">
      <alignment horizontal="center"/>
    </xf>
    <xf numFmtId="0" fontId="8" fillId="11" borderId="54" xfId="8" applyFont="1" applyFill="1" applyBorder="1" applyAlignment="1">
      <alignment horizontal="center"/>
    </xf>
    <xf numFmtId="0" fontId="8" fillId="11" borderId="9" xfId="2" applyFont="1" applyFill="1" applyBorder="1" applyAlignment="1">
      <alignment horizontal="center"/>
    </xf>
    <xf numFmtId="0" fontId="8" fillId="11" borderId="10" xfId="2" applyFont="1" applyFill="1" applyBorder="1" applyAlignment="1">
      <alignment horizontal="center"/>
    </xf>
    <xf numFmtId="0" fontId="8" fillId="11" borderId="11" xfId="2" applyFont="1" applyFill="1" applyBorder="1" applyAlignment="1">
      <alignment horizontal="center"/>
    </xf>
    <xf numFmtId="0" fontId="16" fillId="2" borderId="22" xfId="1" applyFont="1" applyBorder="1" applyAlignment="1">
      <alignment horizontal="center"/>
    </xf>
    <xf numFmtId="0" fontId="16" fillId="2" borderId="23" xfId="1" applyFont="1" applyBorder="1" applyAlignment="1">
      <alignment horizontal="center"/>
    </xf>
    <xf numFmtId="49" fontId="46" fillId="15" borderId="20" xfId="1" applyNumberFormat="1" applyFont="1" applyFill="1" applyBorder="1" applyAlignment="1">
      <alignment horizontal="center"/>
    </xf>
    <xf numFmtId="49" fontId="46" fillId="15" borderId="21" xfId="1" applyNumberFormat="1" applyFont="1" applyFill="1" applyBorder="1" applyAlignment="1">
      <alignment horizontal="center"/>
    </xf>
    <xf numFmtId="49" fontId="1" fillId="15" borderId="21" xfId="1" applyNumberFormat="1" applyFont="1" applyFill="1" applyBorder="1" applyAlignment="1">
      <alignment horizontal="center"/>
    </xf>
    <xf numFmtId="49" fontId="8" fillId="13" borderId="53" xfId="7" applyNumberFormat="1" applyFont="1" applyFill="1" applyBorder="1" applyAlignment="1">
      <alignment horizontal="center"/>
    </xf>
    <xf numFmtId="49" fontId="8" fillId="13" borderId="54" xfId="7" applyNumberFormat="1" applyFont="1" applyFill="1" applyBorder="1" applyAlignment="1">
      <alignment horizontal="center"/>
    </xf>
    <xf numFmtId="0" fontId="16" fillId="2" borderId="12" xfId="1" applyFont="1" applyBorder="1" applyAlignment="1">
      <alignment horizontal="center"/>
    </xf>
    <xf numFmtId="0" fontId="16" fillId="2" borderId="13" xfId="1" applyFont="1" applyBorder="1" applyAlignment="1">
      <alignment horizontal="center"/>
    </xf>
    <xf numFmtId="0" fontId="0" fillId="15" borderId="26" xfId="5" applyFont="1" applyFill="1" applyBorder="1" applyAlignment="1">
      <alignment horizontal="center"/>
    </xf>
    <xf numFmtId="0" fontId="8" fillId="13" borderId="53" xfId="6" applyFont="1" applyFill="1" applyBorder="1" applyAlignment="1">
      <alignment horizontal="center"/>
    </xf>
    <xf numFmtId="0" fontId="8" fillId="13" borderId="64" xfId="6" applyFont="1" applyFill="1" applyBorder="1" applyAlignment="1">
      <alignment horizontal="center"/>
    </xf>
    <xf numFmtId="0" fontId="8" fillId="13" borderId="54" xfId="6" applyFont="1" applyFill="1" applyBorder="1" applyAlignment="1">
      <alignment horizontal="center"/>
    </xf>
    <xf numFmtId="0" fontId="8" fillId="13" borderId="53" xfId="8" applyFont="1" applyFill="1" applyBorder="1" applyAlignment="1">
      <alignment horizontal="center"/>
    </xf>
    <xf numFmtId="0" fontId="8" fillId="13" borderId="64" xfId="8" applyFont="1" applyFill="1" applyBorder="1" applyAlignment="1">
      <alignment horizontal="center"/>
    </xf>
    <xf numFmtId="0" fontId="8" fillId="13" borderId="54" xfId="8" applyFont="1" applyFill="1" applyBorder="1" applyAlignment="1">
      <alignment horizontal="center"/>
    </xf>
    <xf numFmtId="0" fontId="8" fillId="13" borderId="6" xfId="7" applyFont="1" applyFill="1" applyBorder="1" applyAlignment="1">
      <alignment horizontal="center"/>
    </xf>
    <xf numFmtId="0" fontId="8" fillId="13" borderId="7" xfId="7" applyFont="1" applyFill="1" applyBorder="1" applyAlignment="1">
      <alignment horizontal="center"/>
    </xf>
    <xf numFmtId="0" fontId="7" fillId="15" borderId="3" xfId="5" applyFont="1" applyFill="1" applyBorder="1" applyAlignment="1">
      <alignment horizontal="center"/>
    </xf>
    <xf numFmtId="0" fontId="7" fillId="15" borderId="21" xfId="5" applyFont="1" applyFill="1" applyBorder="1" applyAlignment="1">
      <alignment horizontal="center"/>
    </xf>
    <xf numFmtId="0" fontId="7" fillId="3" borderId="38" xfId="2" applyFont="1" applyBorder="1" applyAlignment="1">
      <alignment horizontal="center"/>
    </xf>
    <xf numFmtId="0" fontId="7" fillId="3" borderId="5" xfId="2" applyFont="1" applyBorder="1" applyAlignment="1">
      <alignment horizontal="center"/>
    </xf>
    <xf numFmtId="0" fontId="7" fillId="3" borderId="39" xfId="2" applyFont="1" applyBorder="1" applyAlignment="1">
      <alignment horizontal="center"/>
    </xf>
    <xf numFmtId="0" fontId="8" fillId="17" borderId="6" xfId="6" applyFont="1" applyFill="1" applyBorder="1" applyAlignment="1">
      <alignment horizontal="center"/>
    </xf>
    <xf numFmtId="0" fontId="8" fillId="17" borderId="8" xfId="6" applyFont="1" applyFill="1" applyBorder="1" applyAlignment="1">
      <alignment horizontal="center"/>
    </xf>
    <xf numFmtId="0" fontId="8" fillId="17" borderId="7" xfId="6" applyFont="1" applyFill="1" applyBorder="1" applyAlignment="1">
      <alignment horizontal="center"/>
    </xf>
    <xf numFmtId="0" fontId="7" fillId="15" borderId="40" xfId="5" applyFont="1" applyFill="1" applyBorder="1" applyAlignment="1">
      <alignment horizontal="center"/>
    </xf>
    <xf numFmtId="0" fontId="7" fillId="15" borderId="41" xfId="5" applyFont="1" applyFill="1" applyBorder="1" applyAlignment="1">
      <alignment horizontal="center"/>
    </xf>
    <xf numFmtId="0" fontId="7" fillId="15" borderId="42" xfId="5" applyFont="1" applyFill="1" applyBorder="1" applyAlignment="1">
      <alignment horizontal="center"/>
    </xf>
    <xf numFmtId="0" fontId="7" fillId="3" borderId="30" xfId="2" applyFont="1" applyBorder="1" applyAlignment="1">
      <alignment horizontal="center"/>
    </xf>
    <xf numFmtId="0" fontId="7" fillId="3" borderId="31" xfId="2" applyFont="1" applyBorder="1" applyAlignment="1">
      <alignment horizontal="center"/>
    </xf>
    <xf numFmtId="0" fontId="7" fillId="3" borderId="32" xfId="2" applyFont="1" applyBorder="1" applyAlignment="1">
      <alignment horizontal="center"/>
    </xf>
    <xf numFmtId="0" fontId="7" fillId="15" borderId="70" xfId="5" applyFont="1" applyFill="1" applyBorder="1" applyAlignment="1">
      <alignment horizontal="center"/>
    </xf>
    <xf numFmtId="0" fontId="7" fillId="15" borderId="19" xfId="5" applyFont="1" applyFill="1" applyBorder="1" applyAlignment="1">
      <alignment horizontal="center"/>
    </xf>
    <xf numFmtId="0" fontId="7" fillId="3" borderId="18" xfId="2" applyFont="1" applyBorder="1" applyAlignment="1">
      <alignment horizontal="center"/>
    </xf>
    <xf numFmtId="0" fontId="7" fillId="3" borderId="70" xfId="2" applyFont="1" applyBorder="1" applyAlignment="1">
      <alignment horizontal="center"/>
    </xf>
    <xf numFmtId="0" fontId="7" fillId="3" borderId="19" xfId="2" applyFont="1" applyBorder="1" applyAlignment="1">
      <alignment horizontal="center"/>
    </xf>
    <xf numFmtId="0" fontId="8" fillId="17" borderId="50" xfId="2" applyFont="1" applyFill="1" applyBorder="1" applyAlignment="1">
      <alignment horizontal="center"/>
    </xf>
    <xf numFmtId="0" fontId="8" fillId="17" borderId="51" xfId="2" applyFont="1" applyFill="1" applyBorder="1" applyAlignment="1">
      <alignment horizontal="center"/>
    </xf>
    <xf numFmtId="0" fontId="8" fillId="17" borderId="52" xfId="2" applyFont="1" applyFill="1" applyBorder="1" applyAlignment="1">
      <alignment horizontal="center"/>
    </xf>
    <xf numFmtId="0" fontId="0" fillId="3" borderId="82" xfId="2" applyFont="1" applyBorder="1" applyAlignment="1">
      <alignment horizontal="center"/>
    </xf>
    <xf numFmtId="0" fontId="0" fillId="3" borderId="83" xfId="2" applyFont="1" applyBorder="1" applyAlignment="1">
      <alignment horizontal="center"/>
    </xf>
    <xf numFmtId="0" fontId="0" fillId="3" borderId="84" xfId="2" applyFont="1" applyBorder="1" applyAlignment="1">
      <alignment horizontal="center"/>
    </xf>
    <xf numFmtId="0" fontId="7" fillId="15" borderId="45" xfId="5" applyFont="1" applyFill="1" applyBorder="1" applyAlignment="1">
      <alignment horizontal="center"/>
    </xf>
    <xf numFmtId="0" fontId="7" fillId="15" borderId="46" xfId="5" applyFont="1" applyFill="1" applyBorder="1" applyAlignment="1">
      <alignment horizontal="center"/>
    </xf>
    <xf numFmtId="0" fontId="7" fillId="15" borderId="47" xfId="5" applyFont="1" applyFill="1" applyBorder="1" applyAlignment="1">
      <alignment horizontal="center"/>
    </xf>
    <xf numFmtId="0" fontId="8" fillId="17" borderId="53" xfId="6" applyFont="1" applyFill="1" applyBorder="1" applyAlignment="1">
      <alignment horizontal="center"/>
    </xf>
    <xf numFmtId="0" fontId="8" fillId="17" borderId="64" xfId="6" applyFont="1" applyFill="1" applyBorder="1" applyAlignment="1">
      <alignment horizontal="center"/>
    </xf>
    <xf numFmtId="0" fontId="8" fillId="17" borderId="54" xfId="6" applyFont="1" applyFill="1" applyBorder="1" applyAlignment="1">
      <alignment horizontal="center"/>
    </xf>
    <xf numFmtId="14" fontId="0" fillId="15" borderId="43" xfId="4" applyNumberFormat="1" applyFont="1" applyFill="1" applyBorder="1" applyAlignment="1">
      <alignment horizontal="center"/>
    </xf>
    <xf numFmtId="14" fontId="0" fillId="15" borderId="4" xfId="4" applyNumberFormat="1" applyFont="1" applyFill="1" applyBorder="1" applyAlignment="1">
      <alignment horizontal="center"/>
    </xf>
    <xf numFmtId="14" fontId="0" fillId="15" borderId="44" xfId="4" applyNumberFormat="1" applyFont="1" applyFill="1" applyBorder="1" applyAlignment="1">
      <alignment horizontal="center"/>
    </xf>
    <xf numFmtId="14" fontId="0" fillId="15" borderId="43" xfId="4" quotePrefix="1" applyNumberFormat="1" applyFont="1" applyFill="1" applyBorder="1" applyAlignment="1">
      <alignment horizontal="center"/>
    </xf>
    <xf numFmtId="49" fontId="2" fillId="15" borderId="43" xfId="1" applyNumberFormat="1" applyFont="1" applyFill="1" applyBorder="1" applyAlignment="1">
      <alignment horizontal="center"/>
    </xf>
    <xf numFmtId="49" fontId="2" fillId="15" borderId="44" xfId="1" applyNumberFormat="1" applyFont="1" applyFill="1" applyBorder="1" applyAlignment="1">
      <alignment horizontal="center"/>
    </xf>
    <xf numFmtId="0" fontId="55" fillId="3" borderId="26" xfId="2" quotePrefix="1" applyFont="1" applyBorder="1" applyAlignment="1">
      <alignment horizontal="center"/>
    </xf>
    <xf numFmtId="0" fontId="55" fillId="3" borderId="27" xfId="2" applyFont="1" applyBorder="1" applyAlignment="1">
      <alignment horizontal="center"/>
    </xf>
    <xf numFmtId="0" fontId="55" fillId="3" borderId="28" xfId="2" applyFont="1" applyBorder="1" applyAlignment="1">
      <alignment horizontal="center"/>
    </xf>
    <xf numFmtId="49" fontId="56" fillId="15" borderId="71" xfId="1" applyNumberFormat="1" applyFont="1" applyFill="1" applyBorder="1" applyAlignment="1">
      <alignment horizontal="center"/>
    </xf>
    <xf numFmtId="49" fontId="56" fillId="15" borderId="72" xfId="1" applyNumberFormat="1" applyFont="1" applyFill="1" applyBorder="1" applyAlignment="1">
      <alignment horizontal="center"/>
    </xf>
    <xf numFmtId="0" fontId="55" fillId="15" borderId="26" xfId="5" applyFont="1" applyFill="1" applyBorder="1" applyAlignment="1">
      <alignment horizontal="center"/>
    </xf>
    <xf numFmtId="0" fontId="55" fillId="15" borderId="27" xfId="5" applyFont="1" applyFill="1" applyBorder="1" applyAlignment="1">
      <alignment horizontal="center"/>
    </xf>
    <xf numFmtId="0" fontId="55" fillId="15" borderId="28" xfId="5" applyFont="1" applyFill="1" applyBorder="1" applyAlignment="1">
      <alignment horizontal="center"/>
    </xf>
    <xf numFmtId="49" fontId="56" fillId="15" borderId="12" xfId="1" applyNumberFormat="1" applyFont="1" applyFill="1" applyBorder="1" applyAlignment="1">
      <alignment horizontal="center"/>
    </xf>
    <xf numFmtId="49" fontId="56" fillId="15" borderId="13" xfId="1" applyNumberFormat="1" applyFont="1" applyFill="1" applyBorder="1" applyAlignment="1">
      <alignment horizontal="center"/>
    </xf>
    <xf numFmtId="14" fontId="55" fillId="15" borderId="26" xfId="4" applyNumberFormat="1" applyFont="1" applyFill="1" applyBorder="1" applyAlignment="1">
      <alignment horizontal="center"/>
    </xf>
    <xf numFmtId="14" fontId="55" fillId="15" borderId="27" xfId="4" applyNumberFormat="1" applyFont="1" applyFill="1" applyBorder="1" applyAlignment="1">
      <alignment horizontal="center"/>
    </xf>
    <xf numFmtId="14" fontId="55" fillId="15" borderId="28" xfId="4" applyNumberFormat="1" applyFont="1" applyFill="1" applyBorder="1" applyAlignment="1">
      <alignment horizontal="center"/>
    </xf>
    <xf numFmtId="0" fontId="55" fillId="3" borderId="26" xfId="2" applyFont="1" applyBorder="1" applyAlignment="1">
      <alignment horizontal="center"/>
    </xf>
    <xf numFmtId="0" fontId="55" fillId="3" borderId="20" xfId="2" applyFont="1" applyBorder="1" applyAlignment="1">
      <alignment horizontal="center"/>
    </xf>
    <xf numFmtId="0" fontId="55" fillId="3" borderId="3" xfId="2" applyFont="1" applyBorder="1" applyAlignment="1">
      <alignment horizontal="center"/>
    </xf>
    <xf numFmtId="0" fontId="55" fillId="3" borderId="21" xfId="2" applyFont="1" applyBorder="1" applyAlignment="1">
      <alignment horizontal="center"/>
    </xf>
    <xf numFmtId="49" fontId="56" fillId="15" borderId="97" xfId="1" applyNumberFormat="1" applyFont="1" applyFill="1" applyBorder="1" applyAlignment="1">
      <alignment horizontal="center"/>
    </xf>
    <xf numFmtId="49" fontId="56" fillId="15" borderId="98" xfId="1" applyNumberFormat="1" applyFont="1" applyFill="1" applyBorder="1" applyAlignment="1">
      <alignment horizontal="center"/>
    </xf>
    <xf numFmtId="0" fontId="55" fillId="15" borderId="20" xfId="5" applyFont="1" applyFill="1" applyBorder="1" applyAlignment="1">
      <alignment horizontal="center"/>
    </xf>
    <xf numFmtId="0" fontId="55" fillId="15" borderId="3" xfId="5" applyFont="1" applyFill="1" applyBorder="1" applyAlignment="1">
      <alignment horizontal="center"/>
    </xf>
    <xf numFmtId="0" fontId="55" fillId="15" borderId="21" xfId="5" applyFont="1" applyFill="1" applyBorder="1" applyAlignment="1">
      <alignment horizontal="center"/>
    </xf>
    <xf numFmtId="49" fontId="56" fillId="15" borderId="24" xfId="1" applyNumberFormat="1" applyFont="1" applyFill="1" applyBorder="1" applyAlignment="1">
      <alignment horizontal="center"/>
    </xf>
    <xf numFmtId="49" fontId="56" fillId="15" borderId="25" xfId="1" applyNumberFormat="1" applyFont="1" applyFill="1" applyBorder="1" applyAlignment="1">
      <alignment horizontal="center"/>
    </xf>
    <xf numFmtId="14" fontId="55" fillId="15" borderId="20" xfId="4" applyNumberFormat="1" applyFont="1" applyFill="1" applyBorder="1" applyAlignment="1">
      <alignment horizontal="center"/>
    </xf>
    <xf numFmtId="14" fontId="55" fillId="15" borderId="3" xfId="4" applyNumberFormat="1" applyFont="1" applyFill="1" applyBorder="1" applyAlignment="1">
      <alignment horizontal="center"/>
    </xf>
    <xf numFmtId="14" fontId="55" fillId="15" borderId="21" xfId="4" applyNumberFormat="1" applyFont="1" applyFill="1" applyBorder="1" applyAlignment="1">
      <alignment horizontal="center"/>
    </xf>
    <xf numFmtId="0" fontId="55" fillId="3" borderId="22" xfId="2" applyFont="1" applyBorder="1" applyAlignment="1">
      <alignment horizontal="center"/>
    </xf>
    <xf numFmtId="0" fontId="55" fillId="3" borderId="29" xfId="2" applyFont="1" applyBorder="1" applyAlignment="1">
      <alignment horizontal="center"/>
    </xf>
    <xf numFmtId="0" fontId="55" fillId="3" borderId="23" xfId="2" applyFont="1" applyBorder="1" applyAlignment="1">
      <alignment horizontal="center"/>
    </xf>
    <xf numFmtId="49" fontId="56" fillId="15" borderId="95" xfId="1" applyNumberFormat="1" applyFont="1" applyFill="1" applyBorder="1" applyAlignment="1">
      <alignment horizontal="center"/>
    </xf>
    <xf numFmtId="49" fontId="56" fillId="15" borderId="96" xfId="1" applyNumberFormat="1" applyFont="1" applyFill="1" applyBorder="1" applyAlignment="1">
      <alignment horizontal="center"/>
    </xf>
    <xf numFmtId="0" fontId="55" fillId="15" borderId="22" xfId="5" applyFont="1" applyFill="1" applyBorder="1" applyAlignment="1">
      <alignment horizontal="center"/>
    </xf>
    <xf numFmtId="0" fontId="55" fillId="15" borderId="29" xfId="5" applyFont="1" applyFill="1" applyBorder="1" applyAlignment="1">
      <alignment horizontal="center"/>
    </xf>
    <xf numFmtId="0" fontId="55" fillId="15" borderId="23" xfId="5" applyFont="1" applyFill="1" applyBorder="1" applyAlignment="1">
      <alignment horizontal="center"/>
    </xf>
    <xf numFmtId="0" fontId="56" fillId="15" borderId="66" xfId="1" applyFont="1" applyFill="1" applyBorder="1" applyAlignment="1">
      <alignment horizontal="center"/>
    </xf>
    <xf numFmtId="0" fontId="56" fillId="15" borderId="67" xfId="1" applyFont="1" applyFill="1" applyBorder="1" applyAlignment="1">
      <alignment horizontal="center"/>
    </xf>
    <xf numFmtId="14" fontId="55" fillId="15" borderId="22" xfId="4" applyNumberFormat="1" applyFont="1" applyFill="1" applyBorder="1" applyAlignment="1">
      <alignment horizontal="center"/>
    </xf>
    <xf numFmtId="14" fontId="55" fillId="15" borderId="29" xfId="4" applyNumberFormat="1" applyFont="1" applyFill="1" applyBorder="1" applyAlignment="1">
      <alignment horizontal="center"/>
    </xf>
    <xf numFmtId="14" fontId="55" fillId="15" borderId="23" xfId="4" applyNumberFormat="1" applyFont="1" applyFill="1" applyBorder="1" applyAlignment="1">
      <alignment horizontal="center"/>
    </xf>
    <xf numFmtId="0" fontId="8" fillId="29" borderId="6" xfId="7" applyFont="1" applyFill="1" applyBorder="1" applyAlignment="1">
      <alignment horizontal="center"/>
    </xf>
    <xf numFmtId="0" fontId="8" fillId="29" borderId="7" xfId="7" applyFont="1" applyFill="1" applyBorder="1" applyAlignment="1">
      <alignment horizontal="center"/>
    </xf>
    <xf numFmtId="0" fontId="8" fillId="29" borderId="6" xfId="6" applyFont="1" applyFill="1" applyBorder="1" applyAlignment="1">
      <alignment horizontal="center"/>
    </xf>
    <xf numFmtId="0" fontId="8" fillId="29" borderId="8" xfId="6" applyFont="1" applyFill="1" applyBorder="1" applyAlignment="1">
      <alignment horizontal="center"/>
    </xf>
    <xf numFmtId="0" fontId="8" fillId="29" borderId="7" xfId="6" applyFont="1" applyFill="1" applyBorder="1" applyAlignment="1">
      <alignment horizontal="center"/>
    </xf>
    <xf numFmtId="0" fontId="8" fillId="29" borderId="6" xfId="8" applyFont="1" applyFill="1" applyBorder="1" applyAlignment="1">
      <alignment horizontal="center"/>
    </xf>
    <xf numFmtId="0" fontId="8" fillId="29" borderId="8" xfId="8" applyFont="1" applyFill="1" applyBorder="1" applyAlignment="1">
      <alignment horizontal="center"/>
    </xf>
    <xf numFmtId="0" fontId="8" fillId="29" borderId="7" xfId="8" applyFont="1" applyFill="1" applyBorder="1" applyAlignment="1">
      <alignment horizontal="center"/>
    </xf>
    <xf numFmtId="49" fontId="8" fillId="29" borderId="6" xfId="7" applyNumberFormat="1" applyFont="1" applyFill="1" applyBorder="1" applyAlignment="1">
      <alignment horizontal="center"/>
    </xf>
    <xf numFmtId="49" fontId="8" fillId="29" borderId="7" xfId="7" applyNumberFormat="1" applyFont="1" applyFill="1" applyBorder="1" applyAlignment="1">
      <alignment horizontal="center"/>
    </xf>
    <xf numFmtId="0" fontId="8" fillId="29" borderId="9" xfId="2" applyFont="1" applyFill="1" applyBorder="1" applyAlignment="1">
      <alignment horizontal="center"/>
    </xf>
    <xf numFmtId="0" fontId="8" fillId="29" borderId="10" xfId="2" applyFont="1" applyFill="1" applyBorder="1" applyAlignment="1">
      <alignment horizontal="center"/>
    </xf>
    <xf numFmtId="0" fontId="8" fillId="29" borderId="11" xfId="2" applyFont="1" applyFill="1" applyBorder="1" applyAlignment="1">
      <alignment horizontal="center"/>
    </xf>
    <xf numFmtId="0" fontId="8" fillId="29" borderId="50" xfId="2" applyFont="1" applyFill="1" applyBorder="1" applyAlignment="1">
      <alignment horizontal="center"/>
    </xf>
    <xf numFmtId="0" fontId="8" fillId="29" borderId="51" xfId="2" applyFont="1" applyFill="1" applyBorder="1" applyAlignment="1">
      <alignment horizontal="center"/>
    </xf>
    <xf numFmtId="0" fontId="8" fillId="29" borderId="52" xfId="2" applyFont="1" applyFill="1" applyBorder="1" applyAlignment="1">
      <alignment horizontal="center"/>
    </xf>
    <xf numFmtId="0" fontId="38" fillId="2" borderId="67" xfId="1" applyFont="1" applyBorder="1" applyAlignment="1">
      <alignment horizontal="center"/>
    </xf>
    <xf numFmtId="0" fontId="55" fillId="3" borderId="9" xfId="2" applyFont="1" applyBorder="1" applyAlignment="1">
      <alignment horizontal="center"/>
    </xf>
    <xf numFmtId="0" fontId="55" fillId="3" borderId="10" xfId="2" applyFont="1" applyBorder="1" applyAlignment="1">
      <alignment horizontal="center"/>
    </xf>
    <xf numFmtId="0" fontId="55" fillId="3" borderId="11" xfId="2" applyFont="1" applyBorder="1" applyAlignment="1">
      <alignment horizontal="center"/>
    </xf>
    <xf numFmtId="49" fontId="56" fillId="15" borderId="66" xfId="1" applyNumberFormat="1" applyFont="1" applyFill="1" applyBorder="1" applyAlignment="1">
      <alignment horizontal="center"/>
    </xf>
    <xf numFmtId="49" fontId="56" fillId="15" borderId="67" xfId="1" applyNumberFormat="1" applyFont="1" applyFill="1" applyBorder="1" applyAlignment="1">
      <alignment horizontal="center"/>
    </xf>
    <xf numFmtId="49" fontId="55" fillId="15" borderId="66" xfId="1" applyNumberFormat="1" applyFont="1" applyFill="1" applyBorder="1" applyAlignment="1">
      <alignment horizontal="center"/>
    </xf>
    <xf numFmtId="49" fontId="55" fillId="15" borderId="67" xfId="1" applyNumberFormat="1" applyFont="1" applyFill="1" applyBorder="1" applyAlignment="1">
      <alignment horizontal="center"/>
    </xf>
    <xf numFmtId="0" fontId="55" fillId="15" borderId="6" xfId="5" applyFont="1" applyFill="1" applyBorder="1" applyAlignment="1">
      <alignment horizontal="center"/>
    </xf>
    <xf numFmtId="0" fontId="55" fillId="15" borderId="8" xfId="5" applyFont="1" applyFill="1" applyBorder="1" applyAlignment="1">
      <alignment horizontal="center"/>
    </xf>
    <xf numFmtId="0" fontId="55" fillId="15" borderId="7" xfId="5" applyFont="1" applyFill="1" applyBorder="1" applyAlignment="1">
      <alignment horizontal="center"/>
    </xf>
    <xf numFmtId="0" fontId="55" fillId="15" borderId="9" xfId="5" applyFont="1" applyFill="1" applyBorder="1" applyAlignment="1">
      <alignment horizontal="center"/>
    </xf>
    <xf numFmtId="0" fontId="55" fillId="15" borderId="10" xfId="5" applyFont="1" applyFill="1" applyBorder="1" applyAlignment="1">
      <alignment horizontal="center"/>
    </xf>
    <xf numFmtId="0" fontId="55" fillId="15" borderId="11" xfId="5" applyFont="1" applyFill="1" applyBorder="1" applyAlignment="1">
      <alignment horizontal="center"/>
    </xf>
    <xf numFmtId="0" fontId="55" fillId="3" borderId="6" xfId="2" applyFont="1" applyBorder="1" applyAlignment="1">
      <alignment horizontal="center"/>
    </xf>
    <xf numFmtId="0" fontId="55" fillId="3" borderId="8" xfId="2" applyFont="1" applyBorder="1" applyAlignment="1">
      <alignment horizontal="center"/>
    </xf>
    <xf numFmtId="0" fontId="55" fillId="3" borderId="7" xfId="2" applyFont="1" applyBorder="1" applyAlignment="1">
      <alignment horizontal="center"/>
    </xf>
    <xf numFmtId="0" fontId="0" fillId="3" borderId="9" xfId="2" applyFont="1" applyBorder="1" applyAlignment="1">
      <alignment horizontal="center"/>
    </xf>
    <xf numFmtId="0" fontId="0" fillId="3" borderId="10" xfId="2" applyFont="1" applyBorder="1" applyAlignment="1">
      <alignment horizontal="center"/>
    </xf>
    <xf numFmtId="0" fontId="0" fillId="3" borderId="11" xfId="2" applyFont="1" applyBorder="1" applyAlignment="1">
      <alignment horizontal="center"/>
    </xf>
    <xf numFmtId="0" fontId="0" fillId="15" borderId="22" xfId="5" applyFont="1" applyFill="1" applyBorder="1" applyAlignment="1">
      <alignment horizontal="center"/>
    </xf>
    <xf numFmtId="49" fontId="2" fillId="15" borderId="66" xfId="1" applyNumberFormat="1" applyFont="1" applyFill="1" applyBorder="1" applyAlignment="1">
      <alignment horizontal="center"/>
    </xf>
    <xf numFmtId="49" fontId="2" fillId="15" borderId="67" xfId="1" applyNumberFormat="1" applyFont="1" applyFill="1" applyBorder="1" applyAlignment="1">
      <alignment horizontal="center"/>
    </xf>
    <xf numFmtId="0" fontId="7" fillId="15" borderId="9" xfId="5" applyFont="1" applyFill="1" applyBorder="1" applyAlignment="1">
      <alignment horizontal="center"/>
    </xf>
    <xf numFmtId="0" fontId="4" fillId="15" borderId="10" xfId="5" applyFill="1" applyBorder="1" applyAlignment="1">
      <alignment horizontal="center"/>
    </xf>
    <xf numFmtId="0" fontId="4" fillId="15" borderId="11" xfId="5" applyFill="1" applyBorder="1" applyAlignment="1">
      <alignment horizontal="center"/>
    </xf>
    <xf numFmtId="0" fontId="7" fillId="3" borderId="35" xfId="2" applyFont="1" applyBorder="1" applyAlignment="1">
      <alignment horizontal="center"/>
    </xf>
    <xf numFmtId="0" fontId="7" fillId="3" borderId="36" xfId="2" applyFont="1" applyBorder="1" applyAlignment="1">
      <alignment horizontal="center"/>
    </xf>
    <xf numFmtId="0" fontId="7" fillId="3" borderId="37" xfId="2" applyFont="1" applyBorder="1" applyAlignment="1">
      <alignment horizontal="center"/>
    </xf>
    <xf numFmtId="0" fontId="8" fillId="18" borderId="6" xfId="7" applyFont="1" applyFill="1" applyBorder="1" applyAlignment="1">
      <alignment horizontal="center"/>
    </xf>
    <xf numFmtId="0" fontId="8" fillId="18" borderId="7" xfId="7" applyFont="1" applyFill="1" applyBorder="1" applyAlignment="1">
      <alignment horizontal="center"/>
    </xf>
    <xf numFmtId="0" fontId="8" fillId="18" borderId="6" xfId="6" applyFont="1" applyFill="1" applyBorder="1" applyAlignment="1">
      <alignment horizontal="center"/>
    </xf>
    <xf numFmtId="0" fontId="8" fillId="18" borderId="8" xfId="6" applyFont="1" applyFill="1" applyBorder="1" applyAlignment="1">
      <alignment horizontal="center"/>
    </xf>
    <xf numFmtId="0" fontId="8" fillId="18" borderId="7" xfId="6" applyFont="1" applyFill="1" applyBorder="1" applyAlignment="1">
      <alignment horizontal="center"/>
    </xf>
    <xf numFmtId="0" fontId="8" fillId="18" borderId="6" xfId="8" applyFont="1" applyFill="1" applyBorder="1" applyAlignment="1">
      <alignment horizontal="center"/>
    </xf>
    <xf numFmtId="0" fontId="8" fillId="18" borderId="8" xfId="8" applyFont="1" applyFill="1" applyBorder="1" applyAlignment="1">
      <alignment horizontal="center"/>
    </xf>
    <xf numFmtId="0" fontId="8" fillId="18" borderId="7" xfId="8" applyFont="1" applyFill="1" applyBorder="1" applyAlignment="1">
      <alignment horizontal="center"/>
    </xf>
    <xf numFmtId="49" fontId="8" fillId="18" borderId="6" xfId="7" applyNumberFormat="1" applyFont="1" applyFill="1" applyBorder="1" applyAlignment="1">
      <alignment horizontal="center"/>
    </xf>
    <xf numFmtId="49" fontId="8" fillId="18" borderId="7" xfId="7" applyNumberFormat="1" applyFont="1" applyFill="1" applyBorder="1" applyAlignment="1">
      <alignment horizontal="center"/>
    </xf>
    <xf numFmtId="0" fontId="8" fillId="18" borderId="9" xfId="2" applyFont="1" applyFill="1" applyBorder="1" applyAlignment="1">
      <alignment horizontal="center"/>
    </xf>
    <xf numFmtId="0" fontId="8" fillId="18" borderId="10" xfId="2" applyFont="1" applyFill="1" applyBorder="1" applyAlignment="1">
      <alignment horizontal="center"/>
    </xf>
    <xf numFmtId="0" fontId="8" fillId="18" borderId="11" xfId="2" applyFont="1" applyFill="1" applyBorder="1" applyAlignment="1">
      <alignment horizontal="center"/>
    </xf>
    <xf numFmtId="0" fontId="8" fillId="18" borderId="50" xfId="2" applyFont="1" applyFill="1" applyBorder="1" applyAlignment="1">
      <alignment horizontal="center"/>
    </xf>
    <xf numFmtId="0" fontId="8" fillId="18" borderId="51" xfId="2" applyFont="1" applyFill="1" applyBorder="1" applyAlignment="1">
      <alignment horizontal="center"/>
    </xf>
    <xf numFmtId="0" fontId="8" fillId="18" borderId="52" xfId="2" applyFont="1" applyFill="1" applyBorder="1" applyAlignment="1">
      <alignment horizontal="center"/>
    </xf>
    <xf numFmtId="49" fontId="1" fillId="15" borderId="16" xfId="1" applyNumberFormat="1" applyFont="1" applyFill="1" applyBorder="1" applyAlignment="1">
      <alignment horizontal="center"/>
    </xf>
    <xf numFmtId="49" fontId="9" fillId="15" borderId="17" xfId="1" applyNumberFormat="1" applyFont="1" applyFill="1" applyBorder="1" applyAlignment="1">
      <alignment horizontal="center"/>
    </xf>
    <xf numFmtId="49" fontId="23" fillId="16" borderId="0" xfId="7" applyNumberFormat="1" applyFont="1" applyFill="1" applyAlignment="1">
      <alignment horizontal="center" vertical="center"/>
    </xf>
    <xf numFmtId="49" fontId="33" fillId="15" borderId="12" xfId="1" applyNumberFormat="1" applyFont="1" applyFill="1" applyBorder="1" applyAlignment="1">
      <alignment horizontal="center"/>
    </xf>
    <xf numFmtId="49" fontId="33" fillId="15" borderId="13" xfId="1" applyNumberFormat="1" applyFont="1" applyFill="1" applyBorder="1" applyAlignment="1">
      <alignment horizontal="center"/>
    </xf>
    <xf numFmtId="49" fontId="33" fillId="15" borderId="16" xfId="1" applyNumberFormat="1" applyFont="1" applyFill="1" applyBorder="1" applyAlignment="1">
      <alignment horizontal="center"/>
    </xf>
    <xf numFmtId="49" fontId="33" fillId="15" borderId="17" xfId="1" applyNumberFormat="1" applyFont="1" applyFill="1" applyBorder="1" applyAlignment="1">
      <alignment horizontal="center"/>
    </xf>
    <xf numFmtId="49" fontId="23" fillId="17" borderId="0" xfId="7" applyNumberFormat="1" applyFont="1" applyFill="1" applyAlignment="1">
      <alignment horizontal="center" vertical="center"/>
    </xf>
    <xf numFmtId="49" fontId="1" fillId="15" borderId="68" xfId="1" applyNumberFormat="1" applyFont="1" applyFill="1" applyBorder="1" applyAlignment="1">
      <alignment horizontal="center"/>
    </xf>
    <xf numFmtId="49" fontId="9" fillId="15" borderId="69" xfId="1" applyNumberFormat="1" applyFont="1" applyFill="1" applyBorder="1" applyAlignment="1">
      <alignment horizontal="center"/>
    </xf>
    <xf numFmtId="0" fontId="11" fillId="18" borderId="0" xfId="0" applyFont="1" applyFill="1" applyAlignment="1" applyProtection="1">
      <alignment horizontal="center" vertical="center"/>
      <protection locked="0"/>
    </xf>
    <xf numFmtId="49" fontId="23" fillId="13" borderId="0" xfId="7" applyNumberFormat="1" applyFont="1" applyFill="1" applyAlignment="1">
      <alignment horizontal="center" vertical="center"/>
    </xf>
    <xf numFmtId="49" fontId="0" fillId="10" borderId="0" xfId="0" applyNumberFormat="1" applyFill="1" applyAlignment="1">
      <alignment horizontal="center"/>
    </xf>
    <xf numFmtId="49" fontId="1" fillId="15" borderId="12" xfId="1" applyNumberFormat="1" applyFont="1" applyFill="1" applyBorder="1" applyAlignment="1">
      <alignment horizontal="center"/>
    </xf>
    <xf numFmtId="49" fontId="9" fillId="15" borderId="13" xfId="1" applyNumberFormat="1" applyFont="1" applyFill="1" applyBorder="1" applyAlignment="1">
      <alignment horizontal="center"/>
    </xf>
    <xf numFmtId="49" fontId="48" fillId="15" borderId="14" xfId="1" applyNumberFormat="1" applyFont="1" applyFill="1" applyBorder="1" applyAlignment="1">
      <alignment horizontal="center"/>
    </xf>
    <xf numFmtId="49" fontId="48" fillId="15" borderId="15" xfId="1" applyNumberFormat="1" applyFont="1" applyFill="1" applyBorder="1" applyAlignment="1">
      <alignment horizontal="center"/>
    </xf>
    <xf numFmtId="49" fontId="1" fillId="15" borderId="14" xfId="1" applyNumberFormat="1" applyFont="1" applyFill="1" applyBorder="1" applyAlignment="1">
      <alignment horizontal="center"/>
    </xf>
    <xf numFmtId="49" fontId="9" fillId="15" borderId="15" xfId="1" applyNumberFormat="1" applyFont="1" applyFill="1" applyBorder="1" applyAlignment="1">
      <alignment horizontal="center"/>
    </xf>
    <xf numFmtId="49" fontId="23" fillId="14" borderId="0" xfId="7" applyNumberFormat="1" applyFont="1" applyFill="1" applyAlignment="1">
      <alignment horizontal="center" vertical="center"/>
    </xf>
    <xf numFmtId="49" fontId="46" fillId="15" borderId="22" xfId="1" applyNumberFormat="1" applyFont="1" applyFill="1" applyBorder="1" applyAlignment="1">
      <alignment horizontal="center"/>
    </xf>
    <xf numFmtId="49" fontId="46" fillId="15" borderId="23" xfId="1" applyNumberFormat="1" applyFont="1" applyFill="1" applyBorder="1" applyAlignment="1">
      <alignment horizontal="center"/>
    </xf>
    <xf numFmtId="49" fontId="23" fillId="11" borderId="0" xfId="7" applyNumberFormat="1" applyFont="1" applyFill="1" applyBorder="1" applyAlignment="1">
      <alignment horizontal="center" vertical="center"/>
    </xf>
    <xf numFmtId="0" fontId="23" fillId="12" borderId="0" xfId="7" applyFont="1" applyFill="1" applyAlignment="1">
      <alignment horizontal="center" vertical="center"/>
    </xf>
    <xf numFmtId="0" fontId="0" fillId="10" borderId="0" xfId="0" applyFill="1" applyAlignment="1">
      <alignment horizontal="center"/>
    </xf>
    <xf numFmtId="0" fontId="32" fillId="15" borderId="12" xfId="1" applyFont="1" applyFill="1" applyBorder="1" applyAlignment="1">
      <alignment horizontal="center"/>
    </xf>
    <xf numFmtId="0" fontId="32" fillId="15" borderId="13" xfId="1" applyFont="1" applyFill="1" applyBorder="1" applyAlignment="1">
      <alignment horizontal="center"/>
    </xf>
    <xf numFmtId="0" fontId="32" fillId="15" borderId="16" xfId="1" applyFont="1" applyFill="1" applyBorder="1" applyAlignment="1">
      <alignment horizontal="center"/>
    </xf>
    <xf numFmtId="0" fontId="32" fillId="15" borderId="17" xfId="1" applyFont="1" applyFill="1" applyBorder="1" applyAlignment="1">
      <alignment horizontal="center"/>
    </xf>
    <xf numFmtId="0" fontId="23" fillId="17" borderId="0" xfId="7" applyFont="1" applyFill="1" applyAlignment="1">
      <alignment horizontal="center" vertical="center"/>
    </xf>
    <xf numFmtId="0" fontId="2" fillId="15" borderId="68" xfId="1" applyFont="1" applyFill="1" applyBorder="1" applyAlignment="1">
      <alignment horizontal="center"/>
    </xf>
    <xf numFmtId="0" fontId="2" fillId="15" borderId="69" xfId="1" applyFont="1" applyFill="1" applyBorder="1" applyAlignment="1">
      <alignment horizontal="center"/>
    </xf>
    <xf numFmtId="0" fontId="23" fillId="13" borderId="0" xfId="7" applyFont="1" applyFill="1" applyAlignment="1">
      <alignment horizontal="center" vertical="center"/>
    </xf>
    <xf numFmtId="0" fontId="2" fillId="15" borderId="12" xfId="1" applyFont="1" applyFill="1" applyBorder="1" applyAlignment="1">
      <alignment horizontal="center"/>
    </xf>
    <xf numFmtId="0" fontId="2" fillId="15" borderId="13" xfId="1" applyFont="1" applyFill="1" applyBorder="1" applyAlignment="1">
      <alignment horizontal="center"/>
    </xf>
    <xf numFmtId="0" fontId="46" fillId="15" borderId="14" xfId="1" applyFont="1" applyFill="1" applyBorder="1" applyAlignment="1">
      <alignment horizontal="center"/>
    </xf>
    <xf numFmtId="0" fontId="46" fillId="15" borderId="15" xfId="1" applyFont="1" applyFill="1" applyBorder="1" applyAlignment="1">
      <alignment horizontal="center"/>
    </xf>
    <xf numFmtId="0" fontId="2" fillId="15" borderId="14" xfId="1" applyFont="1" applyFill="1" applyBorder="1" applyAlignment="1">
      <alignment horizontal="center"/>
    </xf>
    <xf numFmtId="0" fontId="2" fillId="15" borderId="15" xfId="1" applyFont="1" applyFill="1" applyBorder="1" applyAlignment="1">
      <alignment horizontal="center"/>
    </xf>
    <xf numFmtId="0" fontId="2" fillId="15" borderId="20" xfId="1" applyFont="1" applyFill="1" applyBorder="1" applyAlignment="1">
      <alignment horizontal="center"/>
    </xf>
    <xf numFmtId="0" fontId="2" fillId="15" borderId="21" xfId="1" applyFont="1" applyFill="1" applyBorder="1" applyAlignment="1">
      <alignment horizontal="center"/>
    </xf>
    <xf numFmtId="0" fontId="46" fillId="15" borderId="22" xfId="1" applyFont="1" applyFill="1" applyBorder="1" applyAlignment="1">
      <alignment horizontal="center"/>
    </xf>
    <xf numFmtId="0" fontId="46" fillId="15" borderId="23" xfId="1" applyFont="1" applyFill="1" applyBorder="1" applyAlignment="1">
      <alignment horizontal="center"/>
    </xf>
    <xf numFmtId="0" fontId="23" fillId="11" borderId="0" xfId="7" applyFont="1" applyFill="1" applyBorder="1" applyAlignment="1">
      <alignment horizontal="center" vertical="center"/>
    </xf>
    <xf numFmtId="0" fontId="23" fillId="14" borderId="0" xfId="7" applyFont="1" applyFill="1" applyAlignment="1">
      <alignment horizontal="center" vertical="center"/>
    </xf>
    <xf numFmtId="0" fontId="1" fillId="15" borderId="12" xfId="1" applyFont="1" applyFill="1" applyBorder="1" applyAlignment="1">
      <alignment horizontal="center"/>
    </xf>
    <xf numFmtId="0" fontId="9" fillId="15" borderId="13" xfId="1" applyFont="1" applyFill="1" applyBorder="1" applyAlignment="1">
      <alignment horizontal="center"/>
    </xf>
    <xf numFmtId="0" fontId="1" fillId="15" borderId="16" xfId="1" applyFont="1" applyFill="1" applyBorder="1" applyAlignment="1">
      <alignment horizontal="center"/>
    </xf>
    <xf numFmtId="0" fontId="9" fillId="15" borderId="17" xfId="1" applyFont="1" applyFill="1" applyBorder="1" applyAlignment="1">
      <alignment horizontal="center"/>
    </xf>
    <xf numFmtId="0" fontId="2" fillId="15" borderId="16" xfId="1" applyFont="1" applyFill="1" applyBorder="1" applyAlignment="1">
      <alignment horizontal="center"/>
    </xf>
    <xf numFmtId="0" fontId="2" fillId="15" borderId="17" xfId="1" applyFont="1" applyFill="1" applyBorder="1" applyAlignment="1">
      <alignment horizontal="center"/>
    </xf>
    <xf numFmtId="0" fontId="23" fillId="16" borderId="0" xfId="7" applyFont="1" applyFill="1" applyAlignment="1">
      <alignment horizontal="center" vertical="center"/>
    </xf>
    <xf numFmtId="0" fontId="2" fillId="15" borderId="26" xfId="1" applyFont="1" applyFill="1" applyBorder="1" applyAlignment="1">
      <alignment horizontal="center" vertical="center"/>
    </xf>
    <xf numFmtId="0" fontId="2" fillId="15" borderId="28" xfId="1" applyFont="1" applyFill="1" applyBorder="1" applyAlignment="1">
      <alignment horizontal="center" vertical="center"/>
    </xf>
    <xf numFmtId="0" fontId="2" fillId="15" borderId="20" xfId="1" applyFont="1" applyFill="1" applyBorder="1" applyAlignment="1">
      <alignment horizontal="center" vertical="center"/>
    </xf>
    <xf numFmtId="0" fontId="2" fillId="15" borderId="21" xfId="1" applyFont="1" applyFill="1" applyBorder="1" applyAlignment="1">
      <alignment horizontal="center" vertical="center"/>
    </xf>
    <xf numFmtId="0" fontId="2" fillId="15" borderId="22" xfId="1" applyFont="1" applyFill="1" applyBorder="1" applyAlignment="1">
      <alignment horizontal="center" vertical="center"/>
    </xf>
    <xf numFmtId="0" fontId="2" fillId="15" borderId="23" xfId="1" applyFont="1" applyFill="1" applyBorder="1" applyAlignment="1">
      <alignment horizontal="center" vertical="center"/>
    </xf>
    <xf numFmtId="0" fontId="2" fillId="15" borderId="26" xfId="1" applyFont="1" applyFill="1" applyBorder="1" applyAlignment="1">
      <alignment horizontal="center"/>
    </xf>
    <xf numFmtId="0" fontId="2" fillId="15" borderId="28" xfId="1" applyFont="1" applyFill="1" applyBorder="1" applyAlignment="1">
      <alignment horizontal="center"/>
    </xf>
    <xf numFmtId="0" fontId="23" fillId="17" borderId="0" xfId="6" applyFont="1" applyFill="1" applyAlignment="1">
      <alignment horizontal="center" vertical="center"/>
    </xf>
    <xf numFmtId="0" fontId="23" fillId="17" borderId="0" xfId="8" applyFont="1" applyFill="1" applyAlignment="1">
      <alignment horizontal="center" vertical="center"/>
    </xf>
    <xf numFmtId="0" fontId="23" fillId="17" borderId="0" xfId="2" applyFont="1" applyFill="1" applyBorder="1" applyAlignment="1">
      <alignment horizontal="center" vertical="center"/>
    </xf>
    <xf numFmtId="0" fontId="16" fillId="2" borderId="68" xfId="1" applyFont="1" applyBorder="1" applyAlignment="1">
      <alignment horizontal="center"/>
    </xf>
    <xf numFmtId="0" fontId="16" fillId="2" borderId="69" xfId="1" applyFont="1" applyBorder="1" applyAlignment="1">
      <alignment horizontal="center"/>
    </xf>
    <xf numFmtId="0" fontId="0" fillId="3" borderId="6" xfId="2" applyFont="1" applyBorder="1" applyAlignment="1">
      <alignment horizontal="center"/>
    </xf>
    <xf numFmtId="0" fontId="0" fillId="3" borderId="8" xfId="2" applyFont="1" applyBorder="1" applyAlignment="1">
      <alignment horizontal="center"/>
    </xf>
    <xf numFmtId="0" fontId="0" fillId="3" borderId="7" xfId="2" applyFont="1" applyBorder="1" applyAlignment="1">
      <alignment horizontal="center"/>
    </xf>
    <xf numFmtId="0" fontId="7" fillId="15" borderId="9" xfId="5" quotePrefix="1" applyFont="1" applyFill="1" applyBorder="1" applyAlignment="1">
      <alignment horizontal="center"/>
    </xf>
    <xf numFmtId="0" fontId="7" fillId="15" borderId="10" xfId="5" applyFont="1" applyFill="1" applyBorder="1" applyAlignment="1">
      <alignment horizontal="center"/>
    </xf>
    <xf numFmtId="0" fontId="7" fillId="15" borderId="11" xfId="5" applyFont="1" applyFill="1" applyBorder="1" applyAlignment="1">
      <alignment horizontal="center"/>
    </xf>
    <xf numFmtId="14" fontId="2" fillId="15" borderId="9" xfId="4" applyNumberFormat="1" applyFill="1" applyBorder="1" applyAlignment="1">
      <alignment horizontal="center"/>
    </xf>
    <xf numFmtId="0" fontId="2" fillId="15" borderId="10" xfId="4" applyFill="1" applyBorder="1" applyAlignment="1">
      <alignment horizontal="center"/>
    </xf>
    <xf numFmtId="0" fontId="2" fillId="15" borderId="11" xfId="4" applyFill="1" applyBorder="1" applyAlignment="1">
      <alignment horizontal="center"/>
    </xf>
    <xf numFmtId="14" fontId="2" fillId="15" borderId="26" xfId="4" applyNumberFormat="1" applyFill="1" applyBorder="1" applyAlignment="1">
      <alignment horizontal="center"/>
    </xf>
    <xf numFmtId="0" fontId="2" fillId="15" borderId="27" xfId="4" applyFill="1" applyBorder="1" applyAlignment="1">
      <alignment horizontal="center"/>
    </xf>
    <xf numFmtId="0" fontId="2" fillId="15" borderId="28" xfId="4" applyFill="1" applyBorder="1" applyAlignment="1">
      <alignment horizontal="center"/>
    </xf>
    <xf numFmtId="0" fontId="32" fillId="15" borderId="22" xfId="5" applyFont="1" applyFill="1" applyBorder="1" applyAlignment="1">
      <alignment horizontal="center"/>
    </xf>
    <xf numFmtId="0" fontId="32" fillId="15" borderId="29" xfId="5" applyFont="1" applyFill="1" applyBorder="1" applyAlignment="1">
      <alignment horizontal="center"/>
    </xf>
    <xf numFmtId="0" fontId="32" fillId="15" borderId="23" xfId="5" applyFont="1" applyFill="1" applyBorder="1" applyAlignment="1">
      <alignment horizontal="center"/>
    </xf>
    <xf numFmtId="14" fontId="32" fillId="15" borderId="22" xfId="4" quotePrefix="1" applyNumberFormat="1" applyFont="1" applyFill="1" applyBorder="1" applyAlignment="1">
      <alignment horizontal="center"/>
    </xf>
    <xf numFmtId="0" fontId="32" fillId="15" borderId="29" xfId="4" applyFont="1" applyFill="1" applyBorder="1" applyAlignment="1">
      <alignment horizontal="center"/>
    </xf>
    <xf numFmtId="0" fontId="32" fillId="15" borderId="23" xfId="4" applyFont="1" applyFill="1" applyBorder="1" applyAlignment="1">
      <alignment horizontal="center"/>
    </xf>
    <xf numFmtId="14" fontId="2" fillId="15" borderId="20" xfId="4" applyNumberFormat="1" applyFill="1" applyBorder="1" applyAlignment="1">
      <alignment horizontal="center"/>
    </xf>
    <xf numFmtId="0" fontId="45" fillId="2" borderId="14" xfId="1" applyFont="1" applyBorder="1" applyAlignment="1">
      <alignment horizontal="center"/>
    </xf>
    <xf numFmtId="0" fontId="45" fillId="2" borderId="15" xfId="1" applyFont="1" applyBorder="1" applyAlignment="1">
      <alignment horizontal="center"/>
    </xf>
    <xf numFmtId="14" fontId="46" fillId="15" borderId="20" xfId="4" applyNumberFormat="1" applyFont="1" applyFill="1" applyBorder="1" applyAlignment="1">
      <alignment horizontal="center"/>
    </xf>
    <xf numFmtId="0" fontId="46" fillId="15" borderId="3" xfId="4" applyFont="1" applyFill="1" applyBorder="1" applyAlignment="1">
      <alignment horizontal="center"/>
    </xf>
    <xf numFmtId="0" fontId="46" fillId="15" borderId="21" xfId="4" applyFont="1" applyFill="1" applyBorder="1" applyAlignment="1">
      <alignment horizontal="center"/>
    </xf>
    <xf numFmtId="0" fontId="23" fillId="16" borderId="0" xfId="6" applyFont="1" applyFill="1" applyAlignment="1">
      <alignment horizontal="center" vertical="center"/>
    </xf>
    <xf numFmtId="0" fontId="23" fillId="16" borderId="0" xfId="8" applyFont="1" applyFill="1" applyAlignment="1">
      <alignment horizontal="center" vertical="center"/>
    </xf>
    <xf numFmtId="0" fontId="23" fillId="16" borderId="0" xfId="2" applyFont="1" applyFill="1" applyBorder="1" applyAlignment="1">
      <alignment horizontal="center" vertical="center"/>
    </xf>
    <xf numFmtId="0" fontId="45" fillId="2" borderId="12" xfId="1" applyFont="1" applyBorder="1" applyAlignment="1">
      <alignment horizontal="center"/>
    </xf>
    <xf numFmtId="0" fontId="45" fillId="2" borderId="13" xfId="1" applyFont="1" applyBorder="1" applyAlignment="1">
      <alignment horizontal="center"/>
    </xf>
    <xf numFmtId="0" fontId="44" fillId="3" borderId="26" xfId="2" applyFont="1" applyBorder="1" applyAlignment="1">
      <alignment horizontal="center"/>
    </xf>
    <xf numFmtId="0" fontId="44" fillId="3" borderId="27" xfId="2" applyFont="1" applyBorder="1" applyAlignment="1">
      <alignment horizontal="center"/>
    </xf>
    <xf numFmtId="0" fontId="44" fillId="3" borderId="28" xfId="2" applyFont="1" applyBorder="1" applyAlignment="1">
      <alignment horizontal="center"/>
    </xf>
    <xf numFmtId="0" fontId="32" fillId="15" borderId="26" xfId="5" quotePrefix="1" applyFont="1" applyFill="1" applyBorder="1" applyAlignment="1">
      <alignment horizontal="center"/>
    </xf>
    <xf numFmtId="0" fontId="32" fillId="15" borderId="27" xfId="5" applyFont="1" applyFill="1" applyBorder="1" applyAlignment="1">
      <alignment horizontal="center"/>
    </xf>
    <xf numFmtId="0" fontId="32" fillId="15" borderId="28" xfId="5" applyFont="1" applyFill="1" applyBorder="1" applyAlignment="1">
      <alignment horizontal="center"/>
    </xf>
    <xf numFmtId="14" fontId="32" fillId="15" borderId="26" xfId="4" quotePrefix="1" applyNumberFormat="1" applyFont="1" applyFill="1" applyBorder="1" applyAlignment="1">
      <alignment horizontal="center"/>
    </xf>
    <xf numFmtId="0" fontId="32" fillId="15" borderId="27" xfId="4" applyFont="1" applyFill="1" applyBorder="1" applyAlignment="1">
      <alignment horizontal="center"/>
    </xf>
    <xf numFmtId="0" fontId="32" fillId="15" borderId="28" xfId="4" applyFont="1" applyFill="1" applyBorder="1" applyAlignment="1">
      <alignment horizontal="center"/>
    </xf>
    <xf numFmtId="0" fontId="23" fillId="13" borderId="0" xfId="6" applyFont="1" applyFill="1" applyAlignment="1">
      <alignment horizontal="center" vertical="center"/>
    </xf>
    <xf numFmtId="0" fontId="23" fillId="13" borderId="0" xfId="8" applyFont="1" applyFill="1" applyAlignment="1">
      <alignment horizontal="center" vertical="center"/>
    </xf>
    <xf numFmtId="0" fontId="23" fillId="13" borderId="3" xfId="2" applyFont="1" applyFill="1" applyBorder="1" applyAlignment="1">
      <alignment horizontal="center" vertical="center"/>
    </xf>
    <xf numFmtId="0" fontId="2" fillId="3" borderId="26" xfId="2" quotePrefix="1" applyFont="1" applyBorder="1" applyAlignment="1">
      <alignment horizontal="center"/>
    </xf>
    <xf numFmtId="0" fontId="2" fillId="3" borderId="27" xfId="2" applyFont="1" applyBorder="1" applyAlignment="1">
      <alignment horizontal="center"/>
    </xf>
    <xf numFmtId="0" fontId="2" fillId="3" borderId="28" xfId="2" applyFont="1" applyBorder="1" applyAlignment="1">
      <alignment horizontal="center"/>
    </xf>
    <xf numFmtId="0" fontId="23" fillId="12" borderId="0" xfId="6" applyFont="1" applyFill="1" applyAlignment="1">
      <alignment horizontal="center" vertical="center"/>
    </xf>
    <xf numFmtId="0" fontId="2" fillId="3" borderId="40" xfId="2" applyFont="1" applyBorder="1" applyAlignment="1">
      <alignment horizontal="center"/>
    </xf>
    <xf numFmtId="0" fontId="2" fillId="3" borderId="41" xfId="2" applyFont="1" applyBorder="1" applyAlignment="1">
      <alignment horizontal="center"/>
    </xf>
    <xf numFmtId="0" fontId="2" fillId="3" borderId="42" xfId="2" applyFont="1" applyBorder="1" applyAlignment="1">
      <alignment horizontal="center"/>
    </xf>
    <xf numFmtId="0" fontId="2" fillId="3" borderId="43" xfId="2" applyFont="1" applyBorder="1" applyAlignment="1">
      <alignment horizontal="center"/>
    </xf>
    <xf numFmtId="0" fontId="2" fillId="3" borderId="4" xfId="2" applyFont="1" applyBorder="1" applyAlignment="1">
      <alignment horizontal="center"/>
    </xf>
    <xf numFmtId="0" fontId="2" fillId="3" borderId="44" xfId="2" applyFont="1" applyBorder="1" applyAlignment="1">
      <alignment horizontal="center"/>
    </xf>
    <xf numFmtId="14" fontId="0" fillId="15" borderId="45" xfId="4" applyNumberFormat="1" applyFont="1" applyFill="1" applyBorder="1" applyAlignment="1">
      <alignment horizontal="center" vertical="center"/>
    </xf>
    <xf numFmtId="14" fontId="0" fillId="15" borderId="46" xfId="4" applyNumberFormat="1" applyFont="1" applyFill="1" applyBorder="1" applyAlignment="1">
      <alignment horizontal="center" vertical="center"/>
    </xf>
    <xf numFmtId="14" fontId="0" fillId="15" borderId="47" xfId="4" applyNumberFormat="1" applyFont="1" applyFill="1" applyBorder="1" applyAlignment="1">
      <alignment horizontal="center" vertical="center"/>
    </xf>
    <xf numFmtId="0" fontId="23" fillId="12" borderId="0" xfId="8" applyFont="1" applyFill="1" applyAlignment="1">
      <alignment horizontal="center" vertical="center"/>
    </xf>
    <xf numFmtId="0" fontId="23" fillId="12" borderId="0" xfId="2" applyFont="1" applyFill="1" applyBorder="1" applyAlignment="1">
      <alignment horizontal="center" vertical="center"/>
    </xf>
    <xf numFmtId="14" fontId="46" fillId="15" borderId="22" xfId="4" quotePrefix="1" applyNumberFormat="1" applyFont="1" applyFill="1" applyBorder="1" applyAlignment="1">
      <alignment horizontal="center"/>
    </xf>
    <xf numFmtId="14" fontId="46" fillId="15" borderId="29" xfId="4" applyNumberFormat="1" applyFont="1" applyFill="1" applyBorder="1" applyAlignment="1">
      <alignment horizontal="center"/>
    </xf>
    <xf numFmtId="14" fontId="46" fillId="15" borderId="23" xfId="4" applyNumberFormat="1" applyFont="1" applyFill="1" applyBorder="1" applyAlignment="1">
      <alignment horizontal="center"/>
    </xf>
    <xf numFmtId="0" fontId="23" fillId="11" borderId="0" xfId="2" applyFont="1" applyFill="1" applyBorder="1" applyAlignment="1">
      <alignment horizontal="center" vertical="center"/>
    </xf>
    <xf numFmtId="0" fontId="2" fillId="3" borderId="26" xfId="2" applyFont="1" applyBorder="1" applyAlignment="1">
      <alignment horizontal="center"/>
    </xf>
    <xf numFmtId="0" fontId="23" fillId="11" borderId="0" xfId="6" applyFont="1" applyFill="1" applyBorder="1" applyAlignment="1">
      <alignment horizontal="center" vertical="center"/>
    </xf>
    <xf numFmtId="0" fontId="23" fillId="11" borderId="0" xfId="8" applyFont="1" applyFill="1" applyBorder="1" applyAlignment="1">
      <alignment horizontal="center" vertical="center"/>
    </xf>
    <xf numFmtId="0" fontId="2" fillId="3" borderId="22" xfId="2" applyFont="1" applyBorder="1" applyAlignment="1">
      <alignment horizontal="center"/>
    </xf>
    <xf numFmtId="0" fontId="2" fillId="3" borderId="29" xfId="2" applyFont="1" applyBorder="1" applyAlignment="1">
      <alignment horizontal="center"/>
    </xf>
    <xf numFmtId="0" fontId="2" fillId="3" borderId="23" xfId="2" applyFont="1" applyBorder="1" applyAlignment="1">
      <alignment horizontal="center"/>
    </xf>
    <xf numFmtId="14" fontId="2" fillId="15" borderId="22" xfId="4" applyNumberFormat="1" applyFill="1" applyBorder="1" applyAlignment="1">
      <alignment horizontal="center"/>
    </xf>
    <xf numFmtId="0" fontId="23" fillId="14" borderId="0" xfId="6" applyFont="1" applyFill="1" applyAlignment="1">
      <alignment horizontal="center" vertical="center"/>
    </xf>
    <xf numFmtId="0" fontId="23" fillId="14" borderId="0" xfId="8" applyFont="1" applyFill="1" applyAlignment="1">
      <alignment horizontal="center" vertical="center"/>
    </xf>
    <xf numFmtId="0" fontId="23" fillId="14" borderId="0" xfId="2" applyFont="1" applyFill="1" applyBorder="1" applyAlignment="1">
      <alignment horizontal="center" vertical="center"/>
    </xf>
    <xf numFmtId="0" fontId="0" fillId="3" borderId="40" xfId="2" applyFont="1" applyBorder="1" applyAlignment="1">
      <alignment horizontal="center"/>
    </xf>
    <xf numFmtId="0" fontId="0" fillId="3" borderId="41" xfId="2" applyFont="1" applyBorder="1" applyAlignment="1">
      <alignment horizontal="center"/>
    </xf>
    <xf numFmtId="0" fontId="0" fillId="3" borderId="42" xfId="2" applyFont="1" applyBorder="1" applyAlignment="1">
      <alignment horizontal="center"/>
    </xf>
    <xf numFmtId="49" fontId="2" fillId="15" borderId="12" xfId="1" applyNumberFormat="1" applyFont="1" applyFill="1" applyBorder="1" applyAlignment="1">
      <alignment horizontal="center"/>
    </xf>
    <xf numFmtId="49" fontId="2" fillId="15" borderId="13" xfId="1" applyNumberFormat="1" applyFont="1" applyFill="1" applyBorder="1" applyAlignment="1">
      <alignment horizontal="center"/>
    </xf>
    <xf numFmtId="49" fontId="2" fillId="15" borderId="16" xfId="1" applyNumberFormat="1" applyFont="1" applyFill="1" applyBorder="1" applyAlignment="1">
      <alignment horizontal="center"/>
    </xf>
    <xf numFmtId="49" fontId="2" fillId="15" borderId="17" xfId="1" applyNumberFormat="1" applyFont="1" applyFill="1" applyBorder="1" applyAlignment="1">
      <alignment horizontal="center"/>
    </xf>
    <xf numFmtId="49" fontId="2" fillId="15" borderId="68" xfId="1" applyNumberFormat="1" applyFont="1" applyFill="1" applyBorder="1" applyAlignment="1">
      <alignment horizontal="center"/>
    </xf>
    <xf numFmtId="49" fontId="2" fillId="15" borderId="69" xfId="1" applyNumberFormat="1" applyFont="1" applyFill="1" applyBorder="1" applyAlignment="1">
      <alignment horizontal="center"/>
    </xf>
    <xf numFmtId="49" fontId="23" fillId="34" borderId="0" xfId="7" applyNumberFormat="1" applyFont="1" applyFill="1" applyAlignment="1">
      <alignment horizontal="center" vertical="center"/>
    </xf>
    <xf numFmtId="49" fontId="46" fillId="15" borderId="97" xfId="1" applyNumberFormat="1" applyFont="1" applyFill="1" applyBorder="1" applyAlignment="1">
      <alignment horizontal="center"/>
    </xf>
    <xf numFmtId="49" fontId="46" fillId="15" borderId="98" xfId="1" applyNumberFormat="1" applyFont="1" applyFill="1" applyBorder="1" applyAlignment="1">
      <alignment horizontal="center"/>
    </xf>
    <xf numFmtId="49" fontId="46" fillId="15" borderId="14" xfId="1" applyNumberFormat="1" applyFont="1" applyFill="1" applyBorder="1" applyAlignment="1">
      <alignment horizontal="center"/>
    </xf>
    <xf numFmtId="49" fontId="46" fillId="15" borderId="15" xfId="1" applyNumberFormat="1" applyFont="1" applyFill="1" applyBorder="1" applyAlignment="1">
      <alignment horizontal="center"/>
    </xf>
    <xf numFmtId="49" fontId="2" fillId="15" borderId="14" xfId="1" applyNumberFormat="1" applyFont="1" applyFill="1" applyBorder="1" applyAlignment="1">
      <alignment horizontal="center"/>
    </xf>
    <xf numFmtId="49" fontId="2" fillId="15" borderId="15" xfId="1" applyNumberFormat="1" applyFont="1" applyFill="1" applyBorder="1" applyAlignment="1">
      <alignment horizontal="center"/>
    </xf>
    <xf numFmtId="49" fontId="23" fillId="11" borderId="0" xfId="7" applyNumberFormat="1" applyFont="1" applyFill="1" applyAlignment="1">
      <alignment horizontal="center" vertical="center"/>
    </xf>
    <xf numFmtId="0" fontId="2" fillId="15" borderId="20" xfId="4" applyNumberFormat="1" applyFill="1" applyBorder="1" applyAlignment="1" applyProtection="1">
      <alignment horizontal="center"/>
      <protection locked="0"/>
    </xf>
    <xf numFmtId="0" fontId="2" fillId="15" borderId="3" xfId="4" applyNumberFormat="1" applyFill="1" applyBorder="1" applyAlignment="1" applyProtection="1">
      <alignment horizontal="center"/>
      <protection locked="0"/>
    </xf>
    <xf numFmtId="0" fontId="2" fillId="15" borderId="21" xfId="4" applyNumberFormat="1" applyFill="1" applyBorder="1" applyAlignment="1" applyProtection="1">
      <alignment horizontal="center"/>
      <protection locked="0"/>
    </xf>
    <xf numFmtId="0" fontId="41" fillId="15" borderId="43" xfId="9" applyNumberFormat="1" applyFont="1" applyFill="1" applyBorder="1" applyAlignment="1" applyProtection="1">
      <alignment horizontal="center"/>
      <protection locked="0"/>
    </xf>
    <xf numFmtId="0" fontId="41" fillId="15" borderId="4" xfId="9" applyNumberFormat="1" applyFont="1" applyFill="1" applyBorder="1" applyAlignment="1" applyProtection="1">
      <alignment horizontal="center"/>
      <protection locked="0"/>
    </xf>
    <xf numFmtId="0" fontId="41" fillId="15" borderId="44" xfId="9" applyNumberFormat="1" applyFont="1" applyFill="1" applyBorder="1" applyAlignment="1" applyProtection="1">
      <alignment horizontal="center"/>
      <protection locked="0"/>
    </xf>
    <xf numFmtId="14" fontId="7" fillId="15" borderId="26" xfId="4" applyNumberFormat="1" applyFont="1" applyFill="1" applyBorder="1" applyAlignment="1" applyProtection="1">
      <alignment horizontal="center"/>
      <protection locked="0"/>
    </xf>
    <xf numFmtId="0" fontId="7" fillId="15" borderId="27" xfId="4" applyFont="1" applyFill="1" applyBorder="1" applyAlignment="1" applyProtection="1">
      <alignment horizontal="center"/>
      <protection locked="0"/>
    </xf>
    <xf numFmtId="0" fontId="7" fillId="15" borderId="28" xfId="4" applyFont="1" applyFill="1" applyBorder="1" applyAlignment="1" applyProtection="1">
      <alignment horizontal="center"/>
      <protection locked="0"/>
    </xf>
    <xf numFmtId="14" fontId="7" fillId="15" borderId="22" xfId="4" applyNumberFormat="1" applyFont="1" applyFill="1" applyBorder="1" applyAlignment="1" applyProtection="1">
      <alignment horizontal="center"/>
      <protection locked="0"/>
    </xf>
    <xf numFmtId="0" fontId="7" fillId="15" borderId="29" xfId="4" applyFont="1" applyFill="1" applyBorder="1" applyAlignment="1" applyProtection="1">
      <alignment horizontal="center"/>
      <protection locked="0"/>
    </xf>
    <xf numFmtId="0" fontId="7" fillId="15" borderId="23" xfId="4" applyFont="1" applyFill="1" applyBorder="1" applyAlignment="1" applyProtection="1">
      <alignment horizontal="center"/>
      <protection locked="0"/>
    </xf>
    <xf numFmtId="0" fontId="23" fillId="13" borderId="0" xfId="2" applyFont="1" applyFill="1" applyBorder="1" applyAlignment="1">
      <alignment horizontal="center" vertical="center"/>
    </xf>
    <xf numFmtId="0" fontId="7" fillId="15" borderId="40" xfId="4" applyNumberFormat="1" applyFont="1" applyFill="1" applyBorder="1" applyAlignment="1" applyProtection="1">
      <alignment horizontal="center"/>
      <protection locked="0"/>
    </xf>
    <xf numFmtId="0" fontId="7" fillId="15" borderId="41" xfId="4" applyNumberFormat="1" applyFont="1" applyFill="1" applyBorder="1" applyAlignment="1" applyProtection="1">
      <alignment horizontal="center"/>
      <protection locked="0"/>
    </xf>
    <xf numFmtId="0" fontId="7" fillId="15" borderId="42" xfId="4" applyNumberFormat="1" applyFont="1" applyFill="1" applyBorder="1" applyAlignment="1" applyProtection="1">
      <alignment horizontal="center"/>
      <protection locked="0"/>
    </xf>
    <xf numFmtId="0" fontId="46" fillId="15" borderId="43" xfId="4" applyNumberFormat="1" applyFont="1" applyFill="1" applyBorder="1" applyAlignment="1" applyProtection="1">
      <alignment horizontal="center"/>
      <protection locked="0"/>
    </xf>
    <xf numFmtId="0" fontId="46" fillId="15" borderId="4" xfId="4" applyNumberFormat="1" applyFont="1" applyFill="1" applyBorder="1" applyAlignment="1" applyProtection="1">
      <alignment horizontal="center"/>
      <protection locked="0"/>
    </xf>
    <xf numFmtId="0" fontId="46" fillId="15" borderId="44" xfId="4" applyNumberFormat="1" applyFont="1" applyFill="1" applyBorder="1" applyAlignment="1" applyProtection="1">
      <alignment horizontal="center"/>
      <protection locked="0"/>
    </xf>
    <xf numFmtId="0" fontId="46" fillId="15" borderId="20" xfId="4" applyNumberFormat="1" applyFont="1" applyFill="1" applyBorder="1" applyAlignment="1" applyProtection="1">
      <alignment horizontal="center"/>
      <protection locked="0"/>
    </xf>
    <xf numFmtId="0" fontId="46" fillId="15" borderId="3" xfId="4" applyNumberFormat="1" applyFont="1" applyFill="1" applyBorder="1" applyAlignment="1" applyProtection="1">
      <alignment horizontal="center"/>
      <protection locked="0"/>
    </xf>
    <xf numFmtId="0" fontId="46" fillId="15" borderId="21" xfId="4" applyNumberFormat="1" applyFont="1" applyFill="1" applyBorder="1" applyAlignment="1" applyProtection="1">
      <alignment horizontal="center"/>
      <protection locked="0"/>
    </xf>
    <xf numFmtId="14" fontId="46" fillId="15" borderId="22" xfId="4" applyNumberFormat="1" applyFont="1" applyFill="1" applyBorder="1" applyAlignment="1" applyProtection="1">
      <alignment horizontal="center"/>
      <protection locked="0"/>
    </xf>
    <xf numFmtId="0" fontId="46" fillId="15" borderId="29" xfId="4" applyFont="1" applyFill="1" applyBorder="1" applyAlignment="1" applyProtection="1">
      <alignment horizontal="center"/>
      <protection locked="0"/>
    </xf>
    <xf numFmtId="0" fontId="46" fillId="15" borderId="23" xfId="4" applyFont="1" applyFill="1" applyBorder="1" applyAlignment="1" applyProtection="1">
      <alignment horizontal="center"/>
      <protection locked="0"/>
    </xf>
    <xf numFmtId="0" fontId="23" fillId="11" borderId="3" xfId="2" applyFont="1" applyFill="1" applyBorder="1" applyAlignment="1">
      <alignment horizontal="center" vertical="center"/>
    </xf>
    <xf numFmtId="0" fontId="2" fillId="15" borderId="26" xfId="4" applyNumberFormat="1" applyFill="1" applyBorder="1" applyAlignment="1" applyProtection="1">
      <alignment horizontal="center"/>
      <protection locked="0"/>
    </xf>
    <xf numFmtId="0" fontId="2" fillId="15" borderId="27" xfId="4" applyNumberFormat="1" applyFill="1" applyBorder="1" applyAlignment="1" applyProtection="1">
      <alignment horizontal="center"/>
      <protection locked="0"/>
    </xf>
    <xf numFmtId="0" fontId="2" fillId="15" borderId="28" xfId="4" applyNumberFormat="1" applyFill="1" applyBorder="1" applyAlignment="1" applyProtection="1">
      <alignment horizontal="center"/>
      <protection locked="0"/>
    </xf>
    <xf numFmtId="0" fontId="41" fillId="15" borderId="20" xfId="9" applyNumberFormat="1" applyFont="1" applyFill="1" applyBorder="1" applyAlignment="1" applyProtection="1">
      <alignment horizontal="center"/>
      <protection locked="0"/>
    </xf>
    <xf numFmtId="0" fontId="41" fillId="15" borderId="3" xfId="9" applyNumberFormat="1" applyFont="1" applyFill="1" applyBorder="1" applyAlignment="1" applyProtection="1">
      <alignment horizontal="center"/>
      <protection locked="0"/>
    </xf>
    <xf numFmtId="0" fontId="41" fillId="15" borderId="21" xfId="9" applyNumberFormat="1" applyFont="1" applyFill="1" applyBorder="1" applyAlignment="1" applyProtection="1">
      <alignment horizontal="center"/>
      <protection locked="0"/>
    </xf>
    <xf numFmtId="0" fontId="2" fillId="15" borderId="20" xfId="9" applyNumberFormat="1" applyFont="1" applyFill="1" applyBorder="1" applyAlignment="1" applyProtection="1">
      <alignment horizontal="center"/>
      <protection locked="0"/>
    </xf>
    <xf numFmtId="0" fontId="2" fillId="15" borderId="3" xfId="9" applyNumberFormat="1" applyFont="1" applyFill="1" applyBorder="1" applyAlignment="1" applyProtection="1">
      <alignment horizontal="center"/>
      <protection locked="0"/>
    </xf>
    <xf numFmtId="0" fontId="2" fillId="15" borderId="21" xfId="9" applyNumberFormat="1" applyFont="1" applyFill="1" applyBorder="1" applyAlignment="1" applyProtection="1">
      <alignment horizontal="center"/>
      <protection locked="0"/>
    </xf>
    <xf numFmtId="0" fontId="23" fillId="35" borderId="0" xfId="0" applyFont="1" applyFill="1" applyAlignment="1">
      <alignment horizontal="center" vertical="center"/>
    </xf>
    <xf numFmtId="0" fontId="2" fillId="15" borderId="20" xfId="5" applyFont="1" applyFill="1" applyBorder="1" applyAlignment="1" applyProtection="1">
      <alignment horizontal="center"/>
      <protection locked="0"/>
    </xf>
    <xf numFmtId="0" fontId="2" fillId="15" borderId="3" xfId="5" applyFont="1" applyFill="1" applyBorder="1" applyAlignment="1" applyProtection="1">
      <alignment horizontal="center"/>
      <protection locked="0"/>
    </xf>
    <xf numFmtId="0" fontId="2" fillId="15" borderId="21" xfId="5" applyFont="1" applyFill="1" applyBorder="1" applyAlignment="1" applyProtection="1">
      <alignment horizontal="center"/>
      <protection locked="0"/>
    </xf>
    <xf numFmtId="14" fontId="2" fillId="15" borderId="20" xfId="4" applyNumberFormat="1" applyFill="1" applyBorder="1" applyAlignment="1" applyProtection="1">
      <alignment horizontal="center"/>
      <protection locked="0"/>
    </xf>
    <xf numFmtId="0" fontId="2" fillId="15" borderId="3" xfId="4" applyFill="1" applyBorder="1" applyAlignment="1" applyProtection="1">
      <alignment horizontal="center"/>
      <protection locked="0"/>
    </xf>
    <xf numFmtId="0" fontId="2" fillId="15" borderId="21" xfId="4" applyFill="1" applyBorder="1" applyAlignment="1" applyProtection="1">
      <alignment horizontal="center"/>
      <protection locked="0"/>
    </xf>
    <xf numFmtId="14" fontId="22" fillId="2" borderId="68" xfId="1" applyNumberFormat="1" applyFont="1" applyBorder="1" applyAlignment="1">
      <alignment horizontal="center"/>
    </xf>
    <xf numFmtId="0" fontId="22" fillId="2" borderId="69" xfId="1" applyFont="1" applyBorder="1" applyAlignment="1">
      <alignment horizontal="center"/>
    </xf>
    <xf numFmtId="0" fontId="2" fillId="3" borderId="6" xfId="2" applyFont="1" applyBorder="1" applyAlignment="1">
      <alignment horizontal="center"/>
    </xf>
    <xf numFmtId="0" fontId="2" fillId="3" borderId="8" xfId="2" applyFont="1" applyBorder="1" applyAlignment="1">
      <alignment horizontal="center"/>
    </xf>
    <xf numFmtId="0" fontId="2" fillId="3" borderId="7" xfId="2" applyFont="1" applyBorder="1" applyAlignment="1">
      <alignment horizontal="center"/>
    </xf>
    <xf numFmtId="14" fontId="7" fillId="15" borderId="9" xfId="5" applyNumberFormat="1" applyFont="1" applyFill="1" applyBorder="1" applyAlignment="1">
      <alignment horizontal="center"/>
    </xf>
    <xf numFmtId="14" fontId="7" fillId="15" borderId="9" xfId="4" applyNumberFormat="1" applyFont="1" applyFill="1" applyBorder="1" applyAlignment="1">
      <alignment horizontal="center"/>
    </xf>
    <xf numFmtId="0" fontId="7" fillId="15" borderId="10" xfId="4" applyFont="1" applyFill="1" applyBorder="1" applyAlignment="1">
      <alignment horizontal="center"/>
    </xf>
    <xf numFmtId="0" fontId="7" fillId="15" borderId="11" xfId="4" applyFont="1" applyFill="1" applyBorder="1" applyAlignment="1">
      <alignment horizontal="center"/>
    </xf>
    <xf numFmtId="0" fontId="41" fillId="15" borderId="22" xfId="9" applyNumberFormat="1" applyFont="1" applyFill="1" applyBorder="1" applyAlignment="1" applyProtection="1">
      <alignment horizontal="center"/>
      <protection locked="0"/>
    </xf>
    <xf numFmtId="0" fontId="41" fillId="15" borderId="29" xfId="9" applyNumberFormat="1" applyFont="1" applyFill="1" applyBorder="1" applyAlignment="1" applyProtection="1">
      <alignment horizontal="center"/>
      <protection locked="0"/>
    </xf>
    <xf numFmtId="0" fontId="41" fillId="15" borderId="23" xfId="9" applyNumberFormat="1" applyFont="1" applyFill="1" applyBorder="1" applyAlignment="1" applyProtection="1">
      <alignment horizontal="center"/>
      <protection locked="0"/>
    </xf>
    <xf numFmtId="0" fontId="7" fillId="15" borderId="20" xfId="4" applyNumberFormat="1" applyFont="1" applyFill="1" applyBorder="1" applyAlignment="1" applyProtection="1">
      <alignment horizontal="center"/>
      <protection locked="0"/>
    </xf>
    <xf numFmtId="0" fontId="7" fillId="15" borderId="3" xfId="4" applyNumberFormat="1" applyFont="1" applyFill="1" applyBorder="1" applyAlignment="1" applyProtection="1">
      <alignment horizontal="center"/>
      <protection locked="0"/>
    </xf>
    <xf numFmtId="0" fontId="7" fillId="15" borderId="21" xfId="4" applyNumberFormat="1" applyFont="1" applyFill="1" applyBorder="1" applyAlignment="1" applyProtection="1">
      <alignment horizontal="center"/>
      <protection locked="0"/>
    </xf>
    <xf numFmtId="0" fontId="7" fillId="15" borderId="26" xfId="4" applyNumberFormat="1" applyFont="1" applyFill="1" applyBorder="1" applyAlignment="1" applyProtection="1">
      <alignment horizontal="center"/>
      <protection locked="0"/>
    </xf>
    <xf numFmtId="0" fontId="7" fillId="15" borderId="27" xfId="4" applyNumberFormat="1" applyFont="1" applyFill="1" applyBorder="1" applyAlignment="1" applyProtection="1">
      <alignment horizontal="center"/>
      <protection locked="0"/>
    </xf>
    <xf numFmtId="0" fontId="7" fillId="15" borderId="28" xfId="4" applyNumberFormat="1" applyFont="1" applyFill="1" applyBorder="1" applyAlignment="1" applyProtection="1">
      <alignment horizontal="center"/>
      <protection locked="0"/>
    </xf>
    <xf numFmtId="0" fontId="7" fillId="15" borderId="22" xfId="4" quotePrefix="1" applyNumberFormat="1" applyFont="1" applyFill="1" applyBorder="1" applyAlignment="1" applyProtection="1">
      <alignment horizontal="center"/>
      <protection locked="0"/>
    </xf>
    <xf numFmtId="0" fontId="7" fillId="15" borderId="29" xfId="4" quotePrefix="1" applyNumberFormat="1" applyFont="1" applyFill="1" applyBorder="1" applyAlignment="1" applyProtection="1">
      <alignment horizontal="center"/>
      <protection locked="0"/>
    </xf>
    <xf numFmtId="0" fontId="7" fillId="15" borderId="23" xfId="4" quotePrefix="1" applyNumberFormat="1" applyFont="1" applyFill="1" applyBorder="1" applyAlignment="1" applyProtection="1">
      <alignment horizontal="center"/>
      <protection locked="0"/>
    </xf>
    <xf numFmtId="0" fontId="41" fillId="15" borderId="9" xfId="9" applyNumberFormat="1" applyFont="1" applyFill="1" applyBorder="1" applyAlignment="1" applyProtection="1">
      <alignment horizontal="center"/>
      <protection locked="0"/>
    </xf>
    <xf numFmtId="0" fontId="41" fillId="15" borderId="10" xfId="9" applyNumberFormat="1" applyFont="1" applyFill="1" applyBorder="1" applyAlignment="1" applyProtection="1">
      <alignment horizontal="center"/>
      <protection locked="0"/>
    </xf>
    <xf numFmtId="0" fontId="41" fillId="15" borderId="11" xfId="9" applyNumberFormat="1" applyFont="1" applyFill="1" applyBorder="1" applyAlignment="1" applyProtection="1">
      <alignment horizontal="center"/>
      <protection locked="0"/>
    </xf>
    <xf numFmtId="0" fontId="49" fillId="2" borderId="26" xfId="1" applyFont="1" applyBorder="1" applyAlignment="1">
      <alignment horizontal="center"/>
    </xf>
    <xf numFmtId="0" fontId="49" fillId="2" borderId="28" xfId="1" applyFont="1" applyBorder="1" applyAlignment="1">
      <alignment horizontal="center"/>
    </xf>
    <xf numFmtId="14" fontId="7" fillId="15" borderId="26" xfId="4" applyNumberFormat="1" applyFont="1" applyFill="1" applyBorder="1" applyAlignment="1">
      <alignment horizontal="center"/>
    </xf>
    <xf numFmtId="0" fontId="7" fillId="15" borderId="27" xfId="4" applyFont="1" applyFill="1" applyBorder="1" applyAlignment="1">
      <alignment horizontal="center"/>
    </xf>
    <xf numFmtId="0" fontId="7" fillId="15" borderId="28" xfId="4" applyFont="1" applyFill="1" applyBorder="1" applyAlignment="1">
      <alignment horizontal="center"/>
    </xf>
    <xf numFmtId="0" fontId="49" fillId="2" borderId="22" xfId="1" quotePrefix="1" applyFont="1" applyBorder="1" applyAlignment="1">
      <alignment horizontal="center"/>
    </xf>
    <xf numFmtId="0" fontId="49" fillId="2" borderId="23" xfId="1" applyFont="1" applyBorder="1" applyAlignment="1">
      <alignment horizontal="center"/>
    </xf>
    <xf numFmtId="14" fontId="7" fillId="15" borderId="22" xfId="4" applyNumberFormat="1" applyFont="1" applyFill="1" applyBorder="1" applyAlignment="1">
      <alignment horizontal="center"/>
    </xf>
    <xf numFmtId="0" fontId="7" fillId="15" borderId="29" xfId="4" applyFont="1" applyFill="1" applyBorder="1" applyAlignment="1">
      <alignment horizontal="center"/>
    </xf>
    <xf numFmtId="0" fontId="7" fillId="15" borderId="23" xfId="4" applyFont="1" applyFill="1" applyBorder="1" applyAlignment="1">
      <alignment horizontal="center"/>
    </xf>
    <xf numFmtId="0" fontId="22" fillId="2" borderId="16" xfId="1" applyFont="1" applyBorder="1" applyAlignment="1">
      <alignment horizontal="center"/>
    </xf>
    <xf numFmtId="0" fontId="22" fillId="2" borderId="17" xfId="1" applyFont="1" applyBorder="1" applyAlignment="1">
      <alignment horizontal="center"/>
    </xf>
    <xf numFmtId="0" fontId="42" fillId="40" borderId="14" xfId="1" applyFont="1" applyFill="1" applyBorder="1" applyAlignment="1">
      <alignment horizontal="center"/>
    </xf>
    <xf numFmtId="0" fontId="42" fillId="40" borderId="15" xfId="1" applyFont="1" applyFill="1" applyBorder="1" applyAlignment="1">
      <alignment horizontal="center"/>
    </xf>
    <xf numFmtId="14" fontId="7" fillId="15" borderId="43" xfId="4" applyNumberFormat="1" applyFont="1" applyFill="1" applyBorder="1" applyAlignment="1">
      <alignment horizontal="center"/>
    </xf>
    <xf numFmtId="14" fontId="7" fillId="15" borderId="4" xfId="4" applyNumberFormat="1" applyFont="1" applyFill="1" applyBorder="1" applyAlignment="1">
      <alignment horizontal="center"/>
    </xf>
    <xf numFmtId="14" fontId="7" fillId="15" borderId="44" xfId="4" applyNumberFormat="1" applyFont="1" applyFill="1" applyBorder="1" applyAlignment="1">
      <alignment horizontal="center"/>
    </xf>
    <xf numFmtId="0" fontId="22" fillId="2" borderId="14" xfId="1" applyFont="1" applyBorder="1" applyAlignment="1">
      <alignment horizontal="center"/>
    </xf>
    <xf numFmtId="0" fontId="22" fillId="2" borderId="15" xfId="1" applyFont="1" applyBorder="1" applyAlignment="1">
      <alignment horizontal="center"/>
    </xf>
    <xf numFmtId="14" fontId="7" fillId="15" borderId="20" xfId="4" applyNumberFormat="1" applyFont="1" applyFill="1" applyBorder="1" applyAlignment="1">
      <alignment horizontal="center"/>
    </xf>
    <xf numFmtId="0" fontId="7" fillId="15" borderId="3" xfId="4" applyFont="1" applyFill="1" applyBorder="1" applyAlignment="1">
      <alignment horizontal="center"/>
    </xf>
    <xf numFmtId="0" fontId="7" fillId="15" borderId="21" xfId="4" applyFont="1" applyFill="1" applyBorder="1" applyAlignment="1">
      <alignment horizontal="center"/>
    </xf>
    <xf numFmtId="0" fontId="22" fillId="40" borderId="14" xfId="1" applyFont="1" applyFill="1" applyBorder="1" applyAlignment="1">
      <alignment horizontal="center"/>
    </xf>
    <xf numFmtId="0" fontId="22" fillId="40" borderId="15" xfId="1" applyFont="1" applyFill="1" applyBorder="1" applyAlignment="1">
      <alignment horizontal="center"/>
    </xf>
    <xf numFmtId="0" fontId="50" fillId="2" borderId="14" xfId="1" applyFont="1" applyBorder="1" applyAlignment="1">
      <alignment horizontal="center"/>
    </xf>
    <xf numFmtId="0" fontId="50" fillId="2" borderId="15" xfId="1" applyFont="1" applyBorder="1" applyAlignment="1">
      <alignment horizontal="center"/>
    </xf>
    <xf numFmtId="0" fontId="44" fillId="3" borderId="43" xfId="2" applyFont="1" applyBorder="1" applyAlignment="1">
      <alignment horizontal="center"/>
    </xf>
    <xf numFmtId="0" fontId="44" fillId="3" borderId="4" xfId="2" applyFont="1" applyBorder="1" applyAlignment="1">
      <alignment horizontal="center"/>
    </xf>
    <xf numFmtId="0" fontId="44" fillId="3" borderId="44" xfId="2" applyFont="1" applyBorder="1" applyAlignment="1">
      <alignment horizontal="center"/>
    </xf>
    <xf numFmtId="0" fontId="46" fillId="15" borderId="43" xfId="5" applyFont="1" applyFill="1" applyBorder="1" applyAlignment="1">
      <alignment horizontal="center"/>
    </xf>
    <xf numFmtId="0" fontId="46" fillId="15" borderId="4" xfId="5" applyFont="1" applyFill="1" applyBorder="1" applyAlignment="1">
      <alignment horizontal="center"/>
    </xf>
    <xf numFmtId="0" fontId="46" fillId="15" borderId="44" xfId="5" applyFont="1" applyFill="1" applyBorder="1" applyAlignment="1">
      <alignment horizontal="center"/>
    </xf>
    <xf numFmtId="14" fontId="46" fillId="15" borderId="43" xfId="4" applyNumberFormat="1" applyFont="1" applyFill="1" applyBorder="1" applyAlignment="1">
      <alignment horizontal="center"/>
    </xf>
    <xf numFmtId="14" fontId="46" fillId="15" borderId="4" xfId="4" applyNumberFormat="1" applyFont="1" applyFill="1" applyBorder="1" applyAlignment="1">
      <alignment horizontal="center"/>
    </xf>
    <xf numFmtId="14" fontId="46" fillId="15" borderId="44" xfId="4" applyNumberFormat="1" applyFont="1" applyFill="1" applyBorder="1" applyAlignment="1">
      <alignment horizontal="center"/>
    </xf>
    <xf numFmtId="0" fontId="46" fillId="3" borderId="20" xfId="2" applyFont="1" applyBorder="1" applyAlignment="1">
      <alignment horizontal="center"/>
    </xf>
    <xf numFmtId="0" fontId="46" fillId="3" borderId="3" xfId="2" applyFont="1" applyBorder="1" applyAlignment="1">
      <alignment horizontal="center"/>
    </xf>
    <xf numFmtId="0" fontId="46" fillId="3" borderId="21" xfId="2" applyFont="1" applyBorder="1" applyAlignment="1">
      <alignment horizontal="center"/>
    </xf>
    <xf numFmtId="0" fontId="23" fillId="13" borderId="0" xfId="8" applyFont="1" applyFill="1" applyBorder="1" applyAlignment="1">
      <alignment horizontal="center" vertical="center"/>
    </xf>
    <xf numFmtId="0" fontId="22" fillId="2" borderId="12" xfId="1" applyFont="1" applyBorder="1" applyAlignment="1">
      <alignment horizontal="center"/>
    </xf>
    <xf numFmtId="0" fontId="22" fillId="2" borderId="13" xfId="1" applyFont="1" applyBorder="1" applyAlignment="1">
      <alignment horizontal="center"/>
    </xf>
    <xf numFmtId="0" fontId="22" fillId="2" borderId="22" xfId="1" applyFont="1" applyBorder="1" applyAlignment="1">
      <alignment horizontal="center"/>
    </xf>
    <xf numFmtId="0" fontId="22" fillId="2" borderId="23" xfId="1" applyFont="1" applyBorder="1" applyAlignment="1">
      <alignment horizontal="center"/>
    </xf>
    <xf numFmtId="0" fontId="22" fillId="2" borderId="20" xfId="1" applyFont="1" applyBorder="1" applyAlignment="1">
      <alignment horizontal="center"/>
    </xf>
    <xf numFmtId="0" fontId="22" fillId="2" borderId="21" xfId="1" applyFont="1" applyBorder="1" applyAlignment="1">
      <alignment horizontal="center"/>
    </xf>
    <xf numFmtId="0" fontId="22" fillId="2" borderId="43" xfId="1" applyFont="1" applyBorder="1" applyAlignment="1">
      <alignment horizontal="center"/>
    </xf>
    <xf numFmtId="0" fontId="22" fillId="2" borderId="44" xfId="1" applyFont="1" applyBorder="1" applyAlignment="1">
      <alignment horizontal="center"/>
    </xf>
    <xf numFmtId="0" fontId="23" fillId="11" borderId="0" xfId="7" applyFont="1" applyFill="1" applyAlignment="1">
      <alignment horizontal="center" vertical="center"/>
    </xf>
    <xf numFmtId="0" fontId="23" fillId="11" borderId="0" xfId="6" applyFont="1" applyFill="1" applyAlignment="1">
      <alignment horizontal="center" vertical="center"/>
    </xf>
    <xf numFmtId="0" fontId="23" fillId="11" borderId="0" xfId="8" applyFont="1" applyFill="1" applyAlignment="1">
      <alignment horizontal="center" vertical="center"/>
    </xf>
    <xf numFmtId="0" fontId="22" fillId="2" borderId="26" xfId="1" applyFont="1" applyBorder="1" applyAlignment="1">
      <alignment horizontal="center"/>
    </xf>
    <xf numFmtId="0" fontId="22" fillId="2" borderId="28" xfId="1" applyFont="1" applyBorder="1" applyAlignment="1">
      <alignment horizontal="center"/>
    </xf>
    <xf numFmtId="0" fontId="21" fillId="2" borderId="20" xfId="1" applyFont="1" applyBorder="1" applyAlignment="1">
      <alignment horizontal="center"/>
    </xf>
    <xf numFmtId="0" fontId="21" fillId="2" borderId="21" xfId="1" applyFont="1" applyBorder="1" applyAlignment="1">
      <alignment horizontal="center"/>
    </xf>
    <xf numFmtId="49" fontId="7" fillId="15" borderId="20" xfId="5" quotePrefix="1" applyNumberFormat="1" applyFont="1" applyFill="1" applyBorder="1" applyAlignment="1">
      <alignment horizontal="center"/>
    </xf>
    <xf numFmtId="49" fontId="7" fillId="15" borderId="3" xfId="5" applyNumberFormat="1" applyFont="1" applyFill="1" applyBorder="1" applyAlignment="1">
      <alignment horizontal="center"/>
    </xf>
    <xf numFmtId="49" fontId="7" fillId="15" borderId="21" xfId="5" applyNumberFormat="1" applyFont="1" applyFill="1" applyBorder="1" applyAlignment="1">
      <alignment horizontal="center"/>
    </xf>
    <xf numFmtId="0" fontId="50" fillId="2" borderId="22" xfId="1" applyFont="1" applyBorder="1" applyAlignment="1">
      <alignment horizontal="center"/>
    </xf>
    <xf numFmtId="0" fontId="50" fillId="2" borderId="23" xfId="1" applyFont="1" applyBorder="1" applyAlignment="1">
      <alignment horizontal="center"/>
    </xf>
    <xf numFmtId="49" fontId="46" fillId="15" borderId="22" xfId="5" applyNumberFormat="1" applyFont="1" applyFill="1" applyBorder="1" applyAlignment="1">
      <alignment horizontal="center"/>
    </xf>
    <xf numFmtId="49" fontId="46" fillId="15" borderId="29" xfId="5" applyNumberFormat="1" applyFont="1" applyFill="1" applyBorder="1" applyAlignment="1">
      <alignment horizontal="center"/>
    </xf>
    <xf numFmtId="49" fontId="46" fillId="15" borderId="23" xfId="5" applyNumberFormat="1" applyFont="1" applyFill="1" applyBorder="1" applyAlignment="1">
      <alignment horizontal="center"/>
    </xf>
    <xf numFmtId="14" fontId="46" fillId="15" borderId="22" xfId="4" applyNumberFormat="1" applyFont="1" applyFill="1" applyBorder="1" applyAlignment="1">
      <alignment horizontal="center"/>
    </xf>
    <xf numFmtId="0" fontId="46" fillId="15" borderId="29" xfId="4" applyFont="1" applyFill="1" applyBorder="1" applyAlignment="1">
      <alignment horizontal="center"/>
    </xf>
    <xf numFmtId="0" fontId="46" fillId="15" borderId="23" xfId="4" applyFont="1" applyFill="1" applyBorder="1" applyAlignment="1">
      <alignment horizontal="center"/>
    </xf>
    <xf numFmtId="49" fontId="7" fillId="15" borderId="20" xfId="5" applyNumberFormat="1" applyFont="1" applyFill="1" applyBorder="1" applyAlignment="1">
      <alignment horizontal="center"/>
    </xf>
    <xf numFmtId="0" fontId="23" fillId="35" borderId="0" xfId="8" applyFont="1" applyFill="1" applyAlignment="1">
      <alignment horizontal="center" vertical="center"/>
    </xf>
    <xf numFmtId="0" fontId="21" fillId="2" borderId="26" xfId="1" applyFont="1" applyBorder="1" applyAlignment="1">
      <alignment horizontal="center"/>
    </xf>
    <xf numFmtId="0" fontId="21" fillId="2" borderId="28" xfId="1" applyFont="1" applyBorder="1" applyAlignment="1">
      <alignment horizontal="center"/>
    </xf>
    <xf numFmtId="49" fontId="7" fillId="15" borderId="26" xfId="5" applyNumberFormat="1" applyFont="1" applyFill="1" applyBorder="1" applyAlignment="1">
      <alignment horizontal="center"/>
    </xf>
    <xf numFmtId="49" fontId="7" fillId="15" borderId="27" xfId="5" applyNumberFormat="1" applyFont="1" applyFill="1" applyBorder="1" applyAlignment="1">
      <alignment horizontal="center"/>
    </xf>
    <xf numFmtId="49" fontId="7" fillId="15" borderId="28" xfId="5" applyNumberFormat="1" applyFont="1" applyFill="1" applyBorder="1" applyAlignment="1">
      <alignment horizontal="center"/>
    </xf>
    <xf numFmtId="0" fontId="23" fillId="34" borderId="0" xfId="7" applyFont="1" applyFill="1" applyAlignment="1">
      <alignment horizontal="center" vertical="center"/>
    </xf>
    <xf numFmtId="0" fontId="23" fillId="34" borderId="0" xfId="6" applyFont="1" applyFill="1" applyAlignment="1">
      <alignment horizontal="center" vertical="center"/>
    </xf>
    <xf numFmtId="0" fontId="23" fillId="34" borderId="0" xfId="8" applyFont="1" applyFill="1" applyAlignment="1">
      <alignment horizontal="center" vertical="center"/>
    </xf>
    <xf numFmtId="0" fontId="23" fillId="34" borderId="0" xfId="2" applyFont="1" applyFill="1" applyBorder="1" applyAlignment="1">
      <alignment horizontal="center" vertical="center"/>
    </xf>
    <xf numFmtId="0" fontId="22" fillId="2" borderId="68" xfId="1" applyFont="1" applyBorder="1" applyAlignment="1">
      <alignment horizontal="center"/>
    </xf>
    <xf numFmtId="14" fontId="7" fillId="15" borderId="9" xfId="4" applyNumberFormat="1" applyFont="1" applyFill="1" applyBorder="1" applyAlignment="1" applyProtection="1">
      <alignment horizontal="center"/>
      <protection locked="0"/>
    </xf>
    <xf numFmtId="0" fontId="7" fillId="15" borderId="10" xfId="4" applyFont="1" applyFill="1" applyBorder="1" applyAlignment="1" applyProtection="1">
      <alignment horizontal="center"/>
      <protection locked="0"/>
    </xf>
    <xf numFmtId="0" fontId="7" fillId="15" borderId="11" xfId="4" applyFont="1" applyFill="1" applyBorder="1" applyAlignment="1" applyProtection="1">
      <alignment horizontal="center"/>
      <protection locked="0"/>
    </xf>
    <xf numFmtId="0" fontId="23" fillId="18" borderId="0" xfId="7" applyFont="1" applyFill="1" applyAlignment="1">
      <alignment horizontal="center" vertical="center"/>
    </xf>
    <xf numFmtId="0" fontId="23" fillId="18" borderId="0" xfId="6" applyFont="1" applyFill="1" applyAlignment="1">
      <alignment horizontal="center" vertical="center"/>
    </xf>
    <xf numFmtId="0" fontId="23" fillId="18" borderId="0" xfId="8" applyFont="1" applyFill="1" applyAlignment="1">
      <alignment horizontal="center" vertical="center"/>
    </xf>
    <xf numFmtId="0" fontId="23" fillId="18" borderId="0" xfId="2" applyFont="1" applyFill="1" applyBorder="1" applyAlignment="1">
      <alignment horizontal="center" vertical="center"/>
    </xf>
    <xf numFmtId="49" fontId="23" fillId="18" borderId="0" xfId="7" applyNumberFormat="1" applyFont="1" applyFill="1" applyAlignment="1">
      <alignment horizontal="center" vertical="center"/>
    </xf>
    <xf numFmtId="0" fontId="0" fillId="0" borderId="0" xfId="0" applyAlignment="1">
      <alignment horizontal="center"/>
    </xf>
    <xf numFmtId="0" fontId="1" fillId="15" borderId="43" xfId="1" applyFont="1" applyFill="1" applyBorder="1" applyAlignment="1">
      <alignment horizontal="center"/>
    </xf>
    <xf numFmtId="0" fontId="1" fillId="15" borderId="44" xfId="1" applyFont="1" applyFill="1" applyBorder="1" applyAlignment="1">
      <alignment horizontal="center"/>
    </xf>
    <xf numFmtId="0" fontId="1" fillId="15" borderId="71" xfId="1" applyFont="1" applyFill="1" applyBorder="1" applyAlignment="1">
      <alignment horizontal="center"/>
    </xf>
    <xf numFmtId="0" fontId="9" fillId="15" borderId="72" xfId="1" applyFont="1" applyFill="1" applyBorder="1" applyAlignment="1">
      <alignment horizontal="center"/>
    </xf>
    <xf numFmtId="0" fontId="1" fillId="15" borderId="6" xfId="1" applyFont="1" applyFill="1" applyBorder="1" applyAlignment="1">
      <alignment horizontal="center"/>
    </xf>
    <xf numFmtId="0" fontId="9" fillId="15" borderId="7" xfId="1" applyFont="1" applyFill="1" applyBorder="1" applyAlignment="1">
      <alignment horizontal="center"/>
    </xf>
    <xf numFmtId="14" fontId="7" fillId="15" borderId="10" xfId="4" applyNumberFormat="1" applyFont="1" applyFill="1" applyBorder="1" applyAlignment="1">
      <alignment horizontal="center"/>
    </xf>
    <xf numFmtId="14" fontId="7" fillId="15" borderId="11" xfId="4" applyNumberFormat="1" applyFont="1" applyFill="1" applyBorder="1" applyAlignment="1">
      <alignment horizontal="center"/>
    </xf>
    <xf numFmtId="14" fontId="7" fillId="15" borderId="29" xfId="4" applyNumberFormat="1" applyFont="1" applyFill="1" applyBorder="1" applyAlignment="1">
      <alignment horizontal="center"/>
    </xf>
    <xf numFmtId="14" fontId="7" fillId="15" borderId="23" xfId="4" applyNumberFormat="1" applyFont="1" applyFill="1" applyBorder="1" applyAlignment="1">
      <alignment horizontal="center"/>
    </xf>
    <xf numFmtId="14" fontId="7" fillId="15" borderId="3" xfId="4" applyNumberFormat="1" applyFont="1" applyFill="1" applyBorder="1" applyAlignment="1">
      <alignment horizontal="center"/>
    </xf>
    <xf numFmtId="14" fontId="7" fillId="15" borderId="21" xfId="4" applyNumberFormat="1" applyFont="1" applyFill="1" applyBorder="1" applyAlignment="1">
      <alignment horizontal="center"/>
    </xf>
    <xf numFmtId="14" fontId="7" fillId="15" borderId="27" xfId="4" applyNumberFormat="1" applyFont="1" applyFill="1" applyBorder="1" applyAlignment="1">
      <alignment horizontal="center"/>
    </xf>
    <xf numFmtId="14" fontId="7" fillId="15" borderId="28" xfId="4" applyNumberFormat="1" applyFont="1" applyFill="1" applyBorder="1" applyAlignment="1">
      <alignment horizontal="center"/>
    </xf>
    <xf numFmtId="14" fontId="7" fillId="15" borderId="22" xfId="5" applyNumberFormat="1" applyFont="1" applyFill="1" applyBorder="1" applyAlignment="1">
      <alignment horizontal="center"/>
    </xf>
    <xf numFmtId="14" fontId="7" fillId="15" borderId="20" xfId="5" applyNumberFormat="1" applyFont="1" applyFill="1" applyBorder="1" applyAlignment="1">
      <alignment horizontal="center"/>
    </xf>
    <xf numFmtId="0" fontId="1" fillId="15" borderId="26" xfId="1" applyFont="1" applyFill="1" applyBorder="1" applyAlignment="1">
      <alignment horizontal="center"/>
    </xf>
    <xf numFmtId="0" fontId="9" fillId="15" borderId="28" xfId="1" applyFont="1" applyFill="1" applyBorder="1" applyAlignment="1">
      <alignment horizontal="center"/>
    </xf>
    <xf numFmtId="0" fontId="1" fillId="15" borderId="20" xfId="1" applyFont="1" applyFill="1" applyBorder="1" applyAlignment="1">
      <alignment horizontal="center"/>
    </xf>
    <xf numFmtId="0" fontId="9" fillId="15" borderId="21" xfId="1" applyFont="1" applyFill="1" applyBorder="1" applyAlignment="1">
      <alignment horizontal="center"/>
    </xf>
    <xf numFmtId="0" fontId="45" fillId="2" borderId="26" xfId="1" applyFont="1" applyBorder="1" applyAlignment="1">
      <alignment horizontal="center"/>
    </xf>
    <xf numFmtId="0" fontId="45" fillId="2" borderId="28" xfId="1" applyFont="1" applyBorder="1" applyAlignment="1">
      <alignment horizontal="center"/>
    </xf>
    <xf numFmtId="0" fontId="1" fillId="15" borderId="22" xfId="1" applyFont="1" applyFill="1" applyBorder="1" applyAlignment="1">
      <alignment horizontal="center"/>
    </xf>
    <xf numFmtId="0" fontId="9" fillId="15" borderId="23" xfId="1" applyFont="1" applyFill="1" applyBorder="1" applyAlignment="1">
      <alignment horizontal="center"/>
    </xf>
    <xf numFmtId="0" fontId="9" fillId="15" borderId="44" xfId="1" applyFont="1" applyFill="1" applyBorder="1" applyAlignment="1">
      <alignment horizontal="center"/>
    </xf>
    <xf numFmtId="0" fontId="9" fillId="0" borderId="0" xfId="1" applyFont="1" applyFill="1" applyBorder="1" applyAlignment="1">
      <alignment horizontal="center"/>
    </xf>
    <xf numFmtId="14" fontId="7" fillId="15" borderId="6" xfId="4" applyNumberFormat="1" applyFont="1" applyFill="1" applyBorder="1" applyAlignment="1">
      <alignment horizontal="center"/>
    </xf>
    <xf numFmtId="14" fontId="7" fillId="15" borderId="8" xfId="4" applyNumberFormat="1" applyFont="1" applyFill="1" applyBorder="1" applyAlignment="1">
      <alignment horizontal="center"/>
    </xf>
    <xf numFmtId="14" fontId="7" fillId="15" borderId="7" xfId="4" applyNumberFormat="1" applyFont="1" applyFill="1" applyBorder="1" applyAlignment="1">
      <alignment horizontal="center"/>
    </xf>
    <xf numFmtId="0" fontId="23" fillId="11" borderId="48" xfId="2" applyFont="1" applyFill="1" applyBorder="1" applyAlignment="1">
      <alignment horizontal="center" vertical="center"/>
    </xf>
    <xf numFmtId="0" fontId="23" fillId="11" borderId="4" xfId="2" applyFont="1" applyFill="1" applyBorder="1" applyAlignment="1">
      <alignment horizontal="center" vertical="center"/>
    </xf>
    <xf numFmtId="0" fontId="23" fillId="11" borderId="49" xfId="2" applyFont="1" applyFill="1" applyBorder="1" applyAlignment="1">
      <alignment horizontal="center" vertical="center"/>
    </xf>
    <xf numFmtId="0" fontId="7" fillId="15" borderId="40" xfId="4" applyNumberFormat="1" applyFont="1" applyFill="1" applyBorder="1" applyAlignment="1">
      <alignment horizontal="center"/>
    </xf>
    <xf numFmtId="0" fontId="7" fillId="15" borderId="41" xfId="4" applyNumberFormat="1" applyFont="1" applyFill="1" applyBorder="1" applyAlignment="1">
      <alignment horizontal="center"/>
    </xf>
    <xf numFmtId="0" fontId="7" fillId="15" borderId="42" xfId="4" applyNumberFormat="1" applyFont="1" applyFill="1" applyBorder="1" applyAlignment="1">
      <alignment horizontal="center"/>
    </xf>
    <xf numFmtId="0" fontId="7" fillId="15" borderId="43" xfId="4" applyNumberFormat="1" applyFont="1" applyFill="1" applyBorder="1" applyAlignment="1">
      <alignment horizontal="center"/>
    </xf>
    <xf numFmtId="0" fontId="7" fillId="15" borderId="4" xfId="4" applyNumberFormat="1" applyFont="1" applyFill="1" applyBorder="1" applyAlignment="1">
      <alignment horizontal="center"/>
    </xf>
    <xf numFmtId="0" fontId="7" fillId="15" borderId="44" xfId="4" applyNumberFormat="1" applyFont="1" applyFill="1" applyBorder="1" applyAlignment="1">
      <alignment horizontal="center"/>
    </xf>
    <xf numFmtId="49" fontId="23" fillId="17" borderId="0" xfId="2" applyNumberFormat="1" applyFont="1" applyFill="1" applyBorder="1" applyAlignment="1">
      <alignment horizontal="center" vertical="center"/>
    </xf>
    <xf numFmtId="0" fontId="45" fillId="2" borderId="68" xfId="1" applyFont="1" applyBorder="1" applyAlignment="1">
      <alignment horizontal="center"/>
    </xf>
    <xf numFmtId="0" fontId="45" fillId="2" borderId="69" xfId="1" applyFont="1" applyBorder="1" applyAlignment="1">
      <alignment horizontal="center"/>
    </xf>
    <xf numFmtId="49" fontId="7" fillId="15" borderId="20" xfId="4" quotePrefix="1" applyNumberFormat="1" applyFont="1" applyFill="1" applyBorder="1" applyAlignment="1">
      <alignment horizontal="center"/>
    </xf>
    <xf numFmtId="49" fontId="7" fillId="15" borderId="3" xfId="4" applyNumberFormat="1" applyFont="1" applyFill="1" applyBorder="1" applyAlignment="1">
      <alignment horizontal="center"/>
    </xf>
    <xf numFmtId="49" fontId="7" fillId="15" borderId="21" xfId="4" applyNumberFormat="1" applyFont="1" applyFill="1" applyBorder="1" applyAlignment="1">
      <alignment horizontal="center"/>
    </xf>
    <xf numFmtId="0" fontId="35" fillId="2" borderId="16" xfId="1" applyFont="1" applyBorder="1" applyAlignment="1">
      <alignment horizontal="center"/>
    </xf>
    <xf numFmtId="0" fontId="35" fillId="2" borderId="17" xfId="1" applyFont="1" applyBorder="1" applyAlignment="1">
      <alignment horizontal="center"/>
    </xf>
    <xf numFmtId="49" fontId="7" fillId="15" borderId="22" xfId="4" applyNumberFormat="1" applyFont="1" applyFill="1" applyBorder="1" applyAlignment="1">
      <alignment horizontal="center"/>
    </xf>
    <xf numFmtId="49" fontId="7" fillId="15" borderId="29" xfId="4" applyNumberFormat="1" applyFont="1" applyFill="1" applyBorder="1" applyAlignment="1">
      <alignment horizontal="center"/>
    </xf>
    <xf numFmtId="49" fontId="7" fillId="15" borderId="23" xfId="4" applyNumberFormat="1" applyFont="1" applyFill="1" applyBorder="1" applyAlignment="1">
      <alignment horizontal="center"/>
    </xf>
    <xf numFmtId="49" fontId="23" fillId="16" borderId="0" xfId="2" applyNumberFormat="1" applyFont="1" applyFill="1" applyBorder="1" applyAlignment="1">
      <alignment horizontal="center" vertical="center"/>
    </xf>
    <xf numFmtId="0" fontId="35" fillId="2" borderId="14" xfId="1" applyFont="1" applyBorder="1" applyAlignment="1">
      <alignment horizontal="center"/>
    </xf>
    <xf numFmtId="0" fontId="35" fillId="2" borderId="15" xfId="1" applyFont="1" applyBorder="1" applyAlignment="1">
      <alignment horizontal="center"/>
    </xf>
    <xf numFmtId="49" fontId="7" fillId="15" borderId="20" xfId="4" applyNumberFormat="1" applyFont="1" applyFill="1" applyBorder="1" applyAlignment="1">
      <alignment horizontal="center"/>
    </xf>
    <xf numFmtId="0" fontId="7" fillId="15" borderId="45" xfId="4" applyNumberFormat="1" applyFont="1" applyFill="1" applyBorder="1" applyAlignment="1">
      <alignment horizontal="center"/>
    </xf>
    <xf numFmtId="0" fontId="7" fillId="15" borderId="46" xfId="4" applyNumberFormat="1" applyFont="1" applyFill="1" applyBorder="1" applyAlignment="1">
      <alignment horizontal="center"/>
    </xf>
    <xf numFmtId="0" fontId="7" fillId="15" borderId="47" xfId="4" applyNumberFormat="1" applyFont="1" applyFill="1" applyBorder="1" applyAlignment="1">
      <alignment horizontal="center"/>
    </xf>
    <xf numFmtId="49" fontId="23" fillId="13" borderId="0" xfId="2" applyNumberFormat="1" applyFont="1" applyFill="1" applyBorder="1" applyAlignment="1">
      <alignment horizontal="center" vertical="center"/>
    </xf>
    <xf numFmtId="0" fontId="35" fillId="2" borderId="12" xfId="1" applyFont="1" applyBorder="1" applyAlignment="1">
      <alignment horizontal="center"/>
    </xf>
    <xf numFmtId="0" fontId="35" fillId="2" borderId="13" xfId="1" applyFont="1" applyBorder="1" applyAlignment="1">
      <alignment horizontal="center"/>
    </xf>
    <xf numFmtId="49" fontId="7" fillId="15" borderId="26" xfId="4" applyNumberFormat="1" applyFont="1" applyFill="1" applyBorder="1" applyAlignment="1">
      <alignment horizontal="center"/>
    </xf>
    <xf numFmtId="49" fontId="7" fillId="15" borderId="27" xfId="4" applyNumberFormat="1" applyFont="1" applyFill="1" applyBorder="1" applyAlignment="1">
      <alignment horizontal="center"/>
    </xf>
    <xf numFmtId="49" fontId="7" fillId="15" borderId="28" xfId="4" applyNumberFormat="1" applyFont="1" applyFill="1" applyBorder="1" applyAlignment="1">
      <alignment horizontal="center"/>
    </xf>
    <xf numFmtId="0" fontId="57" fillId="2" borderId="22" xfId="1" applyFont="1" applyBorder="1" applyAlignment="1">
      <alignment horizontal="center"/>
    </xf>
    <xf numFmtId="0" fontId="57" fillId="2" borderId="23" xfId="1" applyFont="1" applyBorder="1" applyAlignment="1">
      <alignment horizontal="center"/>
    </xf>
    <xf numFmtId="49" fontId="23" fillId="14" borderId="0" xfId="2" applyNumberFormat="1" applyFont="1" applyFill="1" applyBorder="1" applyAlignment="1">
      <alignment horizontal="center" vertical="center"/>
    </xf>
    <xf numFmtId="14" fontId="7" fillId="15" borderId="40" xfId="4" applyNumberFormat="1" applyFont="1" applyFill="1" applyBorder="1" applyAlignment="1">
      <alignment horizontal="center"/>
    </xf>
    <xf numFmtId="14" fontId="7" fillId="15" borderId="41" xfId="4" applyNumberFormat="1" applyFont="1" applyFill="1" applyBorder="1" applyAlignment="1">
      <alignment horizontal="center"/>
    </xf>
    <xf numFmtId="14" fontId="7" fillId="15" borderId="42" xfId="4" applyNumberFormat="1" applyFont="1" applyFill="1" applyBorder="1" applyAlignment="1">
      <alignment horizontal="center"/>
    </xf>
    <xf numFmtId="0" fontId="57" fillId="2" borderId="20" xfId="1" applyFont="1" applyBorder="1" applyAlignment="1">
      <alignment horizontal="center"/>
    </xf>
    <xf numFmtId="0" fontId="57" fillId="2" borderId="21" xfId="1" applyFont="1" applyBorder="1" applyAlignment="1">
      <alignment horizontal="center"/>
    </xf>
    <xf numFmtId="0" fontId="10" fillId="15" borderId="43" xfId="9" applyFill="1" applyBorder="1" applyAlignment="1">
      <alignment horizontal="center"/>
    </xf>
    <xf numFmtId="0" fontId="10" fillId="15" borderId="4" xfId="9" applyFill="1" applyBorder="1" applyAlignment="1">
      <alignment horizontal="center"/>
    </xf>
    <xf numFmtId="0" fontId="10" fillId="15" borderId="44" xfId="9" applyFill="1" applyBorder="1" applyAlignment="1">
      <alignment horizontal="center"/>
    </xf>
    <xf numFmtId="49" fontId="7" fillId="15" borderId="20" xfId="4" applyNumberFormat="1" applyFont="1" applyFill="1" applyBorder="1" applyAlignment="1">
      <alignment horizontal="center" vertical="center"/>
    </xf>
    <xf numFmtId="49" fontId="7" fillId="15" borderId="3" xfId="4" applyNumberFormat="1" applyFont="1" applyFill="1" applyBorder="1" applyAlignment="1">
      <alignment horizontal="center" vertical="center"/>
    </xf>
    <xf numFmtId="49" fontId="7" fillId="15" borderId="21" xfId="4" applyNumberFormat="1" applyFont="1" applyFill="1" applyBorder="1" applyAlignment="1">
      <alignment horizontal="center" vertical="center"/>
    </xf>
    <xf numFmtId="49" fontId="23" fillId="11" borderId="3" xfId="2" applyNumberFormat="1" applyFont="1" applyFill="1" applyBorder="1" applyAlignment="1">
      <alignment horizontal="center" vertical="center"/>
    </xf>
    <xf numFmtId="0" fontId="45" fillId="2" borderId="20" xfId="1" applyFont="1" applyBorder="1" applyAlignment="1">
      <alignment horizontal="center"/>
    </xf>
    <xf numFmtId="0" fontId="45" fillId="2" borderId="21" xfId="1" applyFont="1" applyBorder="1" applyAlignment="1">
      <alignment horizontal="center"/>
    </xf>
    <xf numFmtId="0" fontId="23" fillId="12" borderId="0" xfId="6" quotePrefix="1" applyFont="1" applyFill="1" applyAlignment="1">
      <alignment horizontal="center" vertical="center"/>
    </xf>
    <xf numFmtId="0" fontId="23" fillId="34" borderId="0" xfId="7" applyFont="1" applyFill="1" applyAlignment="1">
      <alignment horizontal="center"/>
    </xf>
    <xf numFmtId="49" fontId="23" fillId="34" borderId="0" xfId="2" applyNumberFormat="1" applyFont="1" applyFill="1" applyBorder="1" applyAlignment="1">
      <alignment horizontal="center" vertical="center"/>
    </xf>
    <xf numFmtId="49" fontId="7" fillId="15" borderId="9" xfId="4" applyNumberFormat="1" applyFont="1" applyFill="1" applyBorder="1" applyAlignment="1">
      <alignment horizontal="center"/>
    </xf>
    <xf numFmtId="49" fontId="7" fillId="15" borderId="10" xfId="4" applyNumberFormat="1" applyFont="1" applyFill="1" applyBorder="1" applyAlignment="1">
      <alignment horizontal="center"/>
    </xf>
    <xf numFmtId="49" fontId="7" fillId="15" borderId="11" xfId="4" applyNumberFormat="1" applyFont="1" applyFill="1" applyBorder="1" applyAlignment="1">
      <alignment horizontal="center"/>
    </xf>
    <xf numFmtId="49" fontId="7" fillId="15" borderId="26" xfId="4" quotePrefix="1" applyNumberFormat="1" applyFont="1" applyFill="1" applyBorder="1" applyAlignment="1">
      <alignment horizontal="center"/>
    </xf>
    <xf numFmtId="49" fontId="46" fillId="15" borderId="22" xfId="4" applyNumberFormat="1" applyFont="1" applyFill="1" applyBorder="1" applyAlignment="1">
      <alignment horizontal="center"/>
    </xf>
    <xf numFmtId="49" fontId="46" fillId="15" borderId="29" xfId="4" applyNumberFormat="1" applyFont="1" applyFill="1" applyBorder="1" applyAlignment="1">
      <alignment horizontal="center"/>
    </xf>
    <xf numFmtId="49" fontId="46" fillId="15" borderId="23" xfId="4" applyNumberFormat="1" applyFont="1" applyFill="1" applyBorder="1" applyAlignment="1">
      <alignment horizontal="center"/>
    </xf>
    <xf numFmtId="0" fontId="23" fillId="17" borderId="0" xfId="7" applyFont="1" applyFill="1" applyBorder="1" applyAlignment="1">
      <alignment horizontal="center" vertical="center"/>
    </xf>
    <xf numFmtId="0" fontId="23" fillId="17" borderId="0" xfId="6" applyFont="1" applyFill="1" applyBorder="1" applyAlignment="1">
      <alignment horizontal="center" vertical="center"/>
    </xf>
    <xf numFmtId="0" fontId="23" fillId="17" borderId="0" xfId="8" applyFont="1" applyFill="1" applyBorder="1" applyAlignment="1">
      <alignment horizontal="center" vertical="center"/>
    </xf>
    <xf numFmtId="0" fontId="44" fillId="3" borderId="9" xfId="2" applyFont="1" applyBorder="1" applyAlignment="1">
      <alignment horizontal="center"/>
    </xf>
    <xf numFmtId="0" fontId="44" fillId="3" borderId="10" xfId="2" applyFont="1" applyBorder="1" applyAlignment="1">
      <alignment horizontal="center"/>
    </xf>
    <xf numFmtId="0" fontId="44" fillId="3" borderId="11" xfId="2" applyFont="1" applyBorder="1" applyAlignment="1">
      <alignment horizontal="center"/>
    </xf>
    <xf numFmtId="0" fontId="23" fillId="16" borderId="0" xfId="7" applyFont="1" applyFill="1" applyBorder="1" applyAlignment="1">
      <alignment horizontal="center" vertical="center"/>
    </xf>
    <xf numFmtId="0" fontId="23" fillId="16" borderId="0" xfId="6" applyFont="1" applyFill="1" applyBorder="1" applyAlignment="1">
      <alignment horizontal="center" vertical="center"/>
    </xf>
    <xf numFmtId="0" fontId="23" fillId="16" borderId="0" xfId="8" applyFont="1" applyFill="1" applyBorder="1" applyAlignment="1">
      <alignment horizontal="center" vertical="center"/>
    </xf>
    <xf numFmtId="0" fontId="23" fillId="13" borderId="0" xfId="7" applyFont="1" applyFill="1" applyBorder="1" applyAlignment="1">
      <alignment horizontal="center" vertical="center"/>
    </xf>
    <xf numFmtId="0" fontId="23" fillId="13" borderId="0" xfId="6" applyFont="1" applyFill="1" applyBorder="1" applyAlignment="1">
      <alignment horizontal="center" vertical="center"/>
    </xf>
    <xf numFmtId="0" fontId="23" fillId="12" borderId="0" xfId="7" applyFont="1" applyFill="1" applyBorder="1" applyAlignment="1">
      <alignment horizontal="center" vertical="center"/>
    </xf>
    <xf numFmtId="0" fontId="23" fillId="12" borderId="0" xfId="6" applyFont="1" applyFill="1" applyBorder="1" applyAlignment="1">
      <alignment horizontal="center" vertical="center"/>
    </xf>
    <xf numFmtId="0" fontId="8" fillId="34" borderId="0" xfId="6" applyFont="1" applyFill="1" applyAlignment="1">
      <alignment horizontal="center" vertical="center"/>
    </xf>
    <xf numFmtId="0" fontId="44" fillId="15" borderId="26" xfId="5" applyFont="1" applyFill="1" applyBorder="1" applyAlignment="1">
      <alignment horizontal="center"/>
    </xf>
    <xf numFmtId="0" fontId="44" fillId="15" borderId="27" xfId="5" applyFont="1" applyFill="1" applyBorder="1" applyAlignment="1">
      <alignment horizontal="center"/>
    </xf>
    <xf numFmtId="0" fontId="44" fillId="15" borderId="28" xfId="5" applyFont="1" applyFill="1" applyBorder="1" applyAlignment="1">
      <alignment horizontal="center"/>
    </xf>
    <xf numFmtId="0" fontId="35" fillId="2" borderId="43" xfId="1" applyFont="1" applyBorder="1" applyAlignment="1">
      <alignment horizontal="center"/>
    </xf>
    <xf numFmtId="0" fontId="35" fillId="2" borderId="44" xfId="1" applyFont="1" applyBorder="1" applyAlignment="1">
      <alignment horizontal="center"/>
    </xf>
    <xf numFmtId="0" fontId="34" fillId="3" borderId="3" xfId="2" applyFont="1" applyBorder="1" applyAlignment="1">
      <alignment horizontal="center"/>
    </xf>
    <xf numFmtId="0" fontId="34" fillId="3" borderId="21" xfId="2" applyFont="1" applyBorder="1" applyAlignment="1">
      <alignment horizontal="center"/>
    </xf>
    <xf numFmtId="0" fontId="0" fillId="15" borderId="6" xfId="2" applyFont="1" applyFill="1" applyBorder="1" applyAlignment="1">
      <alignment horizontal="center"/>
    </xf>
    <xf numFmtId="0" fontId="0" fillId="15" borderId="8" xfId="2" applyFont="1" applyFill="1" applyBorder="1" applyAlignment="1">
      <alignment horizontal="center"/>
    </xf>
    <xf numFmtId="0" fontId="0" fillId="15" borderId="7" xfId="2" applyFont="1" applyFill="1" applyBorder="1" applyAlignment="1">
      <alignment horizontal="center"/>
    </xf>
    <xf numFmtId="0" fontId="17" fillId="3" borderId="43" xfId="2" applyFont="1" applyBorder="1" applyAlignment="1">
      <alignment horizontal="center"/>
    </xf>
    <xf numFmtId="0" fontId="17" fillId="3" borderId="4" xfId="2" applyFont="1" applyBorder="1" applyAlignment="1">
      <alignment horizontal="center"/>
    </xf>
    <xf numFmtId="0" fontId="17" fillId="3" borderId="44" xfId="2" applyFont="1" applyBorder="1" applyAlignment="1">
      <alignment horizontal="center"/>
    </xf>
    <xf numFmtId="0" fontId="30" fillId="3" borderId="20" xfId="2" applyFont="1" applyBorder="1" applyAlignment="1">
      <alignment horizontal="center"/>
    </xf>
    <xf numFmtId="0" fontId="30" fillId="3" borderId="3" xfId="2" applyFont="1" applyBorder="1" applyAlignment="1">
      <alignment horizontal="center"/>
    </xf>
    <xf numFmtId="0" fontId="30" fillId="3" borderId="21" xfId="2" applyFont="1" applyBorder="1" applyAlignment="1">
      <alignment horizontal="center"/>
    </xf>
    <xf numFmtId="0" fontId="30" fillId="3" borderId="22" xfId="2" applyFont="1" applyBorder="1" applyAlignment="1">
      <alignment horizontal="center"/>
    </xf>
    <xf numFmtId="0" fontId="30" fillId="3" borderId="29" xfId="2" applyFont="1" applyBorder="1" applyAlignment="1">
      <alignment horizontal="center"/>
    </xf>
    <xf numFmtId="0" fontId="30" fillId="3" borderId="23" xfId="2" applyFont="1" applyBorder="1" applyAlignment="1">
      <alignment horizontal="center"/>
    </xf>
    <xf numFmtId="0" fontId="30" fillId="3" borderId="45" xfId="2" applyFont="1" applyBorder="1" applyAlignment="1">
      <alignment horizontal="center"/>
    </xf>
    <xf numFmtId="0" fontId="30" fillId="3" borderId="46" xfId="2" applyFont="1" applyBorder="1" applyAlignment="1">
      <alignment horizontal="center"/>
    </xf>
    <xf numFmtId="0" fontId="30" fillId="3" borderId="47" xfId="2" applyFont="1" applyBorder="1" applyAlignment="1">
      <alignment horizontal="center"/>
    </xf>
    <xf numFmtId="0" fontId="43" fillId="15" borderId="6" xfId="2" applyFont="1" applyFill="1" applyBorder="1" applyAlignment="1">
      <alignment horizontal="center"/>
    </xf>
    <xf numFmtId="0" fontId="43" fillId="15" borderId="8" xfId="2" applyFont="1" applyFill="1" applyBorder="1" applyAlignment="1">
      <alignment horizontal="center"/>
    </xf>
    <xf numFmtId="0" fontId="43" fillId="15" borderId="7" xfId="2" applyFont="1" applyFill="1" applyBorder="1" applyAlignment="1">
      <alignment horizontal="center"/>
    </xf>
    <xf numFmtId="0" fontId="30" fillId="3" borderId="40" xfId="2" applyFont="1" applyBorder="1" applyAlignment="1">
      <alignment horizontal="center"/>
    </xf>
    <xf numFmtId="0" fontId="30" fillId="3" borderId="41" xfId="2" applyFont="1" applyBorder="1" applyAlignment="1">
      <alignment horizontal="center"/>
    </xf>
    <xf numFmtId="0" fontId="30" fillId="3" borderId="42" xfId="2" applyFont="1" applyBorder="1" applyAlignment="1">
      <alignment horizontal="center"/>
    </xf>
    <xf numFmtId="0" fontId="30" fillId="3" borderId="43" xfId="2" applyFont="1" applyBorder="1" applyAlignment="1">
      <alignment horizontal="center"/>
    </xf>
    <xf numFmtId="0" fontId="30" fillId="3" borderId="4" xfId="2" applyFont="1" applyBorder="1" applyAlignment="1">
      <alignment horizontal="center"/>
    </xf>
    <xf numFmtId="0" fontId="30" fillId="3" borderId="44" xfId="2" applyFont="1" applyBorder="1" applyAlignment="1">
      <alignment horizontal="center"/>
    </xf>
    <xf numFmtId="0" fontId="16" fillId="2" borderId="6" xfId="1" applyFont="1" applyBorder="1" applyAlignment="1">
      <alignment horizontal="center"/>
    </xf>
    <xf numFmtId="0" fontId="16" fillId="2" borderId="7" xfId="1" applyFont="1" applyBorder="1" applyAlignment="1">
      <alignment horizontal="center"/>
    </xf>
    <xf numFmtId="0" fontId="2" fillId="15" borderId="20" xfId="5" applyFont="1" applyFill="1" applyBorder="1" applyAlignment="1">
      <alignment horizontal="center"/>
    </xf>
    <xf numFmtId="0" fontId="2" fillId="15" borderId="3" xfId="5" applyFont="1" applyFill="1" applyBorder="1" applyAlignment="1">
      <alignment horizontal="center"/>
    </xf>
    <xf numFmtId="0" fontId="2" fillId="15" borderId="21" xfId="5" applyFont="1" applyFill="1" applyBorder="1" applyAlignment="1">
      <alignment horizontal="center"/>
    </xf>
    <xf numFmtId="0" fontId="53" fillId="3" borderId="20" xfId="2" applyFont="1" applyBorder="1" applyAlignment="1">
      <alignment horizontal="center"/>
    </xf>
    <xf numFmtId="0" fontId="53" fillId="3" borderId="3" xfId="2" applyFont="1" applyBorder="1" applyAlignment="1">
      <alignment horizontal="center"/>
    </xf>
    <xf numFmtId="0" fontId="53" fillId="3" borderId="21" xfId="2" applyFont="1" applyBorder="1" applyAlignment="1">
      <alignment horizontal="center"/>
    </xf>
    <xf numFmtId="0" fontId="53" fillId="3" borderId="40" xfId="2" applyFont="1" applyBorder="1" applyAlignment="1">
      <alignment horizontal="center"/>
    </xf>
    <xf numFmtId="0" fontId="53" fillId="3" borderId="41" xfId="2" applyFont="1" applyBorder="1" applyAlignment="1">
      <alignment horizontal="center"/>
    </xf>
    <xf numFmtId="0" fontId="53" fillId="3" borderId="42" xfId="2" applyFont="1" applyBorder="1" applyAlignment="1">
      <alignment horizontal="center"/>
    </xf>
    <xf numFmtId="0" fontId="7" fillId="15" borderId="6" xfId="5" applyFont="1" applyFill="1" applyBorder="1" applyAlignment="1">
      <alignment horizontal="center"/>
    </xf>
    <xf numFmtId="0" fontId="7" fillId="15" borderId="8" xfId="5" applyFont="1" applyFill="1" applyBorder="1" applyAlignment="1">
      <alignment horizontal="center"/>
    </xf>
    <xf numFmtId="0" fontId="7" fillId="15" borderId="7" xfId="5" applyFont="1" applyFill="1" applyBorder="1" applyAlignment="1">
      <alignment horizontal="center"/>
    </xf>
    <xf numFmtId="0" fontId="54" fillId="2" borderId="22" xfId="1" applyFont="1" applyBorder="1" applyAlignment="1">
      <alignment horizontal="center"/>
    </xf>
    <xf numFmtId="0" fontId="54" fillId="2" borderId="23" xfId="1" applyFont="1" applyBorder="1" applyAlignment="1">
      <alignment horizontal="center"/>
    </xf>
    <xf numFmtId="0" fontId="53" fillId="3" borderId="22" xfId="2" applyFont="1" applyBorder="1" applyAlignment="1">
      <alignment horizontal="center"/>
    </xf>
    <xf numFmtId="0" fontId="53" fillId="3" borderId="29" xfId="2" applyFont="1" applyBorder="1" applyAlignment="1">
      <alignment horizontal="center"/>
    </xf>
    <xf numFmtId="0" fontId="53" fillId="3" borderId="23" xfId="2" applyFont="1" applyBorder="1" applyAlignment="1">
      <alignment horizontal="center"/>
    </xf>
    <xf numFmtId="0" fontId="53" fillId="15" borderId="22" xfId="5" applyFont="1" applyFill="1" applyBorder="1" applyAlignment="1">
      <alignment horizontal="center"/>
    </xf>
    <xf numFmtId="0" fontId="53" fillId="15" borderId="29" xfId="5" applyFont="1" applyFill="1" applyBorder="1" applyAlignment="1">
      <alignment horizontal="center"/>
    </xf>
    <xf numFmtId="0" fontId="53" fillId="15" borderId="23" xfId="5" applyFont="1" applyFill="1" applyBorder="1" applyAlignment="1">
      <alignment horizontal="center"/>
    </xf>
    <xf numFmtId="14" fontId="53" fillId="15" borderId="22" xfId="4" applyNumberFormat="1" applyFont="1" applyFill="1" applyBorder="1" applyAlignment="1">
      <alignment horizontal="center"/>
    </xf>
    <xf numFmtId="0" fontId="53" fillId="15" borderId="29" xfId="4" applyFont="1" applyFill="1" applyBorder="1" applyAlignment="1">
      <alignment horizontal="center"/>
    </xf>
    <xf numFmtId="0" fontId="53" fillId="15" borderId="23" xfId="4" applyFont="1" applyFill="1" applyBorder="1" applyAlignment="1">
      <alignment horizontal="center"/>
    </xf>
    <xf numFmtId="0" fontId="54" fillId="2" borderId="26" xfId="1" applyFont="1" applyBorder="1" applyAlignment="1">
      <alignment horizontal="center"/>
    </xf>
    <xf numFmtId="0" fontId="54" fillId="2" borderId="28" xfId="1" applyFont="1" applyBorder="1" applyAlignment="1">
      <alignment horizontal="center"/>
    </xf>
    <xf numFmtId="0" fontId="53" fillId="3" borderId="26" xfId="2" quotePrefix="1" applyFont="1" applyBorder="1" applyAlignment="1">
      <alignment horizontal="center"/>
    </xf>
    <xf numFmtId="0" fontId="53" fillId="3" borderId="27" xfId="2" applyFont="1" applyBorder="1" applyAlignment="1">
      <alignment horizontal="center"/>
    </xf>
    <xf numFmtId="0" fontId="53" fillId="3" borderId="28" xfId="2" applyFont="1" applyBorder="1" applyAlignment="1">
      <alignment horizontal="center"/>
    </xf>
    <xf numFmtId="0" fontId="53" fillId="3" borderId="26" xfId="2" applyFont="1" applyBorder="1" applyAlignment="1">
      <alignment horizontal="center"/>
    </xf>
    <xf numFmtId="0" fontId="53" fillId="15" borderId="26" xfId="5" quotePrefix="1" applyFont="1" applyFill="1" applyBorder="1" applyAlignment="1">
      <alignment horizontal="center"/>
    </xf>
    <xf numFmtId="0" fontId="53" fillId="15" borderId="27" xfId="5" applyFont="1" applyFill="1" applyBorder="1" applyAlignment="1">
      <alignment horizontal="center"/>
    </xf>
    <xf numFmtId="0" fontId="53" fillId="15" borderId="28" xfId="5" applyFont="1" applyFill="1" applyBorder="1" applyAlignment="1">
      <alignment horizontal="center"/>
    </xf>
    <xf numFmtId="14" fontId="53" fillId="15" borderId="26" xfId="4" applyNumberFormat="1" applyFont="1" applyFill="1" applyBorder="1" applyAlignment="1">
      <alignment horizontal="center"/>
    </xf>
    <xf numFmtId="0" fontId="53" fillId="15" borderId="27" xfId="4" applyFont="1" applyFill="1" applyBorder="1" applyAlignment="1">
      <alignment horizontal="center"/>
    </xf>
    <xf numFmtId="0" fontId="53" fillId="15" borderId="28" xfId="4" applyFont="1" applyFill="1" applyBorder="1" applyAlignment="1">
      <alignment horizontal="center"/>
    </xf>
    <xf numFmtId="0" fontId="54" fillId="2" borderId="14" xfId="1" applyFont="1" applyBorder="1" applyAlignment="1">
      <alignment horizontal="center"/>
    </xf>
    <xf numFmtId="0" fontId="54" fillId="2" borderId="15" xfId="1" applyFont="1" applyBorder="1" applyAlignment="1">
      <alignment horizontal="center"/>
    </xf>
    <xf numFmtId="0" fontId="53" fillId="15" borderId="20" xfId="5" applyFont="1" applyFill="1" applyBorder="1" applyAlignment="1">
      <alignment horizontal="center"/>
    </xf>
    <xf numFmtId="0" fontId="53" fillId="15" borderId="3" xfId="5" applyFont="1" applyFill="1" applyBorder="1" applyAlignment="1">
      <alignment horizontal="center"/>
    </xf>
    <xf numFmtId="0" fontId="53" fillId="15" borderId="21" xfId="5" applyFont="1" applyFill="1" applyBorder="1" applyAlignment="1">
      <alignment horizontal="center"/>
    </xf>
    <xf numFmtId="14" fontId="53" fillId="15" borderId="20" xfId="4" applyNumberFormat="1" applyFont="1" applyFill="1" applyBorder="1" applyAlignment="1">
      <alignment horizontal="center"/>
    </xf>
    <xf numFmtId="0" fontId="53" fillId="15" borderId="3" xfId="4" applyFont="1" applyFill="1" applyBorder="1" applyAlignment="1">
      <alignment horizontal="center"/>
    </xf>
    <xf numFmtId="0" fontId="53" fillId="15" borderId="21" xfId="4" applyFont="1" applyFill="1" applyBorder="1" applyAlignment="1">
      <alignment horizontal="center"/>
    </xf>
    <xf numFmtId="0" fontId="0" fillId="15" borderId="6" xfId="0" applyFill="1" applyBorder="1" applyAlignment="1">
      <alignment horizontal="center"/>
    </xf>
    <xf numFmtId="0" fontId="0" fillId="15" borderId="8" xfId="0" applyFill="1" applyBorder="1" applyAlignment="1">
      <alignment horizontal="center"/>
    </xf>
    <xf numFmtId="0" fontId="0" fillId="15" borderId="7" xfId="0" applyFill="1" applyBorder="1" applyAlignment="1">
      <alignment horizontal="center"/>
    </xf>
    <xf numFmtId="0" fontId="46" fillId="3" borderId="40" xfId="2" applyFont="1" applyBorder="1" applyAlignment="1">
      <alignment horizontal="center"/>
    </xf>
    <xf numFmtId="0" fontId="46" fillId="3" borderId="41" xfId="2" applyFont="1" applyBorder="1" applyAlignment="1">
      <alignment horizontal="center"/>
    </xf>
    <xf numFmtId="0" fontId="46" fillId="3" borderId="42" xfId="2" applyFont="1" applyBorder="1" applyAlignment="1">
      <alignment horizontal="center"/>
    </xf>
    <xf numFmtId="0" fontId="46" fillId="3" borderId="45" xfId="2" applyFont="1" applyBorder="1" applyAlignment="1">
      <alignment horizontal="center"/>
    </xf>
    <xf numFmtId="0" fontId="46" fillId="3" borderId="46" xfId="2" applyFont="1" applyBorder="1" applyAlignment="1">
      <alignment horizontal="center"/>
    </xf>
    <xf numFmtId="0" fontId="46" fillId="3" borderId="47" xfId="2" applyFont="1" applyBorder="1" applyAlignment="1">
      <alignment horizontal="center"/>
    </xf>
    <xf numFmtId="0" fontId="46" fillId="3" borderId="26" xfId="2" applyFont="1" applyBorder="1" applyAlignment="1">
      <alignment horizontal="center"/>
    </xf>
    <xf numFmtId="0" fontId="46" fillId="3" borderId="27" xfId="2" applyFont="1" applyBorder="1" applyAlignment="1">
      <alignment horizontal="center"/>
    </xf>
    <xf numFmtId="0" fontId="46" fillId="3" borderId="28" xfId="2" applyFont="1" applyBorder="1" applyAlignment="1">
      <alignment horizontal="center"/>
    </xf>
    <xf numFmtId="0" fontId="46" fillId="3" borderId="22" xfId="2" applyFont="1" applyBorder="1" applyAlignment="1">
      <alignment horizontal="center"/>
    </xf>
    <xf numFmtId="0" fontId="46" fillId="3" borderId="29" xfId="2" applyFont="1" applyBorder="1" applyAlignment="1">
      <alignment horizontal="center"/>
    </xf>
    <xf numFmtId="0" fontId="46" fillId="3" borderId="23" xfId="2" applyFont="1" applyBorder="1" applyAlignment="1">
      <alignment horizontal="center"/>
    </xf>
    <xf numFmtId="0" fontId="46" fillId="3" borderId="43" xfId="2" applyFont="1" applyBorder="1" applyAlignment="1">
      <alignment horizontal="center"/>
    </xf>
    <xf numFmtId="0" fontId="46" fillId="3" borderId="4" xfId="2" applyFont="1" applyBorder="1" applyAlignment="1">
      <alignment horizontal="center"/>
    </xf>
    <xf numFmtId="0" fontId="46" fillId="3" borderId="44" xfId="2" applyFont="1" applyBorder="1" applyAlignment="1">
      <alignment horizontal="center"/>
    </xf>
    <xf numFmtId="49" fontId="46" fillId="3" borderId="22" xfId="2" applyNumberFormat="1" applyFont="1" applyBorder="1" applyAlignment="1">
      <alignment horizontal="center"/>
    </xf>
    <xf numFmtId="49" fontId="46" fillId="3" borderId="29" xfId="2" applyNumberFormat="1" applyFont="1" applyBorder="1" applyAlignment="1">
      <alignment horizontal="center"/>
    </xf>
    <xf numFmtId="49" fontId="46" fillId="3" borderId="23" xfId="2" applyNumberFormat="1" applyFont="1" applyBorder="1" applyAlignment="1">
      <alignment horizontal="center"/>
    </xf>
    <xf numFmtId="49" fontId="0" fillId="3" borderId="43" xfId="2" applyNumberFormat="1" applyFont="1" applyBorder="1" applyAlignment="1">
      <alignment horizontal="center"/>
    </xf>
    <xf numFmtId="49" fontId="0" fillId="3" borderId="4" xfId="2" applyNumberFormat="1" applyFont="1" applyBorder="1" applyAlignment="1">
      <alignment horizontal="center"/>
    </xf>
    <xf numFmtId="49" fontId="0" fillId="3" borderId="44" xfId="2" applyNumberFormat="1" applyFont="1" applyBorder="1" applyAlignment="1">
      <alignment horizontal="center"/>
    </xf>
    <xf numFmtId="49" fontId="46" fillId="3" borderId="26" xfId="2" applyNumberFormat="1" applyFont="1" applyBorder="1" applyAlignment="1">
      <alignment horizontal="center"/>
    </xf>
    <xf numFmtId="49" fontId="46" fillId="3" borderId="27" xfId="2" applyNumberFormat="1" applyFont="1" applyBorder="1" applyAlignment="1">
      <alignment horizontal="center"/>
    </xf>
    <xf numFmtId="49" fontId="46" fillId="3" borderId="28" xfId="2" applyNumberFormat="1" applyFont="1" applyBorder="1" applyAlignment="1">
      <alignment horizontal="center"/>
    </xf>
    <xf numFmtId="49" fontId="7" fillId="15" borderId="20" xfId="10" applyNumberFormat="1" applyFont="1" applyFill="1" applyBorder="1" applyAlignment="1">
      <alignment horizontal="center"/>
    </xf>
    <xf numFmtId="49" fontId="7" fillId="15" borderId="3" xfId="10" applyNumberFormat="1" applyFont="1" applyFill="1" applyBorder="1" applyAlignment="1">
      <alignment horizontal="center"/>
    </xf>
    <xf numFmtId="49" fontId="7" fillId="15" borderId="21" xfId="10" applyNumberFormat="1" applyFont="1" applyFill="1" applyBorder="1" applyAlignment="1">
      <alignment horizontal="center"/>
    </xf>
    <xf numFmtId="49" fontId="0" fillId="3" borderId="20" xfId="2" applyNumberFormat="1" applyFont="1" applyBorder="1" applyAlignment="1">
      <alignment horizontal="center"/>
    </xf>
    <xf numFmtId="49" fontId="0" fillId="3" borderId="3" xfId="2" applyNumberFormat="1" applyFont="1" applyBorder="1" applyAlignment="1">
      <alignment horizontal="center"/>
    </xf>
    <xf numFmtId="49" fontId="0" fillId="3" borderId="21" xfId="2" applyNumberFormat="1" applyFont="1" applyBorder="1" applyAlignment="1">
      <alignment horizontal="center"/>
    </xf>
    <xf numFmtId="49" fontId="0" fillId="3" borderId="20" xfId="2" quotePrefix="1" applyNumberFormat="1" applyFont="1" applyBorder="1" applyAlignment="1">
      <alignment horizontal="center"/>
    </xf>
    <xf numFmtId="0" fontId="44" fillId="3" borderId="40" xfId="2" applyFont="1" applyBorder="1" applyAlignment="1">
      <alignment horizontal="center"/>
    </xf>
    <xf numFmtId="0" fontId="44" fillId="3" borderId="41" xfId="2" applyFont="1" applyBorder="1" applyAlignment="1">
      <alignment horizontal="center"/>
    </xf>
    <xf numFmtId="0" fontId="44" fillId="3" borderId="42" xfId="2" applyFont="1" applyBorder="1" applyAlignment="1">
      <alignment horizontal="center"/>
    </xf>
    <xf numFmtId="0" fontId="44" fillId="3" borderId="45" xfId="2" applyFont="1" applyBorder="1" applyAlignment="1">
      <alignment horizontal="center"/>
    </xf>
    <xf numFmtId="0" fontId="44" fillId="3" borderId="46" xfId="2" applyFont="1" applyBorder="1" applyAlignment="1">
      <alignment horizontal="center"/>
    </xf>
    <xf numFmtId="0" fontId="44" fillId="3" borderId="47" xfId="2" applyFont="1" applyBorder="1" applyAlignment="1">
      <alignment horizontal="center"/>
    </xf>
    <xf numFmtId="0" fontId="8" fillId="39" borderId="0" xfId="7" applyFont="1" applyFill="1" applyAlignment="1">
      <alignment horizontal="center" vertical="center"/>
    </xf>
    <xf numFmtId="0" fontId="23" fillId="39" borderId="0" xfId="6" applyFont="1" applyFill="1" applyAlignment="1">
      <alignment horizontal="center" vertical="center"/>
    </xf>
    <xf numFmtId="0" fontId="17" fillId="2" borderId="6" xfId="1" applyFont="1" applyBorder="1" applyAlignment="1">
      <alignment horizontal="center"/>
    </xf>
    <xf numFmtId="0" fontId="17" fillId="2" borderId="7" xfId="1" applyFont="1" applyBorder="1" applyAlignment="1">
      <alignment horizontal="center"/>
    </xf>
    <xf numFmtId="0" fontId="30" fillId="15" borderId="6" xfId="2" applyFont="1" applyFill="1" applyBorder="1" applyAlignment="1">
      <alignment horizontal="center"/>
    </xf>
    <xf numFmtId="0" fontId="30" fillId="15" borderId="8" xfId="2" applyFont="1" applyFill="1" applyBorder="1" applyAlignment="1">
      <alignment horizontal="center"/>
    </xf>
    <xf numFmtId="0" fontId="30" fillId="15" borderId="7" xfId="2" applyFont="1" applyFill="1" applyBorder="1" applyAlignment="1">
      <alignment horizontal="center"/>
    </xf>
    <xf numFmtId="14" fontId="36" fillId="15" borderId="20" xfId="5" applyNumberFormat="1" applyFont="1" applyFill="1" applyBorder="1" applyAlignment="1">
      <alignment horizontal="center"/>
    </xf>
    <xf numFmtId="0" fontId="36" fillId="15" borderId="3" xfId="5" applyFont="1" applyFill="1" applyBorder="1" applyAlignment="1">
      <alignment horizontal="center"/>
    </xf>
    <xf numFmtId="0" fontId="36" fillId="15" borderId="21" xfId="5" applyFont="1" applyFill="1" applyBorder="1" applyAlignment="1">
      <alignment horizontal="center"/>
    </xf>
    <xf numFmtId="14" fontId="36" fillId="15" borderId="22" xfId="5" applyNumberFormat="1" applyFont="1" applyFill="1" applyBorder="1" applyAlignment="1">
      <alignment horizontal="center"/>
    </xf>
    <xf numFmtId="0" fontId="36" fillId="15" borderId="29" xfId="5" applyFont="1" applyFill="1" applyBorder="1" applyAlignment="1">
      <alignment horizontal="center"/>
    </xf>
    <xf numFmtId="0" fontId="36" fillId="15" borderId="23" xfId="5" applyFont="1" applyFill="1" applyBorder="1" applyAlignment="1">
      <alignment horizontal="center"/>
    </xf>
    <xf numFmtId="14" fontId="36" fillId="15" borderId="26" xfId="5" applyNumberFormat="1" applyFont="1" applyFill="1" applyBorder="1" applyAlignment="1">
      <alignment horizontal="center"/>
    </xf>
    <xf numFmtId="0" fontId="36" fillId="15" borderId="27" xfId="5" applyFont="1" applyFill="1" applyBorder="1" applyAlignment="1">
      <alignment horizontal="center"/>
    </xf>
    <xf numFmtId="0" fontId="36" fillId="15" borderId="28" xfId="5" applyFont="1" applyFill="1" applyBorder="1" applyAlignment="1">
      <alignment horizontal="center"/>
    </xf>
    <xf numFmtId="14" fontId="36" fillId="15" borderId="9" xfId="5" applyNumberFormat="1" applyFont="1" applyFill="1" applyBorder="1" applyAlignment="1">
      <alignment horizontal="center"/>
    </xf>
    <xf numFmtId="0" fontId="36" fillId="15" borderId="10" xfId="5" applyFont="1" applyFill="1" applyBorder="1" applyAlignment="1">
      <alignment horizontal="center"/>
    </xf>
    <xf numFmtId="0" fontId="36" fillId="15" borderId="11" xfId="5" applyFont="1" applyFill="1" applyBorder="1" applyAlignment="1">
      <alignment horizontal="center"/>
    </xf>
    <xf numFmtId="0" fontId="16" fillId="2" borderId="9" xfId="1" applyFont="1" applyBorder="1" applyAlignment="1">
      <alignment horizontal="center"/>
    </xf>
    <xf numFmtId="0" fontId="16" fillId="2" borderId="11" xfId="1" applyFont="1" applyBorder="1" applyAlignment="1">
      <alignment horizontal="center"/>
    </xf>
    <xf numFmtId="14" fontId="25" fillId="15" borderId="20" xfId="4" applyNumberFormat="1" applyFont="1" applyFill="1" applyBorder="1" applyAlignment="1">
      <alignment horizontal="center"/>
    </xf>
    <xf numFmtId="0" fontId="25" fillId="15" borderId="3" xfId="4" applyFont="1" applyFill="1" applyBorder="1" applyAlignment="1">
      <alignment horizontal="center"/>
    </xf>
    <xf numFmtId="0" fontId="25" fillId="15" borderId="21" xfId="4" applyFont="1" applyFill="1" applyBorder="1" applyAlignment="1">
      <alignment horizontal="center"/>
    </xf>
    <xf numFmtId="14" fontId="25" fillId="15" borderId="26" xfId="4" applyNumberFormat="1" applyFont="1" applyFill="1" applyBorder="1" applyAlignment="1">
      <alignment horizontal="center"/>
    </xf>
    <xf numFmtId="0" fontId="25" fillId="15" borderId="27" xfId="4" applyFont="1" applyFill="1" applyBorder="1" applyAlignment="1">
      <alignment horizontal="center"/>
    </xf>
    <xf numFmtId="0" fontId="25" fillId="15" borderId="28" xfId="4" applyFont="1" applyFill="1" applyBorder="1" applyAlignment="1">
      <alignment horizontal="center"/>
    </xf>
    <xf numFmtId="14" fontId="25" fillId="15" borderId="22" xfId="4" applyNumberFormat="1" applyFont="1" applyFill="1" applyBorder="1" applyAlignment="1">
      <alignment horizontal="center"/>
    </xf>
    <xf numFmtId="0" fontId="25" fillId="15" borderId="29" xfId="4" applyFont="1" applyFill="1" applyBorder="1" applyAlignment="1">
      <alignment horizontal="center"/>
    </xf>
    <xf numFmtId="0" fontId="25" fillId="15" borderId="23" xfId="4" applyFont="1" applyFill="1" applyBorder="1" applyAlignment="1">
      <alignment horizontal="center"/>
    </xf>
    <xf numFmtId="0" fontId="25" fillId="3" borderId="22" xfId="2" applyFont="1" applyBorder="1" applyAlignment="1">
      <alignment horizontal="center"/>
    </xf>
    <xf numFmtId="0" fontId="25" fillId="3" borderId="29" xfId="2" applyFont="1" applyBorder="1" applyAlignment="1">
      <alignment horizontal="center"/>
    </xf>
    <xf numFmtId="0" fontId="25" fillId="3" borderId="23" xfId="2" applyFont="1" applyBorder="1" applyAlignment="1">
      <alignment horizontal="center"/>
    </xf>
    <xf numFmtId="0" fontId="25" fillId="15" borderId="22" xfId="5" applyFont="1" applyFill="1" applyBorder="1" applyAlignment="1">
      <alignment horizontal="center"/>
    </xf>
    <xf numFmtId="0" fontId="25" fillId="15" borderId="29" xfId="5" applyFont="1" applyFill="1" applyBorder="1" applyAlignment="1">
      <alignment horizontal="center"/>
    </xf>
    <xf numFmtId="0" fontId="25" fillId="15" borderId="23" xfId="5" applyFont="1" applyFill="1" applyBorder="1" applyAlignment="1">
      <alignment horizontal="center"/>
    </xf>
    <xf numFmtId="0" fontId="37" fillId="2" borderId="12" xfId="1" applyFont="1" applyBorder="1" applyAlignment="1">
      <alignment horizontal="center"/>
    </xf>
    <xf numFmtId="0" fontId="37" fillId="2" borderId="13" xfId="1" applyFont="1" applyBorder="1" applyAlignment="1">
      <alignment horizontal="center"/>
    </xf>
    <xf numFmtId="0" fontId="25" fillId="3" borderId="40" xfId="2" applyFont="1" applyBorder="1" applyAlignment="1">
      <alignment horizontal="center"/>
    </xf>
    <xf numFmtId="0" fontId="25" fillId="3" borderId="41" xfId="2" applyFont="1" applyBorder="1" applyAlignment="1">
      <alignment horizontal="center"/>
    </xf>
    <xf numFmtId="0" fontId="25" fillId="3" borderId="42" xfId="2" applyFont="1" applyBorder="1" applyAlignment="1">
      <alignment horizontal="center"/>
    </xf>
    <xf numFmtId="0" fontId="25" fillId="15" borderId="26" xfId="5" applyFont="1" applyFill="1" applyBorder="1" applyAlignment="1">
      <alignment horizontal="center"/>
    </xf>
    <xf numFmtId="0" fontId="25" fillId="15" borderId="27" xfId="5" applyFont="1" applyFill="1" applyBorder="1" applyAlignment="1">
      <alignment horizontal="center"/>
    </xf>
    <xf numFmtId="0" fontId="25" fillId="15" borderId="28" xfId="5" applyFont="1" applyFill="1" applyBorder="1" applyAlignment="1">
      <alignment horizontal="center"/>
    </xf>
    <xf numFmtId="0" fontId="25" fillId="3" borderId="20" xfId="2" applyFont="1" applyBorder="1" applyAlignment="1">
      <alignment horizontal="center"/>
    </xf>
    <xf numFmtId="0" fontId="25" fillId="3" borderId="3" xfId="2" applyFont="1" applyBorder="1" applyAlignment="1">
      <alignment horizontal="center"/>
    </xf>
    <xf numFmtId="0" fontId="25" fillId="3" borderId="21" xfId="2" applyFont="1" applyBorder="1" applyAlignment="1">
      <alignment horizontal="center"/>
    </xf>
    <xf numFmtId="0" fontId="25" fillId="15" borderId="20" xfId="5" applyFont="1" applyFill="1" applyBorder="1" applyAlignment="1">
      <alignment horizontal="center"/>
    </xf>
    <xf numFmtId="0" fontId="25" fillId="15" borderId="3" xfId="5" applyFont="1" applyFill="1" applyBorder="1" applyAlignment="1">
      <alignment horizontal="center"/>
    </xf>
    <xf numFmtId="0" fontId="25" fillId="15" borderId="21" xfId="5" applyFont="1" applyFill="1" applyBorder="1" applyAlignment="1">
      <alignment horizontal="center"/>
    </xf>
    <xf numFmtId="0" fontId="37" fillId="2" borderId="14" xfId="1" applyFont="1" applyBorder="1" applyAlignment="1">
      <alignment horizontal="center"/>
    </xf>
    <xf numFmtId="0" fontId="37" fillId="2" borderId="15" xfId="1" applyFont="1" applyBorder="1" applyAlignment="1">
      <alignment horizontal="center"/>
    </xf>
    <xf numFmtId="0" fontId="37" fillId="2" borderId="16" xfId="1" applyFont="1" applyBorder="1" applyAlignment="1">
      <alignment horizontal="center"/>
    </xf>
    <xf numFmtId="0" fontId="37" fillId="2" borderId="17" xfId="1" applyFont="1" applyBorder="1" applyAlignment="1">
      <alignment horizontal="center"/>
    </xf>
    <xf numFmtId="0" fontId="25" fillId="3" borderId="45" xfId="2" applyFont="1" applyBorder="1" applyAlignment="1">
      <alignment horizontal="center"/>
    </xf>
    <xf numFmtId="0" fontId="25" fillId="3" borderId="46" xfId="2" applyFont="1" applyBorder="1" applyAlignment="1">
      <alignment horizontal="center"/>
    </xf>
    <xf numFmtId="0" fontId="25" fillId="3" borderId="47" xfId="2" applyFont="1" applyBorder="1" applyAlignment="1">
      <alignment horizontal="center"/>
    </xf>
    <xf numFmtId="0" fontId="44" fillId="15" borderId="20" xfId="5" applyFont="1" applyFill="1" applyBorder="1" applyAlignment="1">
      <alignment horizontal="center"/>
    </xf>
    <xf numFmtId="0" fontId="44" fillId="15" borderId="3" xfId="5" applyFont="1" applyFill="1" applyBorder="1" applyAlignment="1">
      <alignment horizontal="center"/>
    </xf>
    <xf numFmtId="0" fontId="44" fillId="15" borderId="21" xfId="5" applyFont="1" applyFill="1" applyBorder="1" applyAlignment="1">
      <alignment horizontal="center"/>
    </xf>
    <xf numFmtId="14" fontId="44" fillId="15" borderId="20" xfId="4" applyNumberFormat="1" applyFont="1" applyFill="1" applyBorder="1" applyAlignment="1">
      <alignment horizontal="center"/>
    </xf>
    <xf numFmtId="0" fontId="44" fillId="15" borderId="3" xfId="4" applyFont="1" applyFill="1" applyBorder="1" applyAlignment="1">
      <alignment horizontal="center"/>
    </xf>
    <xf numFmtId="0" fontId="44" fillId="15" borderId="21" xfId="4" applyFont="1" applyFill="1" applyBorder="1" applyAlignment="1">
      <alignment horizontal="center"/>
    </xf>
    <xf numFmtId="0" fontId="25" fillId="3" borderId="26" xfId="2" applyFont="1" applyBorder="1" applyAlignment="1">
      <alignment horizontal="center"/>
    </xf>
    <xf numFmtId="0" fontId="25" fillId="3" borderId="27" xfId="2" applyFont="1" applyBorder="1" applyAlignment="1">
      <alignment horizontal="center"/>
    </xf>
    <xf numFmtId="0" fontId="25" fillId="3" borderId="28" xfId="2" applyFont="1" applyBorder="1" applyAlignment="1">
      <alignment horizontal="center"/>
    </xf>
    <xf numFmtId="0" fontId="23" fillId="14" borderId="3" xfId="2" applyFont="1" applyFill="1" applyBorder="1" applyAlignment="1">
      <alignment horizontal="center" vertical="center"/>
    </xf>
    <xf numFmtId="0" fontId="25" fillId="3" borderId="43" xfId="2" applyFont="1" applyBorder="1" applyAlignment="1">
      <alignment horizontal="center"/>
    </xf>
    <xf numFmtId="0" fontId="25" fillId="3" borderId="4" xfId="2" applyFont="1" applyBorder="1" applyAlignment="1">
      <alignment horizontal="center"/>
    </xf>
    <xf numFmtId="0" fontId="25" fillId="3" borderId="44" xfId="2" applyFont="1" applyBorder="1" applyAlignment="1">
      <alignment horizontal="center"/>
    </xf>
    <xf numFmtId="0" fontId="37" fillId="2" borderId="20" xfId="1" applyFont="1" applyBorder="1" applyAlignment="1">
      <alignment horizontal="center"/>
    </xf>
    <xf numFmtId="0" fontId="37" fillId="2" borderId="21" xfId="1" applyFont="1" applyBorder="1" applyAlignment="1">
      <alignment horizontal="center"/>
    </xf>
    <xf numFmtId="0" fontId="25" fillId="15" borderId="45" xfId="5" applyFont="1" applyFill="1" applyBorder="1" applyAlignment="1">
      <alignment horizontal="center"/>
    </xf>
    <xf numFmtId="0" fontId="25" fillId="15" borderId="46" xfId="5" applyFont="1" applyFill="1" applyBorder="1" applyAlignment="1">
      <alignment horizontal="center"/>
    </xf>
    <xf numFmtId="0" fontId="25" fillId="15" borderId="47" xfId="5" applyFont="1" applyFill="1" applyBorder="1" applyAlignment="1">
      <alignment horizontal="center"/>
    </xf>
    <xf numFmtId="0" fontId="25" fillId="15" borderId="43" xfId="5" applyFont="1" applyFill="1" applyBorder="1" applyAlignment="1">
      <alignment horizontal="center"/>
    </xf>
    <xf numFmtId="0" fontId="25" fillId="15" borderId="4" xfId="5" applyFont="1" applyFill="1" applyBorder="1" applyAlignment="1">
      <alignment horizontal="center"/>
    </xf>
    <xf numFmtId="0" fontId="25" fillId="15" borderId="44" xfId="5" applyFont="1" applyFill="1" applyBorder="1" applyAlignment="1">
      <alignment horizontal="center"/>
    </xf>
    <xf numFmtId="0" fontId="23" fillId="12" borderId="0" xfId="8" applyFont="1" applyFill="1" applyBorder="1" applyAlignment="1">
      <alignment horizontal="center" vertical="center"/>
    </xf>
    <xf numFmtId="0" fontId="37" fillId="2" borderId="26" xfId="1" applyFont="1" applyBorder="1" applyAlignment="1">
      <alignment horizontal="center"/>
    </xf>
    <xf numFmtId="0" fontId="37" fillId="2" borderId="28" xfId="1" applyFont="1" applyBorder="1" applyAlignment="1">
      <alignment horizontal="center"/>
    </xf>
    <xf numFmtId="0" fontId="35" fillId="2" borderId="22" xfId="1" applyFont="1" applyBorder="1" applyAlignment="1">
      <alignment horizontal="center"/>
    </xf>
    <xf numFmtId="0" fontId="35" fillId="2" borderId="23" xfId="1" applyFont="1" applyBorder="1" applyAlignment="1">
      <alignment horizontal="center"/>
    </xf>
    <xf numFmtId="0" fontId="23" fillId="12" borderId="53" xfId="7" applyFont="1" applyFill="1" applyBorder="1" applyAlignment="1" applyProtection="1">
      <alignment horizontal="center" vertical="center"/>
      <protection locked="0"/>
    </xf>
    <xf numFmtId="0" fontId="23" fillId="12" borderId="54" xfId="7" applyFont="1" applyFill="1" applyBorder="1" applyAlignment="1" applyProtection="1">
      <alignment horizontal="center" vertical="center"/>
      <protection locked="0"/>
    </xf>
    <xf numFmtId="0" fontId="35" fillId="2" borderId="20" xfId="1" applyFont="1" applyBorder="1" applyAlignment="1">
      <alignment horizontal="center"/>
    </xf>
    <xf numFmtId="0" fontId="35" fillId="2" borderId="21" xfId="1" applyFont="1" applyBorder="1" applyAlignment="1">
      <alignment horizontal="center"/>
    </xf>
    <xf numFmtId="0" fontId="4" fillId="14" borderId="6" xfId="7" applyFill="1" applyBorder="1" applyAlignment="1">
      <alignment horizontal="center"/>
    </xf>
    <xf numFmtId="0" fontId="4" fillId="14" borderId="7" xfId="7" applyFill="1" applyBorder="1" applyAlignment="1">
      <alignment horizontal="center"/>
    </xf>
    <xf numFmtId="0" fontId="45" fillId="2" borderId="18" xfId="1" applyFont="1" applyBorder="1" applyAlignment="1">
      <alignment horizontal="center"/>
    </xf>
    <xf numFmtId="0" fontId="45" fillId="2" borderId="19" xfId="1" applyFont="1" applyBorder="1" applyAlignment="1">
      <alignment horizontal="center"/>
    </xf>
    <xf numFmtId="0" fontId="23" fillId="12" borderId="6" xfId="7" applyFont="1" applyFill="1" applyBorder="1" applyAlignment="1" applyProtection="1">
      <alignment horizontal="center" vertical="center"/>
      <protection locked="0"/>
    </xf>
    <xf numFmtId="0" fontId="23" fillId="12" borderId="7" xfId="7" applyFont="1" applyFill="1" applyBorder="1" applyAlignment="1" applyProtection="1">
      <alignment horizontal="center" vertical="center"/>
      <protection locked="0"/>
    </xf>
    <xf numFmtId="0" fontId="23" fillId="12" borderId="6" xfId="6" applyFont="1" applyFill="1" applyBorder="1" applyAlignment="1">
      <alignment horizontal="center" vertical="center"/>
    </xf>
    <xf numFmtId="0" fontId="23" fillId="12" borderId="8" xfId="6" applyFont="1" applyFill="1" applyBorder="1" applyAlignment="1">
      <alignment horizontal="center" vertical="center"/>
    </xf>
    <xf numFmtId="0" fontId="35" fillId="2" borderId="24" xfId="1" applyFont="1" applyBorder="1" applyAlignment="1">
      <alignment horizontal="center"/>
    </xf>
    <xf numFmtId="0" fontId="35" fillId="2" borderId="25" xfId="1" applyFont="1" applyBorder="1" applyAlignment="1">
      <alignment horizontal="center"/>
    </xf>
    <xf numFmtId="0" fontId="47" fillId="15" borderId="20" xfId="1" applyFont="1" applyFill="1" applyBorder="1" applyAlignment="1">
      <alignment horizontal="center"/>
    </xf>
    <xf numFmtId="0" fontId="47" fillId="15" borderId="21" xfId="1" applyFont="1" applyFill="1" applyBorder="1" applyAlignment="1">
      <alignment horizontal="center"/>
    </xf>
    <xf numFmtId="0" fontId="47" fillId="15" borderId="49" xfId="1" applyFont="1" applyFill="1" applyBorder="1" applyAlignment="1">
      <alignment horizontal="center"/>
    </xf>
    <xf numFmtId="0" fontId="0" fillId="15" borderId="20" xfId="2" applyFont="1" applyFill="1" applyBorder="1" applyAlignment="1">
      <alignment horizontal="center"/>
    </xf>
    <xf numFmtId="0" fontId="0" fillId="15" borderId="3" xfId="2" applyFont="1" applyFill="1" applyBorder="1" applyAlignment="1">
      <alignment horizontal="center"/>
    </xf>
    <xf numFmtId="0" fontId="0" fillId="15" borderId="48" xfId="2" applyFont="1" applyFill="1" applyBorder="1" applyAlignment="1">
      <alignment horizontal="center"/>
    </xf>
    <xf numFmtId="0" fontId="46" fillId="3" borderId="48" xfId="2" applyFont="1" applyBorder="1" applyAlignment="1">
      <alignment horizontal="center"/>
    </xf>
    <xf numFmtId="14" fontId="47" fillId="15" borderId="18" xfId="1" applyNumberFormat="1" applyFont="1" applyFill="1" applyBorder="1" applyAlignment="1">
      <alignment horizontal="center"/>
    </xf>
    <xf numFmtId="0" fontId="47" fillId="15" borderId="19" xfId="1" applyFont="1" applyFill="1" applyBorder="1" applyAlignment="1">
      <alignment horizontal="center"/>
    </xf>
    <xf numFmtId="0" fontId="39" fillId="15" borderId="20" xfId="1" applyFont="1" applyFill="1" applyBorder="1" applyAlignment="1">
      <alignment horizontal="center"/>
    </xf>
    <xf numFmtId="0" fontId="39" fillId="15" borderId="21" xfId="1" applyFont="1" applyFill="1" applyBorder="1" applyAlignment="1">
      <alignment horizontal="center"/>
    </xf>
    <xf numFmtId="0" fontId="39" fillId="15" borderId="49" xfId="1" applyFont="1" applyFill="1" applyBorder="1" applyAlignment="1">
      <alignment horizontal="center"/>
    </xf>
    <xf numFmtId="0" fontId="0" fillId="15" borderId="43" xfId="2" applyFont="1" applyFill="1" applyBorder="1" applyAlignment="1">
      <alignment horizontal="center"/>
    </xf>
    <xf numFmtId="0" fontId="0" fillId="15" borderId="4" xfId="2" applyFont="1" applyFill="1" applyBorder="1" applyAlignment="1">
      <alignment horizontal="center"/>
    </xf>
    <xf numFmtId="0" fontId="0" fillId="15" borderId="44" xfId="2" applyFont="1" applyFill="1" applyBorder="1" applyAlignment="1">
      <alignment horizontal="center"/>
    </xf>
    <xf numFmtId="0" fontId="0" fillId="15" borderId="45" xfId="2" applyFont="1" applyFill="1" applyBorder="1" applyAlignment="1">
      <alignment horizontal="center"/>
    </xf>
    <xf numFmtId="0" fontId="0" fillId="15" borderId="46" xfId="2" applyFont="1" applyFill="1" applyBorder="1" applyAlignment="1">
      <alignment horizontal="center"/>
    </xf>
    <xf numFmtId="0" fontId="0" fillId="15" borderId="47" xfId="2" applyFont="1" applyFill="1" applyBorder="1" applyAlignment="1">
      <alignment horizontal="center"/>
    </xf>
    <xf numFmtId="0" fontId="39" fillId="15" borderId="24" xfId="1" applyFont="1" applyFill="1" applyBorder="1" applyAlignment="1">
      <alignment horizontal="center"/>
    </xf>
    <xf numFmtId="0" fontId="39" fillId="15" borderId="25" xfId="1" applyFont="1" applyFill="1" applyBorder="1" applyAlignment="1">
      <alignment horizontal="center"/>
    </xf>
    <xf numFmtId="0" fontId="46" fillId="15" borderId="18" xfId="2" applyFont="1" applyFill="1" applyBorder="1" applyAlignment="1">
      <alignment horizontal="center"/>
    </xf>
    <xf numFmtId="0" fontId="46" fillId="15" borderId="70" xfId="2" applyFont="1" applyFill="1" applyBorder="1" applyAlignment="1">
      <alignment horizontal="center"/>
    </xf>
    <xf numFmtId="0" fontId="46" fillId="15" borderId="87" xfId="2" applyFont="1" applyFill="1" applyBorder="1" applyAlignment="1">
      <alignment horizontal="center"/>
    </xf>
    <xf numFmtId="0" fontId="47" fillId="15" borderId="89" xfId="1" applyFont="1" applyFill="1" applyBorder="1" applyAlignment="1">
      <alignment horizontal="center"/>
    </xf>
    <xf numFmtId="0" fontId="46" fillId="15" borderId="20" xfId="2" applyFont="1" applyFill="1" applyBorder="1" applyAlignment="1">
      <alignment horizontal="center"/>
    </xf>
    <xf numFmtId="0" fontId="46" fillId="15" borderId="3" xfId="2" applyFont="1" applyFill="1" applyBorder="1" applyAlignment="1">
      <alignment horizontal="center"/>
    </xf>
    <xf numFmtId="0" fontId="46" fillId="15" borderId="48" xfId="2" applyFont="1" applyFill="1" applyBorder="1" applyAlignment="1">
      <alignment horizontal="center"/>
    </xf>
    <xf numFmtId="0" fontId="39" fillId="15" borderId="14" xfId="1" applyFont="1" applyFill="1" applyBorder="1" applyAlignment="1">
      <alignment horizontal="center"/>
    </xf>
    <xf numFmtId="0" fontId="39" fillId="15" borderId="15" xfId="1" applyFont="1" applyFill="1" applyBorder="1" applyAlignment="1">
      <alignment horizontal="center"/>
    </xf>
    <xf numFmtId="0" fontId="39" fillId="15" borderId="16" xfId="1" applyFont="1" applyFill="1" applyBorder="1" applyAlignment="1">
      <alignment horizontal="center"/>
    </xf>
    <xf numFmtId="0" fontId="39" fillId="15" borderId="17" xfId="1" applyFont="1" applyFill="1" applyBorder="1" applyAlignment="1">
      <alignment horizontal="center"/>
    </xf>
    <xf numFmtId="0" fontId="23" fillId="16" borderId="6" xfId="6" applyFont="1" applyFill="1" applyBorder="1" applyAlignment="1">
      <alignment horizontal="center"/>
    </xf>
    <xf numFmtId="0" fontId="23" fillId="16" borderId="8" xfId="6" applyFont="1" applyFill="1" applyBorder="1" applyAlignment="1">
      <alignment horizontal="center"/>
    </xf>
    <xf numFmtId="0" fontId="23" fillId="16" borderId="7" xfId="6" applyFont="1" applyFill="1" applyBorder="1" applyAlignment="1">
      <alignment horizontal="center"/>
    </xf>
    <xf numFmtId="0" fontId="34" fillId="15" borderId="40" xfId="2" applyFont="1" applyFill="1" applyBorder="1" applyAlignment="1">
      <alignment horizontal="center"/>
    </xf>
    <xf numFmtId="0" fontId="34" fillId="15" borderId="41" xfId="2" applyFont="1" applyFill="1" applyBorder="1" applyAlignment="1">
      <alignment horizontal="center"/>
    </xf>
    <xf numFmtId="0" fontId="34" fillId="15" borderId="42" xfId="2" applyFont="1" applyFill="1" applyBorder="1" applyAlignment="1">
      <alignment horizontal="center"/>
    </xf>
    <xf numFmtId="0" fontId="34" fillId="15" borderId="45" xfId="5" applyFont="1" applyFill="1" applyBorder="1" applyAlignment="1">
      <alignment horizontal="center"/>
    </xf>
    <xf numFmtId="0" fontId="34" fillId="15" borderId="46" xfId="5" applyFont="1" applyFill="1" applyBorder="1" applyAlignment="1">
      <alignment horizontal="center"/>
    </xf>
    <xf numFmtId="0" fontId="34" fillId="15" borderId="47" xfId="5" applyFont="1" applyFill="1" applyBorder="1" applyAlignment="1">
      <alignment horizontal="center"/>
    </xf>
    <xf numFmtId="0" fontId="23" fillId="17" borderId="6" xfId="6" applyFont="1" applyFill="1" applyBorder="1" applyAlignment="1">
      <alignment horizontal="center"/>
    </xf>
    <xf numFmtId="0" fontId="23" fillId="17" borderId="8" xfId="6" applyFont="1" applyFill="1" applyBorder="1" applyAlignment="1">
      <alignment horizontal="center"/>
    </xf>
    <xf numFmtId="0" fontId="23" fillId="17" borderId="7" xfId="6" applyFont="1" applyFill="1" applyBorder="1" applyAlignment="1">
      <alignment horizontal="center"/>
    </xf>
    <xf numFmtId="0" fontId="0" fillId="15" borderId="90" xfId="2" applyFont="1" applyFill="1" applyBorder="1" applyAlignment="1">
      <alignment horizontal="center"/>
    </xf>
    <xf numFmtId="0" fontId="0" fillId="15" borderId="88" xfId="2" applyFont="1" applyFill="1" applyBorder="1" applyAlignment="1">
      <alignment horizontal="center"/>
    </xf>
    <xf numFmtId="0" fontId="0" fillId="15" borderId="91" xfId="2" applyFont="1" applyFill="1" applyBorder="1" applyAlignment="1">
      <alignment horizontal="center"/>
    </xf>
    <xf numFmtId="0" fontId="7" fillId="15" borderId="16" xfId="1" applyFont="1" applyFill="1" applyBorder="1" applyAlignment="1">
      <alignment horizontal="center"/>
    </xf>
    <xf numFmtId="0" fontId="7" fillId="15" borderId="17" xfId="1" applyFont="1" applyFill="1" applyBorder="1" applyAlignment="1">
      <alignment horizontal="center"/>
    </xf>
    <xf numFmtId="0" fontId="23" fillId="17" borderId="6" xfId="7" applyFont="1" applyFill="1" applyBorder="1" applyAlignment="1">
      <alignment horizontal="center"/>
    </xf>
    <xf numFmtId="0" fontId="23" fillId="17" borderId="7" xfId="7" applyFont="1" applyFill="1" applyBorder="1" applyAlignment="1">
      <alignment horizontal="center"/>
    </xf>
    <xf numFmtId="0" fontId="34" fillId="3" borderId="45" xfId="2" applyFont="1" applyBorder="1" applyAlignment="1">
      <alignment horizontal="center"/>
    </xf>
    <xf numFmtId="0" fontId="34" fillId="3" borderId="46" xfId="2" applyFont="1" applyBorder="1" applyAlignment="1">
      <alignment horizontal="center"/>
    </xf>
    <xf numFmtId="0" fontId="34" fillId="3" borderId="47" xfId="2" applyFont="1" applyBorder="1" applyAlignment="1">
      <alignment horizontal="center"/>
    </xf>
    <xf numFmtId="0" fontId="40" fillId="15" borderId="22" xfId="1" applyFont="1" applyFill="1" applyBorder="1" applyAlignment="1">
      <alignment horizontal="center"/>
    </xf>
    <xf numFmtId="0" fontId="40" fillId="15" borderId="23" xfId="1" applyFont="1" applyFill="1" applyBorder="1" applyAlignment="1">
      <alignment horizontal="center"/>
    </xf>
    <xf numFmtId="0" fontId="39" fillId="15" borderId="22" xfId="1" applyFont="1" applyFill="1" applyBorder="1" applyAlignment="1">
      <alignment horizontal="center"/>
    </xf>
    <xf numFmtId="0" fontId="39" fillId="15" borderId="23" xfId="1" applyFont="1" applyFill="1" applyBorder="1" applyAlignment="1">
      <alignment horizontal="center"/>
    </xf>
    <xf numFmtId="0" fontId="23" fillId="11" borderId="53" xfId="6" applyFont="1" applyFill="1" applyBorder="1" applyAlignment="1">
      <alignment horizontal="center"/>
    </xf>
    <xf numFmtId="0" fontId="23" fillId="11" borderId="64" xfId="6" applyFont="1" applyFill="1" applyBorder="1" applyAlignment="1">
      <alignment horizontal="center"/>
    </xf>
    <xf numFmtId="0" fontId="0" fillId="15" borderId="40" xfId="2" applyFont="1" applyFill="1" applyBorder="1" applyAlignment="1">
      <alignment horizontal="center"/>
    </xf>
    <xf numFmtId="0" fontId="0" fillId="15" borderId="41" xfId="2" applyFont="1" applyFill="1" applyBorder="1" applyAlignment="1">
      <alignment horizontal="center"/>
    </xf>
    <xf numFmtId="0" fontId="34" fillId="15" borderId="43" xfId="2" applyFont="1" applyFill="1" applyBorder="1" applyAlignment="1">
      <alignment horizontal="center"/>
    </xf>
    <xf numFmtId="0" fontId="34" fillId="15" borderId="4" xfId="2" applyFont="1" applyFill="1" applyBorder="1" applyAlignment="1">
      <alignment horizontal="center"/>
    </xf>
    <xf numFmtId="0" fontId="23" fillId="11" borderId="50" xfId="7" applyFont="1" applyFill="1" applyBorder="1" applyAlignment="1">
      <alignment horizontal="center" vertical="center"/>
    </xf>
    <xf numFmtId="0" fontId="23" fillId="11" borderId="52" xfId="7" applyFont="1" applyFill="1" applyBorder="1" applyAlignment="1">
      <alignment horizontal="center" vertical="center"/>
    </xf>
    <xf numFmtId="0" fontId="39" fillId="15" borderId="26" xfId="1" applyFont="1" applyFill="1" applyBorder="1" applyAlignment="1">
      <alignment horizontal="center"/>
    </xf>
    <xf numFmtId="0" fontId="39" fillId="15" borderId="28" xfId="1" applyFont="1" applyFill="1" applyBorder="1" applyAlignment="1">
      <alignment horizontal="center"/>
    </xf>
    <xf numFmtId="0" fontId="23" fillId="12" borderId="7" xfId="6" applyFont="1" applyFill="1" applyBorder="1" applyAlignment="1">
      <alignment horizontal="center" vertical="center"/>
    </xf>
    <xf numFmtId="0" fontId="2" fillId="15" borderId="40" xfId="2" applyFont="1" applyFill="1" applyBorder="1" applyAlignment="1">
      <alignment horizontal="center"/>
    </xf>
    <xf numFmtId="0" fontId="2" fillId="15" borderId="41" xfId="2" applyFont="1" applyFill="1" applyBorder="1" applyAlignment="1">
      <alignment horizontal="center"/>
    </xf>
    <xf numFmtId="0" fontId="2" fillId="15" borderId="42" xfId="2" applyFont="1" applyFill="1" applyBorder="1" applyAlignment="1">
      <alignment horizontal="center"/>
    </xf>
    <xf numFmtId="0" fontId="7" fillId="3" borderId="48" xfId="2" applyFont="1" applyBorder="1" applyAlignment="1">
      <alignment horizontal="center"/>
    </xf>
    <xf numFmtId="14" fontId="40" fillId="15" borderId="18" xfId="1" applyNumberFormat="1" applyFont="1" applyFill="1" applyBorder="1" applyAlignment="1">
      <alignment horizontal="center"/>
    </xf>
    <xf numFmtId="0" fontId="40" fillId="15" borderId="19" xfId="1" applyFont="1" applyFill="1" applyBorder="1" applyAlignment="1">
      <alignment horizontal="center"/>
    </xf>
    <xf numFmtId="0" fontId="23" fillId="13" borderId="6" xfId="7" applyFont="1" applyFill="1" applyBorder="1" applyAlignment="1">
      <alignment horizontal="center" vertical="center"/>
    </xf>
    <xf numFmtId="0" fontId="23" fillId="13" borderId="7" xfId="7" applyFont="1" applyFill="1" applyBorder="1" applyAlignment="1">
      <alignment horizontal="center" vertical="center"/>
    </xf>
    <xf numFmtId="0" fontId="39" fillId="15" borderId="12" xfId="1" applyFont="1" applyFill="1" applyBorder="1" applyAlignment="1">
      <alignment horizontal="center"/>
    </xf>
    <xf numFmtId="0" fontId="39" fillId="15" borderId="13" xfId="1" applyFont="1" applyFill="1" applyBorder="1" applyAlignment="1">
      <alignment horizontal="center"/>
    </xf>
    <xf numFmtId="0" fontId="23" fillId="14" borderId="6" xfId="6" applyFont="1" applyFill="1" applyBorder="1" applyAlignment="1">
      <alignment horizontal="center"/>
    </xf>
    <xf numFmtId="0" fontId="23" fillId="14" borderId="8" xfId="6" applyFont="1" applyFill="1" applyBorder="1" applyAlignment="1">
      <alignment horizontal="center"/>
    </xf>
    <xf numFmtId="0" fontId="23" fillId="14" borderId="7" xfId="6" applyFont="1" applyFill="1" applyBorder="1" applyAlignment="1">
      <alignment horizontal="center"/>
    </xf>
    <xf numFmtId="0" fontId="7" fillId="15" borderId="45" xfId="2" applyFont="1" applyFill="1" applyBorder="1" applyAlignment="1">
      <alignment horizontal="center"/>
    </xf>
    <xf numFmtId="0" fontId="7" fillId="15" borderId="46" xfId="2" applyFont="1" applyFill="1" applyBorder="1" applyAlignment="1">
      <alignment horizontal="center"/>
    </xf>
    <xf numFmtId="0" fontId="7" fillId="15" borderId="47" xfId="2" applyFont="1" applyFill="1" applyBorder="1" applyAlignment="1">
      <alignment horizontal="center"/>
    </xf>
    <xf numFmtId="0" fontId="23" fillId="13" borderId="6" xfId="6" applyFont="1" applyFill="1" applyBorder="1" applyAlignment="1">
      <alignment horizontal="center"/>
    </xf>
    <xf numFmtId="0" fontId="23" fillId="13" borderId="8" xfId="6" applyFont="1" applyFill="1" applyBorder="1" applyAlignment="1">
      <alignment horizontal="center"/>
    </xf>
    <xf numFmtId="0" fontId="23" fillId="13" borderId="7" xfId="6" applyFont="1" applyFill="1" applyBorder="1" applyAlignment="1">
      <alignment horizontal="center"/>
    </xf>
    <xf numFmtId="0" fontId="34" fillId="15" borderId="44" xfId="2" applyFont="1" applyFill="1" applyBorder="1" applyAlignment="1">
      <alignment horizontal="center"/>
    </xf>
    <xf numFmtId="0" fontId="39" fillId="15" borderId="66" xfId="1" applyFont="1" applyFill="1" applyBorder="1" applyAlignment="1">
      <alignment horizontal="center"/>
    </xf>
    <xf numFmtId="0" fontId="39" fillId="15" borderId="67" xfId="1" applyFont="1" applyFill="1" applyBorder="1" applyAlignment="1">
      <alignment horizontal="center"/>
    </xf>
    <xf numFmtId="0" fontId="40" fillId="15" borderId="20" xfId="1" applyFont="1" applyFill="1" applyBorder="1" applyAlignment="1">
      <alignment horizontal="center"/>
    </xf>
    <xf numFmtId="0" fontId="40" fillId="15" borderId="21" xfId="1" applyFont="1" applyFill="1" applyBorder="1" applyAlignment="1">
      <alignment horizontal="center"/>
    </xf>
    <xf numFmtId="0" fontId="23" fillId="11" borderId="64" xfId="7" applyFont="1" applyFill="1" applyBorder="1" applyAlignment="1" applyProtection="1">
      <alignment horizontal="center" vertical="center"/>
      <protection locked="0"/>
    </xf>
    <xf numFmtId="0" fontId="23" fillId="11" borderId="54" xfId="7" applyFont="1" applyFill="1" applyBorder="1" applyAlignment="1" applyProtection="1">
      <alignment horizontal="center" vertical="center"/>
      <protection locked="0"/>
    </xf>
    <xf numFmtId="0" fontId="39" fillId="15" borderId="92" xfId="1" applyFont="1" applyFill="1" applyBorder="1" applyAlignment="1">
      <alignment horizontal="center"/>
    </xf>
    <xf numFmtId="0" fontId="40" fillId="15" borderId="49" xfId="1" applyFont="1" applyFill="1" applyBorder="1" applyAlignment="1">
      <alignment horizontal="center"/>
    </xf>
    <xf numFmtId="0" fontId="23" fillId="16" borderId="6" xfId="7" applyFont="1" applyFill="1" applyBorder="1" applyAlignment="1">
      <alignment horizontal="center" vertical="center"/>
    </xf>
    <xf numFmtId="0" fontId="23" fillId="16" borderId="7" xfId="7" applyFont="1" applyFill="1" applyBorder="1" applyAlignment="1">
      <alignment horizontal="center" vertical="center"/>
    </xf>
    <xf numFmtId="0" fontId="7" fillId="15" borderId="24" xfId="1" applyFont="1" applyFill="1" applyBorder="1" applyAlignment="1">
      <alignment horizontal="center"/>
    </xf>
    <xf numFmtId="0" fontId="7" fillId="15" borderId="25" xfId="1" applyFont="1" applyFill="1" applyBorder="1" applyAlignment="1">
      <alignment horizontal="center"/>
    </xf>
    <xf numFmtId="0" fontId="8" fillId="14" borderId="6" xfId="0" applyFont="1" applyFill="1" applyBorder="1" applyAlignment="1">
      <alignment horizontal="center"/>
    </xf>
    <xf numFmtId="0" fontId="8" fillId="14" borderId="7" xfId="0" applyFont="1" applyFill="1" applyBorder="1" applyAlignment="1">
      <alignment horizontal="center"/>
    </xf>
    <xf numFmtId="0" fontId="40" fillId="15" borderId="14" xfId="1" applyFont="1" applyFill="1" applyBorder="1" applyAlignment="1">
      <alignment horizontal="center"/>
    </xf>
    <xf numFmtId="0" fontId="40" fillId="15" borderId="15" xfId="1" applyFont="1" applyFill="1" applyBorder="1" applyAlignment="1">
      <alignment horizontal="center"/>
    </xf>
    <xf numFmtId="0" fontId="0" fillId="15" borderId="49" xfId="0" applyFill="1" applyBorder="1" applyAlignment="1">
      <alignment horizontal="center"/>
    </xf>
    <xf numFmtId="0" fontId="0" fillId="15" borderId="21" xfId="0" applyFill="1" applyBorder="1" applyAlignment="1">
      <alignment horizontal="center"/>
    </xf>
    <xf numFmtId="0" fontId="0" fillId="15" borderId="86" xfId="0" applyFill="1" applyBorder="1" applyAlignment="1">
      <alignment horizontal="center"/>
    </xf>
    <xf numFmtId="0" fontId="0" fillId="15" borderId="23" xfId="0" applyFill="1" applyBorder="1" applyAlignment="1">
      <alignment horizontal="center"/>
    </xf>
    <xf numFmtId="0" fontId="23" fillId="14" borderId="6" xfId="7" applyFont="1" applyFill="1" applyBorder="1" applyAlignment="1">
      <alignment horizontal="center" vertical="center"/>
    </xf>
    <xf numFmtId="0" fontId="23" fillId="14" borderId="7" xfId="7" applyFont="1" applyFill="1" applyBorder="1" applyAlignment="1">
      <alignment horizontal="center" vertical="center"/>
    </xf>
    <xf numFmtId="0" fontId="39" fillId="15" borderId="93" xfId="1" applyFont="1" applyFill="1" applyBorder="1" applyAlignment="1">
      <alignment horizontal="center"/>
    </xf>
    <xf numFmtId="0" fontId="39" fillId="15" borderId="94" xfId="1" applyFont="1" applyFill="1" applyBorder="1" applyAlignment="1">
      <alignment horizontal="center"/>
    </xf>
    <xf numFmtId="0" fontId="0" fillId="15" borderId="70" xfId="0" applyFill="1" applyBorder="1" applyAlignment="1">
      <alignment horizontal="center"/>
    </xf>
    <xf numFmtId="0" fontId="0" fillId="15" borderId="19" xfId="0" applyFill="1" applyBorder="1" applyAlignment="1">
      <alignment horizontal="center"/>
    </xf>
    <xf numFmtId="0" fontId="0" fillId="15" borderId="85" xfId="0" applyFill="1" applyBorder="1" applyAlignment="1">
      <alignment horizontal="center"/>
    </xf>
    <xf numFmtId="0" fontId="0" fillId="15" borderId="47" xfId="0" applyFill="1" applyBorder="1" applyAlignment="1">
      <alignment horizontal="center"/>
    </xf>
    <xf numFmtId="0" fontId="34" fillId="15" borderId="20" xfId="2" applyFont="1" applyFill="1" applyBorder="1" applyAlignment="1">
      <alignment horizontal="center"/>
    </xf>
    <xf numFmtId="0" fontId="34" fillId="15" borderId="3" xfId="2" applyFont="1" applyFill="1" applyBorder="1" applyAlignment="1">
      <alignment horizontal="center"/>
    </xf>
    <xf numFmtId="0" fontId="34" fillId="15" borderId="48" xfId="2" applyFont="1" applyFill="1" applyBorder="1" applyAlignment="1">
      <alignment horizontal="center"/>
    </xf>
    <xf numFmtId="0" fontId="7" fillId="15" borderId="20" xfId="2" applyFont="1" applyFill="1" applyBorder="1" applyAlignment="1">
      <alignment horizontal="center"/>
    </xf>
    <xf numFmtId="0" fontId="7" fillId="15" borderId="3" xfId="2" applyFont="1" applyFill="1" applyBorder="1" applyAlignment="1">
      <alignment horizontal="center"/>
    </xf>
    <xf numFmtId="0" fontId="7" fillId="15" borderId="48" xfId="2" applyFont="1" applyFill="1" applyBorder="1" applyAlignment="1">
      <alignment horizontal="center"/>
    </xf>
    <xf numFmtId="0" fontId="7" fillId="15" borderId="20" xfId="1" applyFont="1" applyFill="1" applyBorder="1" applyAlignment="1">
      <alignment horizontal="center"/>
    </xf>
    <xf numFmtId="0" fontId="7" fillId="15" borderId="21" xfId="1" applyFont="1" applyFill="1" applyBorder="1" applyAlignment="1">
      <alignment horizontal="center"/>
    </xf>
    <xf numFmtId="0" fontId="7" fillId="15" borderId="49" xfId="1" applyFont="1" applyFill="1" applyBorder="1" applyAlignment="1">
      <alignment horizontal="center"/>
    </xf>
    <xf numFmtId="0" fontId="0" fillId="15" borderId="22" xfId="2" applyFont="1" applyFill="1" applyBorder="1" applyAlignment="1">
      <alignment horizontal="center"/>
    </xf>
    <xf numFmtId="0" fontId="0" fillId="15" borderId="29" xfId="2" applyFont="1" applyFill="1" applyBorder="1" applyAlignment="1">
      <alignment horizontal="center"/>
    </xf>
    <xf numFmtId="0" fontId="0" fillId="15" borderId="85" xfId="2" applyFont="1" applyFill="1" applyBorder="1" applyAlignment="1">
      <alignment horizontal="center"/>
    </xf>
    <xf numFmtId="0" fontId="39" fillId="15" borderId="86" xfId="1" applyFont="1" applyFill="1" applyBorder="1" applyAlignment="1">
      <alignment horizontal="center"/>
    </xf>
    <xf numFmtId="0" fontId="23" fillId="12" borderId="8" xfId="7" applyFont="1" applyFill="1" applyBorder="1" applyAlignment="1" applyProtection="1">
      <alignment horizontal="center" vertical="center"/>
      <protection locked="0"/>
    </xf>
    <xf numFmtId="0" fontId="34" fillId="15" borderId="20" xfId="5" applyFont="1" applyFill="1" applyBorder="1" applyAlignment="1">
      <alignment horizontal="center"/>
    </xf>
    <xf numFmtId="0" fontId="34" fillId="15" borderId="3" xfId="5" applyFont="1" applyFill="1" applyBorder="1" applyAlignment="1">
      <alignment horizontal="center"/>
    </xf>
    <xf numFmtId="0" fontId="34" fillId="15" borderId="48" xfId="5" applyFont="1" applyFill="1" applyBorder="1" applyAlignment="1">
      <alignment horizontal="center"/>
    </xf>
    <xf numFmtId="49" fontId="1" fillId="10" borderId="43" xfId="0" applyNumberFormat="1" applyFont="1" applyFill="1" applyBorder="1" applyAlignment="1">
      <alignment horizontal="center"/>
    </xf>
    <xf numFmtId="49" fontId="1" fillId="10" borderId="44" xfId="0" applyNumberFormat="1" applyFont="1" applyFill="1" applyBorder="1" applyAlignment="1">
      <alignment horizontal="center"/>
    </xf>
    <xf numFmtId="0" fontId="0" fillId="10" borderId="20" xfId="0" applyFill="1" applyBorder="1" applyAlignment="1">
      <alignment horizontal="center"/>
    </xf>
    <xf numFmtId="0" fontId="0" fillId="10" borderId="3" xfId="0" applyFill="1" applyBorder="1" applyAlignment="1">
      <alignment horizontal="center"/>
    </xf>
    <xf numFmtId="0" fontId="0" fillId="10" borderId="21" xfId="0" applyFill="1" applyBorder="1" applyAlignment="1">
      <alignment horizontal="center"/>
    </xf>
    <xf numFmtId="0" fontId="1" fillId="10" borderId="20" xfId="0" applyFont="1" applyFill="1" applyBorder="1" applyAlignment="1">
      <alignment horizontal="center"/>
    </xf>
    <xf numFmtId="0" fontId="1" fillId="10" borderId="21" xfId="0" applyFont="1" applyFill="1" applyBorder="1" applyAlignment="1">
      <alignment horizontal="center"/>
    </xf>
    <xf numFmtId="0" fontId="23" fillId="36" borderId="0" xfId="0" applyFont="1" applyFill="1" applyAlignment="1">
      <alignment horizontal="center" vertical="center"/>
    </xf>
    <xf numFmtId="49" fontId="1" fillId="10" borderId="40" xfId="0" applyNumberFormat="1" applyFont="1" applyFill="1" applyBorder="1" applyAlignment="1">
      <alignment horizontal="center"/>
    </xf>
    <xf numFmtId="49" fontId="1" fillId="10" borderId="42" xfId="0" applyNumberFormat="1" applyFont="1" applyFill="1" applyBorder="1" applyAlignment="1">
      <alignment horizontal="center"/>
    </xf>
    <xf numFmtId="0" fontId="0" fillId="10" borderId="26" xfId="0" applyFill="1" applyBorder="1" applyAlignment="1">
      <alignment horizontal="center"/>
    </xf>
    <xf numFmtId="0" fontId="0" fillId="10" borderId="27" xfId="0" applyFill="1" applyBorder="1" applyAlignment="1">
      <alignment horizontal="center"/>
    </xf>
    <xf numFmtId="0" fontId="0" fillId="10" borderId="28" xfId="0" applyFill="1" applyBorder="1" applyAlignment="1">
      <alignment horizontal="center"/>
    </xf>
    <xf numFmtId="0" fontId="1" fillId="10" borderId="26" xfId="0" applyFont="1" applyFill="1" applyBorder="1" applyAlignment="1">
      <alignment horizontal="center"/>
    </xf>
    <xf numFmtId="0" fontId="1" fillId="10" borderId="28" xfId="0" applyFont="1" applyFill="1" applyBorder="1" applyAlignment="1">
      <alignment horizontal="center"/>
    </xf>
    <xf numFmtId="49" fontId="1" fillId="10" borderId="45" xfId="0" applyNumberFormat="1" applyFont="1" applyFill="1" applyBorder="1" applyAlignment="1">
      <alignment horizontal="center"/>
    </xf>
    <xf numFmtId="49" fontId="1" fillId="10" borderId="47" xfId="0" applyNumberFormat="1" applyFont="1" applyFill="1" applyBorder="1" applyAlignment="1">
      <alignment horizontal="center"/>
    </xf>
    <xf numFmtId="0" fontId="0" fillId="10" borderId="22" xfId="0" applyFill="1" applyBorder="1" applyAlignment="1">
      <alignment horizontal="center"/>
    </xf>
    <xf numFmtId="0" fontId="0" fillId="10" borderId="29" xfId="0" applyFill="1" applyBorder="1" applyAlignment="1">
      <alignment horizontal="center"/>
    </xf>
    <xf numFmtId="0" fontId="0" fillId="10" borderId="23" xfId="0" applyFill="1" applyBorder="1" applyAlignment="1">
      <alignment horizontal="center"/>
    </xf>
    <xf numFmtId="0" fontId="1" fillId="10" borderId="22" xfId="0" applyFont="1" applyFill="1" applyBorder="1" applyAlignment="1">
      <alignment horizontal="center"/>
    </xf>
    <xf numFmtId="0" fontId="1" fillId="10" borderId="23" xfId="0" applyFont="1" applyFill="1" applyBorder="1" applyAlignment="1">
      <alignment horizontal="center"/>
    </xf>
    <xf numFmtId="165" fontId="7" fillId="0" borderId="0" xfId="4" applyNumberFormat="1" applyFont="1" applyFill="1" applyBorder="1" applyAlignment="1">
      <alignment horizontal="center" vertical="center"/>
    </xf>
    <xf numFmtId="0" fontId="11" fillId="18" borderId="0" xfId="0" applyFont="1" applyFill="1" applyAlignment="1">
      <alignment horizontal="left" vertical="center"/>
    </xf>
    <xf numFmtId="0" fontId="12" fillId="18" borderId="0" xfId="0" applyFont="1" applyFill="1" applyAlignment="1">
      <alignment horizontal="center"/>
    </xf>
    <xf numFmtId="0" fontId="15" fillId="19" borderId="0" xfId="0" applyFont="1" applyFill="1" applyAlignment="1">
      <alignment horizontal="center"/>
    </xf>
    <xf numFmtId="164" fontId="13" fillId="22" borderId="56" xfId="0" applyNumberFormat="1" applyFont="1" applyFill="1" applyBorder="1" applyAlignment="1">
      <alignment horizontal="center"/>
    </xf>
    <xf numFmtId="164" fontId="13" fillId="22" borderId="57" xfId="0" applyNumberFormat="1" applyFont="1" applyFill="1" applyBorder="1" applyAlignment="1">
      <alignment horizontal="center"/>
    </xf>
    <xf numFmtId="0" fontId="13" fillId="20" borderId="0" xfId="0" applyFont="1" applyFill="1" applyAlignment="1">
      <alignment horizontal="center"/>
    </xf>
    <xf numFmtId="0" fontId="12" fillId="18" borderId="58" xfId="0" applyFont="1" applyFill="1" applyBorder="1" applyAlignment="1">
      <alignment horizontal="center"/>
    </xf>
    <xf numFmtId="0" fontId="26" fillId="38" borderId="0" xfId="0" applyFont="1" applyFill="1" applyAlignment="1" applyProtection="1">
      <alignment horizontal="center" vertical="center"/>
      <protection locked="0"/>
    </xf>
    <xf numFmtId="0" fontId="27" fillId="37" borderId="0" xfId="0" applyFont="1" applyFill="1" applyAlignment="1" applyProtection="1">
      <alignment horizontal="center" vertical="center"/>
      <protection locked="0"/>
    </xf>
    <xf numFmtId="0" fontId="0" fillId="18" borderId="63" xfId="0" applyFill="1" applyBorder="1" applyAlignment="1">
      <alignment horizontal="center"/>
    </xf>
    <xf numFmtId="0" fontId="0" fillId="18" borderId="65" xfId="0" applyFill="1" applyBorder="1" applyAlignment="1">
      <alignment horizontal="center"/>
    </xf>
    <xf numFmtId="0" fontId="17" fillId="29" borderId="6" xfId="0" applyFont="1" applyFill="1" applyBorder="1" applyAlignment="1">
      <alignment horizontal="center"/>
    </xf>
    <xf numFmtId="0" fontId="17" fillId="29" borderId="8" xfId="0" applyFont="1" applyFill="1" applyBorder="1" applyAlignment="1">
      <alignment horizontal="center"/>
    </xf>
    <xf numFmtId="0" fontId="17" fillId="29" borderId="7" xfId="0" applyFont="1" applyFill="1" applyBorder="1" applyAlignment="1">
      <alignment horizontal="center"/>
    </xf>
    <xf numFmtId="0" fontId="17" fillId="30" borderId="6" xfId="0" applyFont="1" applyFill="1" applyBorder="1" applyAlignment="1">
      <alignment horizontal="center"/>
    </xf>
    <xf numFmtId="0" fontId="17" fillId="30" borderId="8" xfId="0" applyFont="1" applyFill="1" applyBorder="1" applyAlignment="1">
      <alignment horizontal="center"/>
    </xf>
    <xf numFmtId="0" fontId="17" fillId="30" borderId="7" xfId="0" applyFont="1" applyFill="1" applyBorder="1" applyAlignment="1">
      <alignment horizontal="center"/>
    </xf>
    <xf numFmtId="0" fontId="17" fillId="33" borderId="3" xfId="0" applyFont="1" applyFill="1" applyBorder="1" applyAlignment="1">
      <alignment horizontal="center"/>
    </xf>
    <xf numFmtId="0" fontId="17" fillId="32" borderId="3" xfId="0" applyFont="1" applyFill="1" applyBorder="1" applyAlignment="1">
      <alignment horizontal="center"/>
    </xf>
    <xf numFmtId="0" fontId="17" fillId="32" borderId="21" xfId="0" applyFont="1" applyFill="1" applyBorder="1" applyAlignment="1">
      <alignment horizontal="center"/>
    </xf>
    <xf numFmtId="0" fontId="16" fillId="23" borderId="6" xfId="0" applyFont="1" applyFill="1" applyBorder="1" applyAlignment="1">
      <alignment horizontal="center"/>
    </xf>
    <xf numFmtId="0" fontId="16" fillId="23" borderId="8" xfId="0" applyFont="1" applyFill="1" applyBorder="1" applyAlignment="1">
      <alignment horizontal="center"/>
    </xf>
    <xf numFmtId="0" fontId="16" fillId="23" borderId="7" xfId="0" applyFont="1" applyFill="1" applyBorder="1" applyAlignment="1">
      <alignment horizontal="center"/>
    </xf>
    <xf numFmtId="0" fontId="17" fillId="23" borderId="6" xfId="0" applyFont="1" applyFill="1" applyBorder="1" applyAlignment="1">
      <alignment horizontal="center"/>
    </xf>
    <xf numFmtId="0" fontId="17" fillId="23" borderId="8" xfId="0" applyFont="1" applyFill="1" applyBorder="1" applyAlignment="1">
      <alignment horizontal="center"/>
    </xf>
    <xf numFmtId="0" fontId="17" fillId="23" borderId="7" xfId="0" applyFont="1" applyFill="1" applyBorder="1" applyAlignment="1">
      <alignment horizontal="center"/>
    </xf>
    <xf numFmtId="0" fontId="17" fillId="33" borderId="48" xfId="0" applyFont="1" applyFill="1" applyBorder="1" applyAlignment="1">
      <alignment horizontal="center"/>
    </xf>
    <xf numFmtId="0" fontId="17" fillId="33" borderId="49" xfId="0" applyFont="1" applyFill="1" applyBorder="1" applyAlignment="1">
      <alignment horizontal="center"/>
    </xf>
    <xf numFmtId="0" fontId="17" fillId="28" borderId="6" xfId="0" applyFont="1" applyFill="1" applyBorder="1" applyAlignment="1">
      <alignment horizontal="center"/>
    </xf>
    <xf numFmtId="0" fontId="17" fillId="28" borderId="8" xfId="0" applyFont="1" applyFill="1" applyBorder="1" applyAlignment="1">
      <alignment horizontal="center"/>
    </xf>
    <xf numFmtId="0" fontId="17" fillId="28" borderId="7" xfId="0" applyFont="1" applyFill="1" applyBorder="1" applyAlignment="1">
      <alignment horizontal="center"/>
    </xf>
    <xf numFmtId="0" fontId="17" fillId="31" borderId="6" xfId="0" applyFont="1" applyFill="1" applyBorder="1" applyAlignment="1">
      <alignment horizontal="center"/>
    </xf>
    <xf numFmtId="0" fontId="17" fillId="31" borderId="8" xfId="0" applyFont="1" applyFill="1" applyBorder="1" applyAlignment="1">
      <alignment horizontal="center"/>
    </xf>
    <xf numFmtId="0" fontId="17" fillId="31" borderId="7" xfId="0" applyFont="1" applyFill="1" applyBorder="1" applyAlignment="1">
      <alignment horizontal="center"/>
    </xf>
    <xf numFmtId="0" fontId="0" fillId="10" borderId="26" xfId="0" applyFill="1" applyBorder="1" applyAlignment="1"/>
    <xf numFmtId="0" fontId="0" fillId="10" borderId="3" xfId="0" applyFill="1" applyBorder="1" applyAlignment="1"/>
    <xf numFmtId="0" fontId="0" fillId="10" borderId="27" xfId="0" applyFill="1" applyBorder="1" applyAlignment="1"/>
    <xf numFmtId="0" fontId="0" fillId="10" borderId="28" xfId="0" applyFill="1" applyBorder="1" applyAlignment="1"/>
    <xf numFmtId="0" fontId="0" fillId="10" borderId="20" xfId="0" applyFill="1" applyBorder="1" applyAlignment="1"/>
    <xf numFmtId="0" fontId="0" fillId="10" borderId="21" xfId="0" applyFill="1" applyBorder="1" applyAlignment="1"/>
  </cellXfs>
  <cellStyles count="11">
    <cellStyle name="20% - Ênfase1" xfId="3" builtinId="30"/>
    <cellStyle name="40% - Ênfase1" xfId="4" builtinId="31"/>
    <cellStyle name="60% - Ênfase6" xfId="8" builtinId="52"/>
    <cellStyle name="Cálculo" xfId="1" builtinId="22"/>
    <cellStyle name="Ênfase2" xfId="5" builtinId="33"/>
    <cellStyle name="Ênfase4" xfId="6" builtinId="41"/>
    <cellStyle name="Ênfase6" xfId="7" builtinId="49"/>
    <cellStyle name="Hiperlink" xfId="9" builtinId="8"/>
    <cellStyle name="Normal" xfId="0" builtinId="0"/>
    <cellStyle name="Nota" xfId="2" builtinId="10"/>
    <cellStyle name="Vírgula" xfId="10" builtinId="3"/>
  </cellStyles>
  <dxfs count="74">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d/mm/yy"/>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d/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12"/>
        <color theme="9" tint="0.79998168889431442"/>
      </font>
      <fill>
        <patternFill>
          <bgColor rgb="FF009999"/>
        </patternFill>
      </fill>
    </dxf>
    <dxf>
      <fill>
        <patternFill>
          <bgColor rgb="FF00B0AC"/>
        </patternFill>
      </fill>
    </dxf>
    <dxf>
      <fill>
        <patternFill>
          <bgColor rgb="FF009999"/>
        </patternFill>
      </fill>
    </dxf>
  </dxfs>
  <tableStyles count="2" defaultTableStyle="TableStyleMedium2" defaultPivotStyle="PivotStyleLight16">
    <tableStyle name="Estilo de Segmentação de Dados 1" pivot="0" table="0" count="1" xr9:uid="{81731EC2-5875-4E6E-AF33-8D991617CC56}">
      <tableStyleElement type="wholeTable" dxfId="73"/>
    </tableStyle>
    <tableStyle name="Professores" pivot="0" table="0" count="4" xr9:uid="{DF5E1A67-CD07-4636-AD63-2F5C3F7C1609}">
      <tableStyleElement type="wholeTable" dxfId="72"/>
      <tableStyleElement type="headerRow" dxfId="71"/>
    </tableStyle>
  </tableStyles>
  <colors>
    <mruColors>
      <color rgb="FFF2F2F2"/>
      <color rgb="FFFFFFCC"/>
      <color rgb="FF0AD1EC"/>
      <color rgb="FF00A8A4"/>
      <color rgb="FFF26419"/>
      <color rgb="FF00F0EA"/>
      <color rgb="FF00B0AC"/>
      <color rgb="FF009999"/>
      <color rgb="FF00A6FB"/>
      <color rgb="FF70AD47"/>
    </mruColors>
  </colors>
  <extLst>
    <ext xmlns:x14="http://schemas.microsoft.com/office/spreadsheetml/2009/9/main" uri="{46F421CA-312F-682f-3DD2-61675219B42D}">
      <x14:dxfs count="2">
        <dxf>
          <font>
            <color theme="9" tint="-0.499984740745262"/>
          </font>
        </dxf>
        <dxf>
          <font>
            <color theme="9" tint="0.59996337778862885"/>
          </font>
        </dxf>
      </x14:dxfs>
    </ext>
    <ext xmlns:x14="http://schemas.microsoft.com/office/spreadsheetml/2009/9/main" uri="{EB79DEF2-80B8-43e5-95BD-54CBDDF9020C}">
      <x14:slicerStyles defaultSlicerStyle="SlicerStyleLight1">
        <x14:slicerStyle name="Estilo de Segmentação de Dados 1"/>
        <x14:slicerStyle name="Professores">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 </a:t>
            </a:r>
            <a:r>
              <a:rPr lang="en-US" b="1">
                <a:latin typeface="Arial Black" panose="020B0A04020102020204" pitchFamily="34" charset="0"/>
                <a:cs typeface="Arial" panose="020B0604020202020204" pitchFamily="34" charset="0"/>
              </a:rPr>
              <a:t>ATENDIMENTOS EQUIPE TECNOLOGICA EM SALAS DE AULA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AUXILIAR!$B$4</c:f>
              <c:strCache>
                <c:ptCount val="1"/>
                <c:pt idx="0">
                  <c:v>Q. Atendimentos</c:v>
                </c:pt>
              </c:strCache>
            </c:strRef>
          </c:tx>
          <c:spPr>
            <a:solidFill>
              <a:schemeClr val="accent1"/>
            </a:solidFill>
            <a:ln>
              <a:noFill/>
            </a:ln>
            <a:effectLst/>
            <a:sp3d/>
          </c:spPr>
          <c:invertIfNegative val="0"/>
          <c:cat>
            <c:strRef>
              <c:f>AUXILIAR!$A$5:$A$37</c:f>
              <c:strCache>
                <c:ptCount val="33"/>
                <c:pt idx="0">
                  <c:v>A1</c:v>
                </c:pt>
                <c:pt idx="1">
                  <c:v>A2</c:v>
                </c:pt>
                <c:pt idx="2">
                  <c:v>A3</c:v>
                </c:pt>
                <c:pt idx="3">
                  <c:v>A4</c:v>
                </c:pt>
                <c:pt idx="4">
                  <c:v>A5</c:v>
                </c:pt>
                <c:pt idx="5">
                  <c:v>A6</c:v>
                </c:pt>
                <c:pt idx="6">
                  <c:v>A7</c:v>
                </c:pt>
                <c:pt idx="7">
                  <c:v>A8</c:v>
                </c:pt>
                <c:pt idx="8">
                  <c:v>A9</c:v>
                </c:pt>
                <c:pt idx="9">
                  <c:v>C1</c:v>
                </c:pt>
                <c:pt idx="10">
                  <c:v>C2</c:v>
                </c:pt>
                <c:pt idx="11">
                  <c:v>C3</c:v>
                </c:pt>
                <c:pt idx="12">
                  <c:v>C4</c:v>
                </c:pt>
                <c:pt idx="13">
                  <c:v>C5</c:v>
                </c:pt>
                <c:pt idx="14">
                  <c:v>C6</c:v>
                </c:pt>
                <c:pt idx="15">
                  <c:v>C7</c:v>
                </c:pt>
                <c:pt idx="16">
                  <c:v>C8</c:v>
                </c:pt>
                <c:pt idx="17">
                  <c:v>C9</c:v>
                </c:pt>
                <c:pt idx="18">
                  <c:v>C10</c:v>
                </c:pt>
                <c:pt idx="19">
                  <c:v>C11</c:v>
                </c:pt>
                <c:pt idx="20">
                  <c:v>E1</c:v>
                </c:pt>
                <c:pt idx="21">
                  <c:v>E2</c:v>
                </c:pt>
                <c:pt idx="22">
                  <c:v>E3</c:v>
                </c:pt>
                <c:pt idx="23">
                  <c:v>E4</c:v>
                </c:pt>
                <c:pt idx="24">
                  <c:v>E5</c:v>
                </c:pt>
                <c:pt idx="25">
                  <c:v>E6</c:v>
                </c:pt>
                <c:pt idx="26">
                  <c:v>E7</c:v>
                </c:pt>
                <c:pt idx="27">
                  <c:v>E8</c:v>
                </c:pt>
                <c:pt idx="28">
                  <c:v>D1</c:v>
                </c:pt>
                <c:pt idx="29">
                  <c:v>D2</c:v>
                </c:pt>
                <c:pt idx="30">
                  <c:v>AUDITÓRIO 1</c:v>
                </c:pt>
                <c:pt idx="31">
                  <c:v>AUDITÓRIO 2</c:v>
                </c:pt>
                <c:pt idx="32">
                  <c:v>ROBOTICA </c:v>
                </c:pt>
              </c:strCache>
            </c:strRef>
          </c:cat>
          <c:val>
            <c:numRef>
              <c:f>AUXILIAR!$B$5:$B$37</c:f>
              <c:numCache>
                <c:formatCode>General</c:formatCode>
                <c:ptCount val="33"/>
                <c:pt idx="0">
                  <c:v>4</c:v>
                </c:pt>
                <c:pt idx="1">
                  <c:v>5</c:v>
                </c:pt>
                <c:pt idx="2">
                  <c:v>1</c:v>
                </c:pt>
                <c:pt idx="3">
                  <c:v>0</c:v>
                </c:pt>
                <c:pt idx="4">
                  <c:v>1</c:v>
                </c:pt>
                <c:pt idx="5">
                  <c:v>4</c:v>
                </c:pt>
                <c:pt idx="6">
                  <c:v>8</c:v>
                </c:pt>
                <c:pt idx="7">
                  <c:v>1</c:v>
                </c:pt>
                <c:pt idx="8">
                  <c:v>0</c:v>
                </c:pt>
                <c:pt idx="9">
                  <c:v>1</c:v>
                </c:pt>
                <c:pt idx="10">
                  <c:v>5</c:v>
                </c:pt>
                <c:pt idx="11">
                  <c:v>3</c:v>
                </c:pt>
                <c:pt idx="12">
                  <c:v>0</c:v>
                </c:pt>
                <c:pt idx="13">
                  <c:v>2</c:v>
                </c:pt>
                <c:pt idx="14">
                  <c:v>1</c:v>
                </c:pt>
                <c:pt idx="15">
                  <c:v>1</c:v>
                </c:pt>
                <c:pt idx="16">
                  <c:v>6</c:v>
                </c:pt>
                <c:pt idx="17">
                  <c:v>6</c:v>
                </c:pt>
                <c:pt idx="18">
                  <c:v>10</c:v>
                </c:pt>
                <c:pt idx="19">
                  <c:v>0</c:v>
                </c:pt>
                <c:pt idx="20">
                  <c:v>0</c:v>
                </c:pt>
                <c:pt idx="21">
                  <c:v>0</c:v>
                </c:pt>
                <c:pt idx="22">
                  <c:v>0</c:v>
                </c:pt>
                <c:pt idx="23">
                  <c:v>1</c:v>
                </c:pt>
                <c:pt idx="24">
                  <c:v>0</c:v>
                </c:pt>
                <c:pt idx="25">
                  <c:v>0</c:v>
                </c:pt>
                <c:pt idx="26">
                  <c:v>0</c:v>
                </c:pt>
                <c:pt idx="27">
                  <c:v>0</c:v>
                </c:pt>
                <c:pt idx="28">
                  <c:v>4</c:v>
                </c:pt>
                <c:pt idx="29">
                  <c:v>3</c:v>
                </c:pt>
                <c:pt idx="30">
                  <c:v>0</c:v>
                </c:pt>
                <c:pt idx="31">
                  <c:v>0</c:v>
                </c:pt>
                <c:pt idx="32">
                  <c:v>0</c:v>
                </c:pt>
              </c:numCache>
            </c:numRef>
          </c:val>
          <c:extLst>
            <c:ext xmlns:c16="http://schemas.microsoft.com/office/drawing/2014/chart" uri="{C3380CC4-5D6E-409C-BE32-E72D297353CC}">
              <c16:uniqueId val="{00000000-1049-4D92-9C28-7C2B107129C7}"/>
            </c:ext>
          </c:extLst>
        </c:ser>
        <c:dLbls>
          <c:showLegendKey val="0"/>
          <c:showVal val="0"/>
          <c:showCatName val="0"/>
          <c:showSerName val="0"/>
          <c:showPercent val="0"/>
          <c:showBubbleSize val="0"/>
        </c:dLbls>
        <c:gapWidth val="150"/>
        <c:shape val="box"/>
        <c:axId val="291372944"/>
        <c:axId val="291357280"/>
        <c:axId val="0"/>
      </c:bar3DChart>
      <c:catAx>
        <c:axId val="29137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357280"/>
        <c:crosses val="autoZero"/>
        <c:auto val="1"/>
        <c:lblAlgn val="ctr"/>
        <c:lblOffset val="100"/>
        <c:noMultiLvlLbl val="0"/>
      </c:catAx>
      <c:valAx>
        <c:axId val="2913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137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a:t>
            </a:r>
            <a:r>
              <a:rPr lang="pt-BR" sz="1600" b="1" baseline="0">
                <a:latin typeface="AXIS Extra Bold" panose="00000900000000000000" pitchFamily="50" charset="0"/>
              </a:rPr>
              <a:t> A1</a:t>
            </a:r>
            <a:endParaRPr lang="pt-BR" sz="1600" b="1">
              <a:latin typeface="AXIS Extra Bold" panose="00000900000000000000" pitchFamily="50"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EF2-42A1-9862-7E4EA2A2F1A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EF2-42A1-9862-7E4EA2A2F1A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CEF2-42A1-9862-7E4EA2A2F1A7}"/>
              </c:ext>
            </c:extLst>
          </c:dPt>
          <c:dPt>
            <c:idx val="3"/>
            <c:bubble3D val="0"/>
            <c:spPr>
              <a:noFill/>
              <a:ln w="19050">
                <a:solidFill>
                  <a:schemeClr val="lt1"/>
                </a:solidFill>
              </a:ln>
              <a:effectLst/>
            </c:spPr>
            <c:extLst>
              <c:ext xmlns:c16="http://schemas.microsoft.com/office/drawing/2014/chart" uri="{C3380CC4-5D6E-409C-BE32-E72D297353CC}">
                <c16:uniqueId val="{00000007-CEF2-42A1-9862-7E4EA2A2F1A7}"/>
              </c:ext>
            </c:extLst>
          </c:dPt>
          <c:val>
            <c:numRef>
              <c:f>'LANÇ. QUAL. PROJ'!$G$6:$G$9</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CEF2-42A1-9862-7E4EA2A2F1A7}"/>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CEF2-42A1-9862-7E4EA2A2F1A7}"/>
              </c:ext>
            </c:extLst>
          </c:dPt>
          <c:dPt>
            <c:idx val="1"/>
            <c:bubble3D val="0"/>
            <c:spPr>
              <a:solidFill>
                <a:schemeClr val="tx1"/>
              </a:solidFill>
              <a:ln w="19050">
                <a:noFill/>
              </a:ln>
              <a:effectLst/>
            </c:spPr>
            <c:extLst>
              <c:ext xmlns:c16="http://schemas.microsoft.com/office/drawing/2014/chart" uri="{C3380CC4-5D6E-409C-BE32-E72D297353CC}">
                <c16:uniqueId val="{0000000C-CEF2-42A1-9862-7E4EA2A2F1A7}"/>
              </c:ext>
            </c:extLst>
          </c:dPt>
          <c:dPt>
            <c:idx val="2"/>
            <c:bubble3D val="0"/>
            <c:spPr>
              <a:noFill/>
              <a:ln w="19050">
                <a:noFill/>
              </a:ln>
              <a:effectLst/>
            </c:spPr>
            <c:extLst>
              <c:ext xmlns:c16="http://schemas.microsoft.com/office/drawing/2014/chart" uri="{C3380CC4-5D6E-409C-BE32-E72D297353CC}">
                <c16:uniqueId val="{0000000E-CEF2-42A1-9862-7E4EA2A2F1A7}"/>
              </c:ext>
            </c:extLst>
          </c:dPt>
          <c:val>
            <c:numRef>
              <c:f>'LANÇ. QUAL. PROJ'!$F$13:$F$15</c:f>
              <c:numCache>
                <c:formatCode>0</c:formatCode>
                <c:ptCount val="3"/>
                <c:pt idx="0">
                  <c:v>121</c:v>
                </c:pt>
                <c:pt idx="1">
                  <c:v>30</c:v>
                </c:pt>
                <c:pt idx="2">
                  <c:v>7049</c:v>
                </c:pt>
              </c:numCache>
            </c:numRef>
          </c:val>
          <c:extLst>
            <c:ext xmlns:c16="http://schemas.microsoft.com/office/drawing/2014/chart" uri="{C3380CC4-5D6E-409C-BE32-E72D297353CC}">
              <c16:uniqueId val="{0000000F-CEF2-42A1-9862-7E4EA2A2F1A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A2</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024-497B-B6C1-E6AECF08609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024-497B-B6C1-E6AECF08609F}"/>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024-497B-B6C1-E6AECF08609F}"/>
              </c:ext>
            </c:extLst>
          </c:dPt>
          <c:dPt>
            <c:idx val="3"/>
            <c:bubble3D val="0"/>
            <c:spPr>
              <a:noFill/>
              <a:ln w="19050">
                <a:solidFill>
                  <a:schemeClr val="lt1"/>
                </a:solidFill>
              </a:ln>
              <a:effectLst/>
            </c:spPr>
            <c:extLst>
              <c:ext xmlns:c16="http://schemas.microsoft.com/office/drawing/2014/chart" uri="{C3380CC4-5D6E-409C-BE32-E72D297353CC}">
                <c16:uniqueId val="{00000007-6024-497B-B6C1-E6AECF08609F}"/>
              </c:ext>
            </c:extLst>
          </c:dPt>
          <c:val>
            <c:numRef>
              <c:f>'LANÇ. QUAL. PROJ'!$G$25:$G$28</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6024-497B-B6C1-E6AECF08609F}"/>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6024-497B-B6C1-E6AECF08609F}"/>
              </c:ext>
            </c:extLst>
          </c:dPt>
          <c:dPt>
            <c:idx val="1"/>
            <c:bubble3D val="0"/>
            <c:spPr>
              <a:solidFill>
                <a:schemeClr val="tx1"/>
              </a:solidFill>
              <a:ln w="19050">
                <a:noFill/>
              </a:ln>
              <a:effectLst/>
            </c:spPr>
            <c:extLst>
              <c:ext xmlns:c16="http://schemas.microsoft.com/office/drawing/2014/chart" uri="{C3380CC4-5D6E-409C-BE32-E72D297353CC}">
                <c16:uniqueId val="{0000000C-6024-497B-B6C1-E6AECF08609F}"/>
              </c:ext>
            </c:extLst>
          </c:dPt>
          <c:dPt>
            <c:idx val="2"/>
            <c:bubble3D val="0"/>
            <c:spPr>
              <a:noFill/>
              <a:ln w="19050">
                <a:noFill/>
              </a:ln>
              <a:effectLst/>
            </c:spPr>
            <c:extLst>
              <c:ext xmlns:c16="http://schemas.microsoft.com/office/drawing/2014/chart" uri="{C3380CC4-5D6E-409C-BE32-E72D297353CC}">
                <c16:uniqueId val="{0000000E-6024-497B-B6C1-E6AECF08609F}"/>
              </c:ext>
            </c:extLst>
          </c:dPt>
          <c:val>
            <c:numRef>
              <c:f>'LANÇ. QUAL. PROJ'!$F$32:$F$34</c:f>
              <c:numCache>
                <c:formatCode>0</c:formatCode>
                <c:ptCount val="3"/>
                <c:pt idx="0">
                  <c:v>721</c:v>
                </c:pt>
                <c:pt idx="1">
                  <c:v>30</c:v>
                </c:pt>
                <c:pt idx="2">
                  <c:v>6449</c:v>
                </c:pt>
              </c:numCache>
            </c:numRef>
          </c:val>
          <c:extLst>
            <c:ext xmlns:c16="http://schemas.microsoft.com/office/drawing/2014/chart" uri="{C3380CC4-5D6E-409C-BE32-E72D297353CC}">
              <c16:uniqueId val="{0000000F-6024-497B-B6C1-E6AECF08609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A3</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1231-4AC5-9A4D-EAEDE1DA9B1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231-4AC5-9A4D-EAEDE1DA9B14}"/>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231-4AC5-9A4D-EAEDE1DA9B14}"/>
              </c:ext>
            </c:extLst>
          </c:dPt>
          <c:dPt>
            <c:idx val="3"/>
            <c:bubble3D val="0"/>
            <c:spPr>
              <a:noFill/>
              <a:ln w="19050">
                <a:solidFill>
                  <a:schemeClr val="lt1"/>
                </a:solidFill>
              </a:ln>
              <a:effectLst/>
            </c:spPr>
            <c:extLst>
              <c:ext xmlns:c16="http://schemas.microsoft.com/office/drawing/2014/chart" uri="{C3380CC4-5D6E-409C-BE32-E72D297353CC}">
                <c16:uniqueId val="{00000007-1231-4AC5-9A4D-EAEDE1DA9B14}"/>
              </c:ext>
            </c:extLst>
          </c:dPt>
          <c:val>
            <c:numRef>
              <c:f>'LANÇ. QUAL. PROJ'!$G$43:$G$46</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1231-4AC5-9A4D-EAEDE1DA9B14}"/>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1231-4AC5-9A4D-EAEDE1DA9B14}"/>
              </c:ext>
            </c:extLst>
          </c:dPt>
          <c:dPt>
            <c:idx val="1"/>
            <c:bubble3D val="0"/>
            <c:spPr>
              <a:solidFill>
                <a:schemeClr val="tx1"/>
              </a:solidFill>
              <a:ln w="19050">
                <a:noFill/>
              </a:ln>
              <a:effectLst/>
            </c:spPr>
            <c:extLst>
              <c:ext xmlns:c16="http://schemas.microsoft.com/office/drawing/2014/chart" uri="{C3380CC4-5D6E-409C-BE32-E72D297353CC}">
                <c16:uniqueId val="{0000000C-1231-4AC5-9A4D-EAEDE1DA9B14}"/>
              </c:ext>
            </c:extLst>
          </c:dPt>
          <c:dPt>
            <c:idx val="2"/>
            <c:bubble3D val="0"/>
            <c:spPr>
              <a:noFill/>
              <a:ln w="19050">
                <a:noFill/>
              </a:ln>
              <a:effectLst/>
            </c:spPr>
            <c:extLst>
              <c:ext xmlns:c16="http://schemas.microsoft.com/office/drawing/2014/chart" uri="{C3380CC4-5D6E-409C-BE32-E72D297353CC}">
                <c16:uniqueId val="{0000000E-1231-4AC5-9A4D-EAEDE1DA9B14}"/>
              </c:ext>
            </c:extLst>
          </c:dPt>
          <c:val>
            <c:numRef>
              <c:f>'LANÇ. QUAL. PROJ'!$F$50:$F$52</c:f>
              <c:numCache>
                <c:formatCode>0</c:formatCode>
                <c:ptCount val="3"/>
                <c:pt idx="0">
                  <c:v>121</c:v>
                </c:pt>
                <c:pt idx="1">
                  <c:v>30</c:v>
                </c:pt>
                <c:pt idx="2">
                  <c:v>7049</c:v>
                </c:pt>
              </c:numCache>
            </c:numRef>
          </c:val>
          <c:extLst>
            <c:ext xmlns:c16="http://schemas.microsoft.com/office/drawing/2014/chart" uri="{C3380CC4-5D6E-409C-BE32-E72D297353CC}">
              <c16:uniqueId val="{0000000F-1231-4AC5-9A4D-EAEDE1DA9B1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A4</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7DC-401E-B278-60D453C3F8C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7DC-401E-B278-60D453C3F8C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7DC-401E-B278-60D453C3F8C5}"/>
              </c:ext>
            </c:extLst>
          </c:dPt>
          <c:dPt>
            <c:idx val="3"/>
            <c:bubble3D val="0"/>
            <c:spPr>
              <a:noFill/>
              <a:ln w="19050">
                <a:solidFill>
                  <a:schemeClr val="lt1"/>
                </a:solidFill>
              </a:ln>
              <a:effectLst/>
            </c:spPr>
            <c:extLst>
              <c:ext xmlns:c16="http://schemas.microsoft.com/office/drawing/2014/chart" uri="{C3380CC4-5D6E-409C-BE32-E72D297353CC}">
                <c16:uniqueId val="{00000007-37DC-401E-B278-60D453C3F8C5}"/>
              </c:ext>
            </c:extLst>
          </c:dPt>
          <c:val>
            <c:numRef>
              <c:f>'LANÇ. QUAL. PROJ'!$G$62:$G$65</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37DC-401E-B278-60D453C3F8C5}"/>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37DC-401E-B278-60D453C3F8C5}"/>
              </c:ext>
            </c:extLst>
          </c:dPt>
          <c:dPt>
            <c:idx val="1"/>
            <c:bubble3D val="0"/>
            <c:spPr>
              <a:solidFill>
                <a:schemeClr val="tx1"/>
              </a:solidFill>
              <a:ln w="19050">
                <a:noFill/>
              </a:ln>
              <a:effectLst/>
            </c:spPr>
            <c:extLst>
              <c:ext xmlns:c16="http://schemas.microsoft.com/office/drawing/2014/chart" uri="{C3380CC4-5D6E-409C-BE32-E72D297353CC}">
                <c16:uniqueId val="{0000000C-37DC-401E-B278-60D453C3F8C5}"/>
              </c:ext>
            </c:extLst>
          </c:dPt>
          <c:dPt>
            <c:idx val="2"/>
            <c:bubble3D val="0"/>
            <c:spPr>
              <a:noFill/>
              <a:ln w="19050">
                <a:noFill/>
              </a:ln>
              <a:effectLst/>
            </c:spPr>
            <c:extLst>
              <c:ext xmlns:c16="http://schemas.microsoft.com/office/drawing/2014/chart" uri="{C3380CC4-5D6E-409C-BE32-E72D297353CC}">
                <c16:uniqueId val="{0000000E-37DC-401E-B278-60D453C3F8C5}"/>
              </c:ext>
            </c:extLst>
          </c:dPt>
          <c:val>
            <c:numRef>
              <c:f>'LANÇ. QUAL. PROJ'!$F$69:$F$71</c:f>
              <c:numCache>
                <c:formatCode>0</c:formatCode>
                <c:ptCount val="3"/>
                <c:pt idx="0">
                  <c:v>121</c:v>
                </c:pt>
                <c:pt idx="1">
                  <c:v>30</c:v>
                </c:pt>
                <c:pt idx="2">
                  <c:v>7049</c:v>
                </c:pt>
              </c:numCache>
            </c:numRef>
          </c:val>
          <c:extLst>
            <c:ext xmlns:c16="http://schemas.microsoft.com/office/drawing/2014/chart" uri="{C3380CC4-5D6E-409C-BE32-E72D297353CC}">
              <c16:uniqueId val="{0000000F-37DC-401E-B278-60D453C3F8C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A7</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B1D9-4859-9943-206BA957BC4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1D9-4859-9943-206BA957BC4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1D9-4859-9943-206BA957BC46}"/>
              </c:ext>
            </c:extLst>
          </c:dPt>
          <c:dPt>
            <c:idx val="3"/>
            <c:bubble3D val="0"/>
            <c:spPr>
              <a:noFill/>
              <a:ln w="19050">
                <a:solidFill>
                  <a:schemeClr val="lt1"/>
                </a:solidFill>
              </a:ln>
              <a:effectLst/>
            </c:spPr>
            <c:extLst>
              <c:ext xmlns:c16="http://schemas.microsoft.com/office/drawing/2014/chart" uri="{C3380CC4-5D6E-409C-BE32-E72D297353CC}">
                <c16:uniqueId val="{00000007-B1D9-4859-9943-206BA957BC46}"/>
              </c:ext>
            </c:extLst>
          </c:dPt>
          <c:val>
            <c:numRef>
              <c:f>'LANÇ. QUAL. PROJ'!$G$119:$G$122</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B1D9-4859-9943-206BA957BC46}"/>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B1D9-4859-9943-206BA957BC46}"/>
              </c:ext>
            </c:extLst>
          </c:dPt>
          <c:dPt>
            <c:idx val="1"/>
            <c:bubble3D val="0"/>
            <c:spPr>
              <a:solidFill>
                <a:schemeClr val="tx1"/>
              </a:solidFill>
              <a:ln w="19050">
                <a:noFill/>
              </a:ln>
              <a:effectLst/>
            </c:spPr>
            <c:extLst>
              <c:ext xmlns:c16="http://schemas.microsoft.com/office/drawing/2014/chart" uri="{C3380CC4-5D6E-409C-BE32-E72D297353CC}">
                <c16:uniqueId val="{0000000C-B1D9-4859-9943-206BA957BC46}"/>
              </c:ext>
            </c:extLst>
          </c:dPt>
          <c:dPt>
            <c:idx val="2"/>
            <c:bubble3D val="0"/>
            <c:spPr>
              <a:noFill/>
              <a:ln w="19050">
                <a:noFill/>
              </a:ln>
              <a:effectLst/>
            </c:spPr>
            <c:extLst>
              <c:ext xmlns:c16="http://schemas.microsoft.com/office/drawing/2014/chart" uri="{C3380CC4-5D6E-409C-BE32-E72D297353CC}">
                <c16:uniqueId val="{0000000E-B1D9-4859-9943-206BA957BC46}"/>
              </c:ext>
            </c:extLst>
          </c:dPt>
          <c:val>
            <c:numRef>
              <c:f>'LANÇ. QUAL. PROJ'!$F$126:$F$128</c:f>
              <c:numCache>
                <c:formatCode>0</c:formatCode>
                <c:ptCount val="3"/>
                <c:pt idx="0">
                  <c:v>121</c:v>
                </c:pt>
                <c:pt idx="1">
                  <c:v>30</c:v>
                </c:pt>
                <c:pt idx="2">
                  <c:v>7049</c:v>
                </c:pt>
              </c:numCache>
            </c:numRef>
          </c:val>
          <c:extLst>
            <c:ext xmlns:c16="http://schemas.microsoft.com/office/drawing/2014/chart" uri="{C3380CC4-5D6E-409C-BE32-E72D297353CC}">
              <c16:uniqueId val="{0000000F-B1D9-4859-9943-206BA957BC4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C3</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71C-45CF-A664-F07B877642B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71C-45CF-A664-F07B877642B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F71C-45CF-A664-F07B877642BD}"/>
              </c:ext>
            </c:extLst>
          </c:dPt>
          <c:dPt>
            <c:idx val="3"/>
            <c:bubble3D val="0"/>
            <c:spPr>
              <a:noFill/>
              <a:ln w="19050">
                <a:solidFill>
                  <a:schemeClr val="lt1"/>
                </a:solidFill>
              </a:ln>
              <a:effectLst/>
            </c:spPr>
            <c:extLst>
              <c:ext xmlns:c16="http://schemas.microsoft.com/office/drawing/2014/chart" uri="{C3380CC4-5D6E-409C-BE32-E72D297353CC}">
                <c16:uniqueId val="{00000007-F71C-45CF-A664-F07B877642BD}"/>
              </c:ext>
            </c:extLst>
          </c:dPt>
          <c:val>
            <c:numRef>
              <c:f>'LANÇ. QUAL. PROJ'!$G$195:$G$198</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F71C-45CF-A664-F07B877642BD}"/>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F71C-45CF-A664-F07B877642BD}"/>
              </c:ext>
            </c:extLst>
          </c:dPt>
          <c:dPt>
            <c:idx val="1"/>
            <c:bubble3D val="0"/>
            <c:spPr>
              <a:solidFill>
                <a:schemeClr val="tx1"/>
              </a:solidFill>
              <a:ln w="19050">
                <a:noFill/>
              </a:ln>
              <a:effectLst/>
            </c:spPr>
            <c:extLst>
              <c:ext xmlns:c16="http://schemas.microsoft.com/office/drawing/2014/chart" uri="{C3380CC4-5D6E-409C-BE32-E72D297353CC}">
                <c16:uniqueId val="{0000000C-F71C-45CF-A664-F07B877642BD}"/>
              </c:ext>
            </c:extLst>
          </c:dPt>
          <c:dPt>
            <c:idx val="2"/>
            <c:bubble3D val="0"/>
            <c:spPr>
              <a:noFill/>
              <a:ln w="19050">
                <a:noFill/>
              </a:ln>
              <a:effectLst/>
            </c:spPr>
            <c:extLst>
              <c:ext xmlns:c16="http://schemas.microsoft.com/office/drawing/2014/chart" uri="{C3380CC4-5D6E-409C-BE32-E72D297353CC}">
                <c16:uniqueId val="{0000000E-F71C-45CF-A664-F07B877642BD}"/>
              </c:ext>
            </c:extLst>
          </c:dPt>
          <c:val>
            <c:numRef>
              <c:f>'LANÇ. QUAL. PROJ'!$F$202:$F$204</c:f>
              <c:numCache>
                <c:formatCode>0</c:formatCode>
                <c:ptCount val="3"/>
                <c:pt idx="0">
                  <c:v>2851</c:v>
                </c:pt>
                <c:pt idx="1">
                  <c:v>30</c:v>
                </c:pt>
                <c:pt idx="2">
                  <c:v>4319</c:v>
                </c:pt>
              </c:numCache>
            </c:numRef>
          </c:val>
          <c:extLst>
            <c:ext xmlns:c16="http://schemas.microsoft.com/office/drawing/2014/chart" uri="{C3380CC4-5D6E-409C-BE32-E72D297353CC}">
              <c16:uniqueId val="{0000000F-F71C-45CF-A664-F07B877642B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C4</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A9F-43B8-8EE2-3EDA27CF097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A9F-43B8-8EE2-3EDA27CF097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AA9F-43B8-8EE2-3EDA27CF0972}"/>
              </c:ext>
            </c:extLst>
          </c:dPt>
          <c:dPt>
            <c:idx val="3"/>
            <c:bubble3D val="0"/>
            <c:spPr>
              <a:noFill/>
              <a:ln w="19050">
                <a:solidFill>
                  <a:schemeClr val="lt1"/>
                </a:solidFill>
              </a:ln>
              <a:effectLst/>
            </c:spPr>
            <c:extLst>
              <c:ext xmlns:c16="http://schemas.microsoft.com/office/drawing/2014/chart" uri="{C3380CC4-5D6E-409C-BE32-E72D297353CC}">
                <c16:uniqueId val="{00000007-AA9F-43B8-8EE2-3EDA27CF0972}"/>
              </c:ext>
            </c:extLst>
          </c:dPt>
          <c:val>
            <c:numRef>
              <c:f>'LANÇ. QUAL. PROJ'!$G$214:$G$217</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AA9F-43B8-8EE2-3EDA27CF0972}"/>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AA9F-43B8-8EE2-3EDA27CF0972}"/>
              </c:ext>
            </c:extLst>
          </c:dPt>
          <c:dPt>
            <c:idx val="1"/>
            <c:bubble3D val="0"/>
            <c:spPr>
              <a:solidFill>
                <a:schemeClr val="tx1"/>
              </a:solidFill>
              <a:ln w="19050">
                <a:noFill/>
              </a:ln>
              <a:effectLst/>
            </c:spPr>
            <c:extLst>
              <c:ext xmlns:c16="http://schemas.microsoft.com/office/drawing/2014/chart" uri="{C3380CC4-5D6E-409C-BE32-E72D297353CC}">
                <c16:uniqueId val="{0000000C-AA9F-43B8-8EE2-3EDA27CF0972}"/>
              </c:ext>
            </c:extLst>
          </c:dPt>
          <c:dPt>
            <c:idx val="2"/>
            <c:bubble3D val="0"/>
            <c:spPr>
              <a:noFill/>
              <a:ln w="19050">
                <a:noFill/>
              </a:ln>
              <a:effectLst/>
            </c:spPr>
            <c:extLst>
              <c:ext xmlns:c16="http://schemas.microsoft.com/office/drawing/2014/chart" uri="{C3380CC4-5D6E-409C-BE32-E72D297353CC}">
                <c16:uniqueId val="{0000000E-AA9F-43B8-8EE2-3EDA27CF0972}"/>
              </c:ext>
            </c:extLst>
          </c:dPt>
          <c:val>
            <c:numRef>
              <c:f>'LANÇ. QUAL. PROJ'!$F$221:$F$223</c:f>
              <c:numCache>
                <c:formatCode>0</c:formatCode>
                <c:ptCount val="3"/>
                <c:pt idx="0">
                  <c:v>901</c:v>
                </c:pt>
                <c:pt idx="1">
                  <c:v>30</c:v>
                </c:pt>
                <c:pt idx="2">
                  <c:v>6269</c:v>
                </c:pt>
              </c:numCache>
            </c:numRef>
          </c:val>
          <c:extLst>
            <c:ext xmlns:c16="http://schemas.microsoft.com/office/drawing/2014/chart" uri="{C3380CC4-5D6E-409C-BE32-E72D297353CC}">
              <c16:uniqueId val="{0000000F-AA9F-43B8-8EE2-3EDA27CF0972}"/>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C5</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B96C-4F54-BCC3-5BAF9C76D9A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96C-4F54-BCC3-5BAF9C76D9A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96C-4F54-BCC3-5BAF9C76D9A1}"/>
              </c:ext>
            </c:extLst>
          </c:dPt>
          <c:dPt>
            <c:idx val="3"/>
            <c:bubble3D val="0"/>
            <c:spPr>
              <a:noFill/>
              <a:ln w="19050">
                <a:solidFill>
                  <a:schemeClr val="lt1"/>
                </a:solidFill>
              </a:ln>
              <a:effectLst/>
            </c:spPr>
            <c:extLst>
              <c:ext xmlns:c16="http://schemas.microsoft.com/office/drawing/2014/chart" uri="{C3380CC4-5D6E-409C-BE32-E72D297353CC}">
                <c16:uniqueId val="{00000007-B96C-4F54-BCC3-5BAF9C76D9A1}"/>
              </c:ext>
            </c:extLst>
          </c:dPt>
          <c:val>
            <c:numRef>
              <c:f>'LANÇ. QUAL. PROJ'!$G$233:$G$236</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B96C-4F54-BCC3-5BAF9C76D9A1}"/>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B96C-4F54-BCC3-5BAF9C76D9A1}"/>
              </c:ext>
            </c:extLst>
          </c:dPt>
          <c:dPt>
            <c:idx val="1"/>
            <c:bubble3D val="0"/>
            <c:spPr>
              <a:solidFill>
                <a:schemeClr val="tx1"/>
              </a:solidFill>
              <a:ln w="19050">
                <a:noFill/>
              </a:ln>
              <a:effectLst/>
            </c:spPr>
            <c:extLst>
              <c:ext xmlns:c16="http://schemas.microsoft.com/office/drawing/2014/chart" uri="{C3380CC4-5D6E-409C-BE32-E72D297353CC}">
                <c16:uniqueId val="{0000000C-B96C-4F54-BCC3-5BAF9C76D9A1}"/>
              </c:ext>
            </c:extLst>
          </c:dPt>
          <c:dPt>
            <c:idx val="2"/>
            <c:bubble3D val="0"/>
            <c:spPr>
              <a:noFill/>
              <a:ln w="19050">
                <a:noFill/>
              </a:ln>
              <a:effectLst/>
            </c:spPr>
            <c:extLst>
              <c:ext xmlns:c16="http://schemas.microsoft.com/office/drawing/2014/chart" uri="{C3380CC4-5D6E-409C-BE32-E72D297353CC}">
                <c16:uniqueId val="{0000000E-B96C-4F54-BCC3-5BAF9C76D9A1}"/>
              </c:ext>
            </c:extLst>
          </c:dPt>
          <c:val>
            <c:numRef>
              <c:f>'LANÇ. QUAL. PROJ'!$F$240:$F$242</c:f>
              <c:numCache>
                <c:formatCode>0</c:formatCode>
                <c:ptCount val="3"/>
                <c:pt idx="0">
                  <c:v>121</c:v>
                </c:pt>
                <c:pt idx="1">
                  <c:v>30</c:v>
                </c:pt>
                <c:pt idx="2">
                  <c:v>7049</c:v>
                </c:pt>
              </c:numCache>
            </c:numRef>
          </c:val>
          <c:extLst>
            <c:ext xmlns:c16="http://schemas.microsoft.com/office/drawing/2014/chart" uri="{C3380CC4-5D6E-409C-BE32-E72D297353CC}">
              <c16:uniqueId val="{0000000F-B96C-4F54-BCC3-5BAF9C76D9A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C7</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D0C-4610-ADFA-7E5754594D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D0C-4610-ADFA-7E5754594DCE}"/>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0D0C-4610-ADFA-7E5754594DCE}"/>
              </c:ext>
            </c:extLst>
          </c:dPt>
          <c:dPt>
            <c:idx val="3"/>
            <c:bubble3D val="0"/>
            <c:spPr>
              <a:noFill/>
              <a:ln w="19050">
                <a:solidFill>
                  <a:schemeClr val="lt1"/>
                </a:solidFill>
              </a:ln>
              <a:effectLst/>
            </c:spPr>
            <c:extLst>
              <c:ext xmlns:c16="http://schemas.microsoft.com/office/drawing/2014/chart" uri="{C3380CC4-5D6E-409C-BE32-E72D297353CC}">
                <c16:uniqueId val="{00000007-0D0C-4610-ADFA-7E5754594DCE}"/>
              </c:ext>
            </c:extLst>
          </c:dPt>
          <c:val>
            <c:numRef>
              <c:f>'LANÇ. QUAL. PROJ'!$G$271:$G$274</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0D0C-4610-ADFA-7E5754594DCE}"/>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0D0C-4610-ADFA-7E5754594DCE}"/>
              </c:ext>
            </c:extLst>
          </c:dPt>
          <c:dPt>
            <c:idx val="1"/>
            <c:bubble3D val="0"/>
            <c:spPr>
              <a:solidFill>
                <a:schemeClr val="tx1"/>
              </a:solidFill>
              <a:ln w="19050">
                <a:noFill/>
              </a:ln>
              <a:effectLst/>
            </c:spPr>
            <c:extLst>
              <c:ext xmlns:c16="http://schemas.microsoft.com/office/drawing/2014/chart" uri="{C3380CC4-5D6E-409C-BE32-E72D297353CC}">
                <c16:uniqueId val="{0000000C-0D0C-4610-ADFA-7E5754594DCE}"/>
              </c:ext>
            </c:extLst>
          </c:dPt>
          <c:dPt>
            <c:idx val="2"/>
            <c:bubble3D val="0"/>
            <c:spPr>
              <a:noFill/>
              <a:ln w="19050">
                <a:noFill/>
              </a:ln>
              <a:effectLst/>
            </c:spPr>
            <c:extLst>
              <c:ext xmlns:c16="http://schemas.microsoft.com/office/drawing/2014/chart" uri="{C3380CC4-5D6E-409C-BE32-E72D297353CC}">
                <c16:uniqueId val="{0000000E-0D0C-4610-ADFA-7E5754594DCE}"/>
              </c:ext>
            </c:extLst>
          </c:dPt>
          <c:val>
            <c:numRef>
              <c:f>'LANÇ. QUAL. PROJ'!$F$278:$F$280</c:f>
              <c:numCache>
                <c:formatCode>0</c:formatCode>
                <c:ptCount val="3"/>
                <c:pt idx="0">
                  <c:v>3601</c:v>
                </c:pt>
                <c:pt idx="1">
                  <c:v>30</c:v>
                </c:pt>
                <c:pt idx="2">
                  <c:v>3569</c:v>
                </c:pt>
              </c:numCache>
            </c:numRef>
          </c:val>
          <c:extLst>
            <c:ext xmlns:c16="http://schemas.microsoft.com/office/drawing/2014/chart" uri="{C3380CC4-5D6E-409C-BE32-E72D297353CC}">
              <c16:uniqueId val="{0000000F-0D0C-4610-ADFA-7E5754594DC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C8</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9F0B-4109-B8FA-AA69B089409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F0B-4109-B8FA-AA69B089409F}"/>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F0B-4109-B8FA-AA69B089409F}"/>
              </c:ext>
            </c:extLst>
          </c:dPt>
          <c:dPt>
            <c:idx val="3"/>
            <c:bubble3D val="0"/>
            <c:spPr>
              <a:noFill/>
              <a:ln w="19050">
                <a:solidFill>
                  <a:schemeClr val="lt1"/>
                </a:solidFill>
              </a:ln>
              <a:effectLst/>
            </c:spPr>
            <c:extLst>
              <c:ext xmlns:c16="http://schemas.microsoft.com/office/drawing/2014/chart" uri="{C3380CC4-5D6E-409C-BE32-E72D297353CC}">
                <c16:uniqueId val="{00000007-9F0B-4109-B8FA-AA69B089409F}"/>
              </c:ext>
            </c:extLst>
          </c:dPt>
          <c:val>
            <c:numRef>
              <c:f>'LANÇ. QUAL. PROJ'!$G$290:$G$293</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9F0B-4109-B8FA-AA69B089409F}"/>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9F0B-4109-B8FA-AA69B089409F}"/>
              </c:ext>
            </c:extLst>
          </c:dPt>
          <c:dPt>
            <c:idx val="1"/>
            <c:bubble3D val="0"/>
            <c:spPr>
              <a:solidFill>
                <a:schemeClr val="tx1"/>
              </a:solidFill>
              <a:ln w="19050">
                <a:noFill/>
              </a:ln>
              <a:effectLst/>
            </c:spPr>
            <c:extLst>
              <c:ext xmlns:c16="http://schemas.microsoft.com/office/drawing/2014/chart" uri="{C3380CC4-5D6E-409C-BE32-E72D297353CC}">
                <c16:uniqueId val="{0000000C-9F0B-4109-B8FA-AA69B089409F}"/>
              </c:ext>
            </c:extLst>
          </c:dPt>
          <c:dPt>
            <c:idx val="2"/>
            <c:bubble3D val="0"/>
            <c:spPr>
              <a:noFill/>
              <a:ln w="19050">
                <a:noFill/>
              </a:ln>
              <a:effectLst/>
            </c:spPr>
            <c:extLst>
              <c:ext xmlns:c16="http://schemas.microsoft.com/office/drawing/2014/chart" uri="{C3380CC4-5D6E-409C-BE32-E72D297353CC}">
                <c16:uniqueId val="{0000000E-9F0B-4109-B8FA-AA69B089409F}"/>
              </c:ext>
            </c:extLst>
          </c:dPt>
          <c:val>
            <c:numRef>
              <c:f>'LANÇ. QUAL. PROJ'!$F$297:$F$299</c:f>
              <c:numCache>
                <c:formatCode>0</c:formatCode>
                <c:ptCount val="3"/>
                <c:pt idx="0">
                  <c:v>241</c:v>
                </c:pt>
                <c:pt idx="1">
                  <c:v>30</c:v>
                </c:pt>
                <c:pt idx="2">
                  <c:v>6929</c:v>
                </c:pt>
              </c:numCache>
            </c:numRef>
          </c:val>
          <c:extLst>
            <c:ext xmlns:c16="http://schemas.microsoft.com/office/drawing/2014/chart" uri="{C3380CC4-5D6E-409C-BE32-E72D297353CC}">
              <c16:uniqueId val="{0000000F-9F0B-4109-B8FA-AA69B089409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C9</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A9E-434C-8F72-684C477D9D8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A9E-434C-8F72-684C477D9D8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8A9E-434C-8F72-684C477D9D8A}"/>
              </c:ext>
            </c:extLst>
          </c:dPt>
          <c:dPt>
            <c:idx val="3"/>
            <c:bubble3D val="0"/>
            <c:spPr>
              <a:noFill/>
              <a:ln w="19050">
                <a:solidFill>
                  <a:schemeClr val="lt1"/>
                </a:solidFill>
              </a:ln>
              <a:effectLst/>
            </c:spPr>
            <c:extLst>
              <c:ext xmlns:c16="http://schemas.microsoft.com/office/drawing/2014/chart" uri="{C3380CC4-5D6E-409C-BE32-E72D297353CC}">
                <c16:uniqueId val="{00000007-8A9E-434C-8F72-684C477D9D8A}"/>
              </c:ext>
            </c:extLst>
          </c:dPt>
          <c:val>
            <c:numRef>
              <c:f>'LANÇ. QUAL. PROJ'!$G$309:$G$312</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8A9E-434C-8F72-684C477D9D8A}"/>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8A9E-434C-8F72-684C477D9D8A}"/>
              </c:ext>
            </c:extLst>
          </c:dPt>
          <c:dPt>
            <c:idx val="1"/>
            <c:bubble3D val="0"/>
            <c:spPr>
              <a:solidFill>
                <a:schemeClr val="tx1"/>
              </a:solidFill>
              <a:ln w="19050">
                <a:noFill/>
              </a:ln>
              <a:effectLst/>
            </c:spPr>
            <c:extLst>
              <c:ext xmlns:c16="http://schemas.microsoft.com/office/drawing/2014/chart" uri="{C3380CC4-5D6E-409C-BE32-E72D297353CC}">
                <c16:uniqueId val="{0000000C-8A9E-434C-8F72-684C477D9D8A}"/>
              </c:ext>
            </c:extLst>
          </c:dPt>
          <c:dPt>
            <c:idx val="2"/>
            <c:bubble3D val="0"/>
            <c:spPr>
              <a:noFill/>
              <a:ln w="19050">
                <a:noFill/>
              </a:ln>
              <a:effectLst/>
            </c:spPr>
            <c:extLst>
              <c:ext xmlns:c16="http://schemas.microsoft.com/office/drawing/2014/chart" uri="{C3380CC4-5D6E-409C-BE32-E72D297353CC}">
                <c16:uniqueId val="{0000000E-8A9E-434C-8F72-684C477D9D8A}"/>
              </c:ext>
            </c:extLst>
          </c:dPt>
          <c:val>
            <c:numRef>
              <c:f>'LANÇ. QUAL. PROJ'!$F$316:$F$318</c:f>
              <c:numCache>
                <c:formatCode>0</c:formatCode>
                <c:ptCount val="3"/>
                <c:pt idx="0">
                  <c:v>301</c:v>
                </c:pt>
                <c:pt idx="1">
                  <c:v>30</c:v>
                </c:pt>
                <c:pt idx="2">
                  <c:v>6869</c:v>
                </c:pt>
              </c:numCache>
            </c:numRef>
          </c:val>
          <c:extLst>
            <c:ext xmlns:c16="http://schemas.microsoft.com/office/drawing/2014/chart" uri="{C3380CC4-5D6E-409C-BE32-E72D297353CC}">
              <c16:uniqueId val="{0000000F-8A9E-434C-8F72-684C477D9D8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a:t>
            </a:r>
            <a:r>
              <a:rPr lang="pt-BR" sz="1600" b="1" baseline="0">
                <a:latin typeface="AXIS Extra Bold" panose="00000900000000000000" pitchFamily="50" charset="0"/>
              </a:rPr>
              <a:t> C10</a:t>
            </a:r>
            <a:endParaRPr lang="pt-BR" sz="1600" b="1">
              <a:latin typeface="AXIS Extra Bold" panose="00000900000000000000" pitchFamily="50"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468-4948-8C03-91CC9C12CF5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468-4948-8C03-91CC9C12CF5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468-4948-8C03-91CC9C12CF58}"/>
              </c:ext>
            </c:extLst>
          </c:dPt>
          <c:dPt>
            <c:idx val="3"/>
            <c:bubble3D val="0"/>
            <c:spPr>
              <a:noFill/>
              <a:ln w="19050">
                <a:solidFill>
                  <a:schemeClr val="lt1"/>
                </a:solidFill>
              </a:ln>
              <a:effectLst/>
            </c:spPr>
            <c:extLst>
              <c:ext xmlns:c16="http://schemas.microsoft.com/office/drawing/2014/chart" uri="{C3380CC4-5D6E-409C-BE32-E72D297353CC}">
                <c16:uniqueId val="{00000007-2468-4948-8C03-91CC9C12CF58}"/>
              </c:ext>
            </c:extLst>
          </c:dPt>
          <c:val>
            <c:numRef>
              <c:f>'LANÇ. QUAL. PROJ'!$G$328:$G$331</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2468-4948-8C03-91CC9C12CF58}"/>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2468-4948-8C03-91CC9C12CF58}"/>
              </c:ext>
            </c:extLst>
          </c:dPt>
          <c:dPt>
            <c:idx val="1"/>
            <c:bubble3D val="0"/>
            <c:spPr>
              <a:solidFill>
                <a:schemeClr val="tx1"/>
              </a:solidFill>
              <a:ln w="19050">
                <a:noFill/>
              </a:ln>
              <a:effectLst/>
            </c:spPr>
            <c:extLst>
              <c:ext xmlns:c16="http://schemas.microsoft.com/office/drawing/2014/chart" uri="{C3380CC4-5D6E-409C-BE32-E72D297353CC}">
                <c16:uniqueId val="{0000000C-2468-4948-8C03-91CC9C12CF58}"/>
              </c:ext>
            </c:extLst>
          </c:dPt>
          <c:dPt>
            <c:idx val="2"/>
            <c:bubble3D val="0"/>
            <c:spPr>
              <a:noFill/>
              <a:ln w="19050">
                <a:noFill/>
              </a:ln>
              <a:effectLst/>
            </c:spPr>
            <c:extLst>
              <c:ext xmlns:c16="http://schemas.microsoft.com/office/drawing/2014/chart" uri="{C3380CC4-5D6E-409C-BE32-E72D297353CC}">
                <c16:uniqueId val="{0000000E-2468-4948-8C03-91CC9C12CF58}"/>
              </c:ext>
            </c:extLst>
          </c:dPt>
          <c:val>
            <c:numRef>
              <c:f>'LANÇ. QUAL. PROJ'!$F$335:$F$337</c:f>
              <c:numCache>
                <c:formatCode>0</c:formatCode>
                <c:ptCount val="3"/>
                <c:pt idx="0">
                  <c:v>121</c:v>
                </c:pt>
                <c:pt idx="1">
                  <c:v>30</c:v>
                </c:pt>
                <c:pt idx="2">
                  <c:v>7049</c:v>
                </c:pt>
              </c:numCache>
            </c:numRef>
          </c:val>
          <c:extLst>
            <c:ext xmlns:c16="http://schemas.microsoft.com/office/drawing/2014/chart" uri="{C3380CC4-5D6E-409C-BE32-E72D297353CC}">
              <c16:uniqueId val="{0000000F-2468-4948-8C03-91CC9C12CF5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C11</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C3B-499E-9C4D-8350FDE4D5D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C3B-499E-9C4D-8350FDE4D5D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C3B-499E-9C4D-8350FDE4D5D1}"/>
              </c:ext>
            </c:extLst>
          </c:dPt>
          <c:dPt>
            <c:idx val="3"/>
            <c:bubble3D val="0"/>
            <c:spPr>
              <a:noFill/>
              <a:ln w="19050">
                <a:solidFill>
                  <a:schemeClr val="lt1"/>
                </a:solidFill>
              </a:ln>
              <a:effectLst/>
            </c:spPr>
            <c:extLst>
              <c:ext xmlns:c16="http://schemas.microsoft.com/office/drawing/2014/chart" uri="{C3380CC4-5D6E-409C-BE32-E72D297353CC}">
                <c16:uniqueId val="{00000007-3C3B-499E-9C4D-8350FDE4D5D1}"/>
              </c:ext>
            </c:extLst>
          </c:dPt>
          <c:val>
            <c:numRef>
              <c:f>'LANÇ. QUAL. PROJ'!$G$347:$G$350</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3C3B-499E-9C4D-8350FDE4D5D1}"/>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3C3B-499E-9C4D-8350FDE4D5D1}"/>
              </c:ext>
            </c:extLst>
          </c:dPt>
          <c:dPt>
            <c:idx val="1"/>
            <c:bubble3D val="0"/>
            <c:spPr>
              <a:solidFill>
                <a:schemeClr val="tx1"/>
              </a:solidFill>
              <a:ln w="19050">
                <a:noFill/>
              </a:ln>
              <a:effectLst/>
            </c:spPr>
            <c:extLst>
              <c:ext xmlns:c16="http://schemas.microsoft.com/office/drawing/2014/chart" uri="{C3380CC4-5D6E-409C-BE32-E72D297353CC}">
                <c16:uniqueId val="{0000000C-3C3B-499E-9C4D-8350FDE4D5D1}"/>
              </c:ext>
            </c:extLst>
          </c:dPt>
          <c:dPt>
            <c:idx val="2"/>
            <c:bubble3D val="0"/>
            <c:spPr>
              <a:noFill/>
              <a:ln w="19050">
                <a:noFill/>
              </a:ln>
              <a:effectLst/>
            </c:spPr>
            <c:extLst>
              <c:ext xmlns:c16="http://schemas.microsoft.com/office/drawing/2014/chart" uri="{C3380CC4-5D6E-409C-BE32-E72D297353CC}">
                <c16:uniqueId val="{0000000E-3C3B-499E-9C4D-8350FDE4D5D1}"/>
              </c:ext>
            </c:extLst>
          </c:dPt>
          <c:val>
            <c:numRef>
              <c:f>'LANÇ. QUAL. PROJ'!$F$354:$F$356</c:f>
              <c:numCache>
                <c:formatCode>0</c:formatCode>
                <c:ptCount val="3"/>
                <c:pt idx="0">
                  <c:v>1401</c:v>
                </c:pt>
                <c:pt idx="1">
                  <c:v>30</c:v>
                </c:pt>
                <c:pt idx="2">
                  <c:v>5769</c:v>
                </c:pt>
              </c:numCache>
            </c:numRef>
          </c:val>
          <c:extLst>
            <c:ext xmlns:c16="http://schemas.microsoft.com/office/drawing/2014/chart" uri="{C3380CC4-5D6E-409C-BE32-E72D297353CC}">
              <c16:uniqueId val="{0000000F-3C3B-499E-9C4D-8350FDE4D5D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a:t>
            </a:r>
            <a:r>
              <a:rPr lang="pt-BR" sz="1600" b="1" baseline="0">
                <a:latin typeface="AXIS Extra Bold" panose="00000900000000000000" pitchFamily="50" charset="0"/>
              </a:rPr>
              <a:t> E1</a:t>
            </a:r>
            <a:endParaRPr lang="pt-BR" sz="1600" b="1">
              <a:latin typeface="AXIS Extra Bold" panose="00000900000000000000" pitchFamily="50"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E0D-44F3-9891-F0DB150713C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E0D-44F3-9891-F0DB150713C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DE0D-44F3-9891-F0DB150713C8}"/>
              </c:ext>
            </c:extLst>
          </c:dPt>
          <c:dPt>
            <c:idx val="3"/>
            <c:bubble3D val="0"/>
            <c:spPr>
              <a:noFill/>
              <a:ln w="19050">
                <a:solidFill>
                  <a:schemeClr val="lt1"/>
                </a:solidFill>
              </a:ln>
              <a:effectLst/>
            </c:spPr>
            <c:extLst>
              <c:ext xmlns:c16="http://schemas.microsoft.com/office/drawing/2014/chart" uri="{C3380CC4-5D6E-409C-BE32-E72D297353CC}">
                <c16:uniqueId val="{00000007-DE0D-44F3-9891-F0DB150713C8}"/>
              </c:ext>
            </c:extLst>
          </c:dPt>
          <c:val>
            <c:numRef>
              <c:f>'LANÇ. QUAL. PROJ'!$G$366:$G$369</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DE0D-44F3-9891-F0DB150713C8}"/>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DE0D-44F3-9891-F0DB150713C8}"/>
              </c:ext>
            </c:extLst>
          </c:dPt>
          <c:dPt>
            <c:idx val="1"/>
            <c:bubble3D val="0"/>
            <c:spPr>
              <a:solidFill>
                <a:schemeClr val="tx1"/>
              </a:solidFill>
              <a:ln w="19050">
                <a:noFill/>
              </a:ln>
              <a:effectLst/>
            </c:spPr>
            <c:extLst>
              <c:ext xmlns:c16="http://schemas.microsoft.com/office/drawing/2014/chart" uri="{C3380CC4-5D6E-409C-BE32-E72D297353CC}">
                <c16:uniqueId val="{0000000C-DE0D-44F3-9891-F0DB150713C8}"/>
              </c:ext>
            </c:extLst>
          </c:dPt>
          <c:dPt>
            <c:idx val="2"/>
            <c:bubble3D val="0"/>
            <c:spPr>
              <a:noFill/>
              <a:ln w="19050">
                <a:noFill/>
              </a:ln>
              <a:effectLst/>
            </c:spPr>
            <c:extLst>
              <c:ext xmlns:c16="http://schemas.microsoft.com/office/drawing/2014/chart" uri="{C3380CC4-5D6E-409C-BE32-E72D297353CC}">
                <c16:uniqueId val="{0000000E-DE0D-44F3-9891-F0DB150713C8}"/>
              </c:ext>
            </c:extLst>
          </c:dPt>
          <c:val>
            <c:numRef>
              <c:f>'LANÇ. QUAL. PROJ'!$F$373:$F$375</c:f>
              <c:numCache>
                <c:formatCode>0</c:formatCode>
                <c:ptCount val="3"/>
                <c:pt idx="0">
                  <c:v>1201</c:v>
                </c:pt>
                <c:pt idx="1">
                  <c:v>30</c:v>
                </c:pt>
                <c:pt idx="2">
                  <c:v>5969</c:v>
                </c:pt>
              </c:numCache>
            </c:numRef>
          </c:val>
          <c:extLst>
            <c:ext xmlns:c16="http://schemas.microsoft.com/office/drawing/2014/chart" uri="{C3380CC4-5D6E-409C-BE32-E72D297353CC}">
              <c16:uniqueId val="{0000000F-DE0D-44F3-9891-F0DB150713C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E2</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9CC-4F13-92E4-90A8AD2C976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9CC-4F13-92E4-90A8AD2C976F}"/>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F9CC-4F13-92E4-90A8AD2C976F}"/>
              </c:ext>
            </c:extLst>
          </c:dPt>
          <c:dPt>
            <c:idx val="3"/>
            <c:bubble3D val="0"/>
            <c:spPr>
              <a:noFill/>
              <a:ln w="19050">
                <a:solidFill>
                  <a:schemeClr val="lt1"/>
                </a:solidFill>
              </a:ln>
              <a:effectLst/>
            </c:spPr>
            <c:extLst>
              <c:ext xmlns:c16="http://schemas.microsoft.com/office/drawing/2014/chart" uri="{C3380CC4-5D6E-409C-BE32-E72D297353CC}">
                <c16:uniqueId val="{00000007-F9CC-4F13-92E4-90A8AD2C976F}"/>
              </c:ext>
            </c:extLst>
          </c:dPt>
          <c:val>
            <c:numRef>
              <c:f>'LANÇ. QUAL. PROJ'!$G$385:$G$388</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F9CC-4F13-92E4-90A8AD2C976F}"/>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F9CC-4F13-92E4-90A8AD2C976F}"/>
              </c:ext>
            </c:extLst>
          </c:dPt>
          <c:dPt>
            <c:idx val="1"/>
            <c:bubble3D val="0"/>
            <c:spPr>
              <a:solidFill>
                <a:schemeClr val="tx1"/>
              </a:solidFill>
              <a:ln w="19050">
                <a:noFill/>
              </a:ln>
              <a:effectLst/>
            </c:spPr>
            <c:extLst>
              <c:ext xmlns:c16="http://schemas.microsoft.com/office/drawing/2014/chart" uri="{C3380CC4-5D6E-409C-BE32-E72D297353CC}">
                <c16:uniqueId val="{0000000C-F9CC-4F13-92E4-90A8AD2C976F}"/>
              </c:ext>
            </c:extLst>
          </c:dPt>
          <c:dPt>
            <c:idx val="2"/>
            <c:bubble3D val="0"/>
            <c:spPr>
              <a:noFill/>
              <a:ln w="19050">
                <a:noFill/>
              </a:ln>
              <a:effectLst/>
            </c:spPr>
            <c:extLst>
              <c:ext xmlns:c16="http://schemas.microsoft.com/office/drawing/2014/chart" uri="{C3380CC4-5D6E-409C-BE32-E72D297353CC}">
                <c16:uniqueId val="{0000000E-F9CC-4F13-92E4-90A8AD2C976F}"/>
              </c:ext>
            </c:extLst>
          </c:dPt>
          <c:val>
            <c:numRef>
              <c:f>'LANÇ. QUAL. PROJ'!$F$392:$F$394</c:f>
              <c:numCache>
                <c:formatCode>0</c:formatCode>
                <c:ptCount val="3"/>
                <c:pt idx="0">
                  <c:v>3601</c:v>
                </c:pt>
                <c:pt idx="1">
                  <c:v>30</c:v>
                </c:pt>
                <c:pt idx="2">
                  <c:v>3569</c:v>
                </c:pt>
              </c:numCache>
            </c:numRef>
          </c:val>
          <c:extLst>
            <c:ext xmlns:c16="http://schemas.microsoft.com/office/drawing/2014/chart" uri="{C3380CC4-5D6E-409C-BE32-E72D297353CC}">
              <c16:uniqueId val="{0000000F-F9CC-4F13-92E4-90A8AD2C976F}"/>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E3</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981-46D4-9A71-92FF1418C1C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981-46D4-9A71-92FF1418C1C8}"/>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981-46D4-9A71-92FF1418C1C8}"/>
              </c:ext>
            </c:extLst>
          </c:dPt>
          <c:dPt>
            <c:idx val="3"/>
            <c:bubble3D val="0"/>
            <c:spPr>
              <a:noFill/>
              <a:ln w="19050">
                <a:solidFill>
                  <a:schemeClr val="lt1"/>
                </a:solidFill>
              </a:ln>
              <a:effectLst/>
            </c:spPr>
            <c:extLst>
              <c:ext xmlns:c16="http://schemas.microsoft.com/office/drawing/2014/chart" uri="{C3380CC4-5D6E-409C-BE32-E72D297353CC}">
                <c16:uniqueId val="{00000007-3981-46D4-9A71-92FF1418C1C8}"/>
              </c:ext>
            </c:extLst>
          </c:dPt>
          <c:val>
            <c:numRef>
              <c:f>'LANÇ. QUAL. PROJ'!$G$404:$G$407</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3981-46D4-9A71-92FF1418C1C8}"/>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3981-46D4-9A71-92FF1418C1C8}"/>
              </c:ext>
            </c:extLst>
          </c:dPt>
          <c:dPt>
            <c:idx val="1"/>
            <c:bubble3D val="0"/>
            <c:spPr>
              <a:solidFill>
                <a:schemeClr val="tx1"/>
              </a:solidFill>
              <a:ln w="19050">
                <a:noFill/>
              </a:ln>
              <a:effectLst/>
            </c:spPr>
            <c:extLst>
              <c:ext xmlns:c16="http://schemas.microsoft.com/office/drawing/2014/chart" uri="{C3380CC4-5D6E-409C-BE32-E72D297353CC}">
                <c16:uniqueId val="{0000000C-3981-46D4-9A71-92FF1418C1C8}"/>
              </c:ext>
            </c:extLst>
          </c:dPt>
          <c:dPt>
            <c:idx val="2"/>
            <c:bubble3D val="0"/>
            <c:spPr>
              <a:noFill/>
              <a:ln w="19050">
                <a:noFill/>
              </a:ln>
              <a:effectLst/>
            </c:spPr>
            <c:extLst>
              <c:ext xmlns:c16="http://schemas.microsoft.com/office/drawing/2014/chart" uri="{C3380CC4-5D6E-409C-BE32-E72D297353CC}">
                <c16:uniqueId val="{0000000E-3981-46D4-9A71-92FF1418C1C8}"/>
              </c:ext>
            </c:extLst>
          </c:dPt>
          <c:val>
            <c:numRef>
              <c:f>'LANÇ. QUAL. PROJ'!$F$411:$F$413</c:f>
              <c:numCache>
                <c:formatCode>0</c:formatCode>
                <c:ptCount val="3"/>
                <c:pt idx="0">
                  <c:v>3601</c:v>
                </c:pt>
                <c:pt idx="1">
                  <c:v>30</c:v>
                </c:pt>
                <c:pt idx="2">
                  <c:v>3569</c:v>
                </c:pt>
              </c:numCache>
            </c:numRef>
          </c:val>
          <c:extLst>
            <c:ext xmlns:c16="http://schemas.microsoft.com/office/drawing/2014/chart" uri="{C3380CC4-5D6E-409C-BE32-E72D297353CC}">
              <c16:uniqueId val="{0000000F-3981-46D4-9A71-92FF1418C1C8}"/>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E4</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25E2-46A8-99CF-17B351BBEAA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5E2-46A8-99CF-17B351BBEAA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25E2-46A8-99CF-17B351BBEAAA}"/>
              </c:ext>
            </c:extLst>
          </c:dPt>
          <c:dPt>
            <c:idx val="3"/>
            <c:bubble3D val="0"/>
            <c:spPr>
              <a:noFill/>
              <a:ln w="19050">
                <a:solidFill>
                  <a:schemeClr val="lt1"/>
                </a:solidFill>
              </a:ln>
              <a:effectLst/>
            </c:spPr>
            <c:extLst>
              <c:ext xmlns:c16="http://schemas.microsoft.com/office/drawing/2014/chart" uri="{C3380CC4-5D6E-409C-BE32-E72D297353CC}">
                <c16:uniqueId val="{00000007-25E2-46A8-99CF-17B351BBEAAA}"/>
              </c:ext>
            </c:extLst>
          </c:dPt>
          <c:val>
            <c:numRef>
              <c:f>'LANÇ. QUAL. PROJ'!$G$423:$G$426</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25E2-46A8-99CF-17B351BBEAAA}"/>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25E2-46A8-99CF-17B351BBEAAA}"/>
              </c:ext>
            </c:extLst>
          </c:dPt>
          <c:dPt>
            <c:idx val="1"/>
            <c:bubble3D val="0"/>
            <c:spPr>
              <a:solidFill>
                <a:schemeClr val="tx1"/>
              </a:solidFill>
              <a:ln w="19050">
                <a:noFill/>
              </a:ln>
              <a:effectLst/>
            </c:spPr>
            <c:extLst>
              <c:ext xmlns:c16="http://schemas.microsoft.com/office/drawing/2014/chart" uri="{C3380CC4-5D6E-409C-BE32-E72D297353CC}">
                <c16:uniqueId val="{0000000C-25E2-46A8-99CF-17B351BBEAAA}"/>
              </c:ext>
            </c:extLst>
          </c:dPt>
          <c:dPt>
            <c:idx val="2"/>
            <c:bubble3D val="0"/>
            <c:spPr>
              <a:noFill/>
              <a:ln w="19050">
                <a:noFill/>
              </a:ln>
              <a:effectLst/>
            </c:spPr>
            <c:extLst>
              <c:ext xmlns:c16="http://schemas.microsoft.com/office/drawing/2014/chart" uri="{C3380CC4-5D6E-409C-BE32-E72D297353CC}">
                <c16:uniqueId val="{0000000E-25E2-46A8-99CF-17B351BBEAAA}"/>
              </c:ext>
            </c:extLst>
          </c:dPt>
          <c:val>
            <c:numRef>
              <c:f>'LANÇ. QUAL. PROJ'!$F$430:$F$432</c:f>
              <c:numCache>
                <c:formatCode>0</c:formatCode>
                <c:ptCount val="3"/>
                <c:pt idx="0">
                  <c:v>3301</c:v>
                </c:pt>
                <c:pt idx="1">
                  <c:v>30</c:v>
                </c:pt>
                <c:pt idx="2">
                  <c:v>3869</c:v>
                </c:pt>
              </c:numCache>
            </c:numRef>
          </c:val>
          <c:extLst>
            <c:ext xmlns:c16="http://schemas.microsoft.com/office/drawing/2014/chart" uri="{C3380CC4-5D6E-409C-BE32-E72D297353CC}">
              <c16:uniqueId val="{0000000F-25E2-46A8-99CF-17B351BBEAA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E5</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40BA-4B64-A9A1-1F7465E10CD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0BA-4B64-A9A1-1F7465E10CD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40BA-4B64-A9A1-1F7465E10CD5}"/>
              </c:ext>
            </c:extLst>
          </c:dPt>
          <c:dPt>
            <c:idx val="3"/>
            <c:bubble3D val="0"/>
            <c:spPr>
              <a:noFill/>
              <a:ln w="19050">
                <a:solidFill>
                  <a:schemeClr val="lt1"/>
                </a:solidFill>
              </a:ln>
              <a:effectLst/>
            </c:spPr>
            <c:extLst>
              <c:ext xmlns:c16="http://schemas.microsoft.com/office/drawing/2014/chart" uri="{C3380CC4-5D6E-409C-BE32-E72D297353CC}">
                <c16:uniqueId val="{00000007-40BA-4B64-A9A1-1F7465E10CD5}"/>
              </c:ext>
            </c:extLst>
          </c:dPt>
          <c:val>
            <c:numRef>
              <c:f>'LANÇ. QUAL. PROJ'!$G$442:$G$445</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40BA-4B64-A9A1-1F7465E10CD5}"/>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40BA-4B64-A9A1-1F7465E10CD5}"/>
              </c:ext>
            </c:extLst>
          </c:dPt>
          <c:dPt>
            <c:idx val="1"/>
            <c:bubble3D val="0"/>
            <c:spPr>
              <a:solidFill>
                <a:schemeClr val="tx1"/>
              </a:solidFill>
              <a:ln w="19050">
                <a:noFill/>
              </a:ln>
              <a:effectLst/>
            </c:spPr>
            <c:extLst>
              <c:ext xmlns:c16="http://schemas.microsoft.com/office/drawing/2014/chart" uri="{C3380CC4-5D6E-409C-BE32-E72D297353CC}">
                <c16:uniqueId val="{0000000C-40BA-4B64-A9A1-1F7465E10CD5}"/>
              </c:ext>
            </c:extLst>
          </c:dPt>
          <c:dPt>
            <c:idx val="2"/>
            <c:bubble3D val="0"/>
            <c:spPr>
              <a:noFill/>
              <a:ln w="19050">
                <a:noFill/>
              </a:ln>
              <a:effectLst/>
            </c:spPr>
            <c:extLst>
              <c:ext xmlns:c16="http://schemas.microsoft.com/office/drawing/2014/chart" uri="{C3380CC4-5D6E-409C-BE32-E72D297353CC}">
                <c16:uniqueId val="{0000000E-40BA-4B64-A9A1-1F7465E10CD5}"/>
              </c:ext>
            </c:extLst>
          </c:dPt>
          <c:val>
            <c:numRef>
              <c:f>'LANÇ. QUAL. PROJ'!$F$449:$F$451</c:f>
              <c:numCache>
                <c:formatCode>0</c:formatCode>
                <c:ptCount val="3"/>
                <c:pt idx="0">
                  <c:v>1501</c:v>
                </c:pt>
                <c:pt idx="1">
                  <c:v>30</c:v>
                </c:pt>
                <c:pt idx="2">
                  <c:v>5669</c:v>
                </c:pt>
              </c:numCache>
            </c:numRef>
          </c:val>
          <c:extLst>
            <c:ext xmlns:c16="http://schemas.microsoft.com/office/drawing/2014/chart" uri="{C3380CC4-5D6E-409C-BE32-E72D297353CC}">
              <c16:uniqueId val="{0000000F-40BA-4B64-A9A1-1F7465E10CD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E6</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6BD-4BAD-86A7-7AF00E54296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6BD-4BAD-86A7-7AF00E54296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86BD-4BAD-86A7-7AF00E542965}"/>
              </c:ext>
            </c:extLst>
          </c:dPt>
          <c:dPt>
            <c:idx val="3"/>
            <c:bubble3D val="0"/>
            <c:spPr>
              <a:noFill/>
              <a:ln w="19050">
                <a:solidFill>
                  <a:schemeClr val="lt1"/>
                </a:solidFill>
              </a:ln>
              <a:effectLst/>
            </c:spPr>
            <c:extLst>
              <c:ext xmlns:c16="http://schemas.microsoft.com/office/drawing/2014/chart" uri="{C3380CC4-5D6E-409C-BE32-E72D297353CC}">
                <c16:uniqueId val="{00000007-86BD-4BAD-86A7-7AF00E542965}"/>
              </c:ext>
            </c:extLst>
          </c:dPt>
          <c:val>
            <c:numRef>
              <c:f>'LANÇ. QUAL. PROJ'!$G$461:$G$464</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86BD-4BAD-86A7-7AF00E542965}"/>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86BD-4BAD-86A7-7AF00E542965}"/>
              </c:ext>
            </c:extLst>
          </c:dPt>
          <c:dPt>
            <c:idx val="1"/>
            <c:bubble3D val="0"/>
            <c:spPr>
              <a:solidFill>
                <a:schemeClr val="tx1"/>
              </a:solidFill>
              <a:ln w="19050">
                <a:noFill/>
              </a:ln>
              <a:effectLst/>
            </c:spPr>
            <c:extLst>
              <c:ext xmlns:c16="http://schemas.microsoft.com/office/drawing/2014/chart" uri="{C3380CC4-5D6E-409C-BE32-E72D297353CC}">
                <c16:uniqueId val="{0000000C-86BD-4BAD-86A7-7AF00E542965}"/>
              </c:ext>
            </c:extLst>
          </c:dPt>
          <c:dPt>
            <c:idx val="2"/>
            <c:bubble3D val="0"/>
            <c:spPr>
              <a:noFill/>
              <a:ln w="19050">
                <a:noFill/>
              </a:ln>
              <a:effectLst/>
            </c:spPr>
            <c:extLst>
              <c:ext xmlns:c16="http://schemas.microsoft.com/office/drawing/2014/chart" uri="{C3380CC4-5D6E-409C-BE32-E72D297353CC}">
                <c16:uniqueId val="{0000000E-86BD-4BAD-86A7-7AF00E542965}"/>
              </c:ext>
            </c:extLst>
          </c:dPt>
          <c:val>
            <c:numRef>
              <c:f>'LANÇ. QUAL. PROJ'!$F$468:$F$470</c:f>
              <c:numCache>
                <c:formatCode>0</c:formatCode>
                <c:ptCount val="3"/>
                <c:pt idx="0">
                  <c:v>121</c:v>
                </c:pt>
                <c:pt idx="1">
                  <c:v>30</c:v>
                </c:pt>
                <c:pt idx="2">
                  <c:v>7049</c:v>
                </c:pt>
              </c:numCache>
            </c:numRef>
          </c:val>
          <c:extLst>
            <c:ext xmlns:c16="http://schemas.microsoft.com/office/drawing/2014/chart" uri="{C3380CC4-5D6E-409C-BE32-E72D297353CC}">
              <c16:uniqueId val="{0000000F-86BD-4BAD-86A7-7AF00E54296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E7</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60B-499B-9057-D723EA86E0D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60B-499B-9057-D723EA86E0D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60B-499B-9057-D723EA86E0DC}"/>
              </c:ext>
            </c:extLst>
          </c:dPt>
          <c:dPt>
            <c:idx val="3"/>
            <c:bubble3D val="0"/>
            <c:spPr>
              <a:noFill/>
              <a:ln w="19050">
                <a:solidFill>
                  <a:schemeClr val="lt1"/>
                </a:solidFill>
              </a:ln>
              <a:effectLst/>
            </c:spPr>
            <c:extLst>
              <c:ext xmlns:c16="http://schemas.microsoft.com/office/drawing/2014/chart" uri="{C3380CC4-5D6E-409C-BE32-E72D297353CC}">
                <c16:uniqueId val="{00000007-660B-499B-9057-D723EA86E0DC}"/>
              </c:ext>
            </c:extLst>
          </c:dPt>
          <c:val>
            <c:numRef>
              <c:f>'LANÇ. QUAL. PROJ'!$G$480:$G$483</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660B-499B-9057-D723EA86E0DC}"/>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660B-499B-9057-D723EA86E0DC}"/>
              </c:ext>
            </c:extLst>
          </c:dPt>
          <c:dPt>
            <c:idx val="1"/>
            <c:bubble3D val="0"/>
            <c:spPr>
              <a:solidFill>
                <a:schemeClr val="tx1"/>
              </a:solidFill>
              <a:ln w="19050">
                <a:noFill/>
              </a:ln>
              <a:effectLst/>
            </c:spPr>
            <c:extLst>
              <c:ext xmlns:c16="http://schemas.microsoft.com/office/drawing/2014/chart" uri="{C3380CC4-5D6E-409C-BE32-E72D297353CC}">
                <c16:uniqueId val="{0000000C-660B-499B-9057-D723EA86E0DC}"/>
              </c:ext>
            </c:extLst>
          </c:dPt>
          <c:dPt>
            <c:idx val="2"/>
            <c:bubble3D val="0"/>
            <c:spPr>
              <a:noFill/>
              <a:ln w="19050">
                <a:noFill/>
              </a:ln>
              <a:effectLst/>
            </c:spPr>
            <c:extLst>
              <c:ext xmlns:c16="http://schemas.microsoft.com/office/drawing/2014/chart" uri="{C3380CC4-5D6E-409C-BE32-E72D297353CC}">
                <c16:uniqueId val="{0000000E-660B-499B-9057-D723EA86E0DC}"/>
              </c:ext>
            </c:extLst>
          </c:dPt>
          <c:val>
            <c:numRef>
              <c:f>'LANÇ. QUAL. PROJ'!$F$487:$F$489</c:f>
              <c:numCache>
                <c:formatCode>0</c:formatCode>
                <c:ptCount val="3"/>
                <c:pt idx="0">
                  <c:v>3301</c:v>
                </c:pt>
                <c:pt idx="1">
                  <c:v>30</c:v>
                </c:pt>
                <c:pt idx="2">
                  <c:v>3869</c:v>
                </c:pt>
              </c:numCache>
            </c:numRef>
          </c:val>
          <c:extLst>
            <c:ext xmlns:c16="http://schemas.microsoft.com/office/drawing/2014/chart" uri="{C3380CC4-5D6E-409C-BE32-E72D297353CC}">
              <c16:uniqueId val="{0000000F-660B-499B-9057-D723EA86E0D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E8</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7DE2-424C-8ABD-16EF123BF51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E2-424C-8ABD-16EF123BF51A}"/>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7DE2-424C-8ABD-16EF123BF51A}"/>
              </c:ext>
            </c:extLst>
          </c:dPt>
          <c:dPt>
            <c:idx val="3"/>
            <c:bubble3D val="0"/>
            <c:spPr>
              <a:noFill/>
              <a:ln w="19050">
                <a:solidFill>
                  <a:schemeClr val="lt1"/>
                </a:solidFill>
              </a:ln>
              <a:effectLst/>
            </c:spPr>
            <c:extLst>
              <c:ext xmlns:c16="http://schemas.microsoft.com/office/drawing/2014/chart" uri="{C3380CC4-5D6E-409C-BE32-E72D297353CC}">
                <c16:uniqueId val="{00000007-7DE2-424C-8ABD-16EF123BF51A}"/>
              </c:ext>
            </c:extLst>
          </c:dPt>
          <c:val>
            <c:numRef>
              <c:f>'LANÇ. QUAL. PROJ'!$G$499:$G$502</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7DE2-424C-8ABD-16EF123BF51A}"/>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7DE2-424C-8ABD-16EF123BF51A}"/>
              </c:ext>
            </c:extLst>
          </c:dPt>
          <c:dPt>
            <c:idx val="1"/>
            <c:bubble3D val="0"/>
            <c:spPr>
              <a:solidFill>
                <a:schemeClr val="tx1"/>
              </a:solidFill>
              <a:ln w="19050">
                <a:noFill/>
              </a:ln>
              <a:effectLst/>
            </c:spPr>
            <c:extLst>
              <c:ext xmlns:c16="http://schemas.microsoft.com/office/drawing/2014/chart" uri="{C3380CC4-5D6E-409C-BE32-E72D297353CC}">
                <c16:uniqueId val="{0000000C-7DE2-424C-8ABD-16EF123BF51A}"/>
              </c:ext>
            </c:extLst>
          </c:dPt>
          <c:dPt>
            <c:idx val="2"/>
            <c:bubble3D val="0"/>
            <c:spPr>
              <a:noFill/>
              <a:ln w="19050">
                <a:noFill/>
              </a:ln>
              <a:effectLst/>
            </c:spPr>
            <c:extLst>
              <c:ext xmlns:c16="http://schemas.microsoft.com/office/drawing/2014/chart" uri="{C3380CC4-5D6E-409C-BE32-E72D297353CC}">
                <c16:uniqueId val="{0000000E-7DE2-424C-8ABD-16EF123BF51A}"/>
              </c:ext>
            </c:extLst>
          </c:dPt>
          <c:val>
            <c:numRef>
              <c:f>'LANÇ. QUAL. PROJ'!$F$506:$F$508</c:f>
              <c:numCache>
                <c:formatCode>0</c:formatCode>
                <c:ptCount val="3"/>
                <c:pt idx="0">
                  <c:v>1601</c:v>
                </c:pt>
                <c:pt idx="1">
                  <c:v>30</c:v>
                </c:pt>
                <c:pt idx="2">
                  <c:v>5569</c:v>
                </c:pt>
              </c:numCache>
            </c:numRef>
          </c:val>
          <c:extLst>
            <c:ext xmlns:c16="http://schemas.microsoft.com/office/drawing/2014/chart" uri="{C3380CC4-5D6E-409C-BE32-E72D297353CC}">
              <c16:uniqueId val="{0000000F-7DE2-424C-8ABD-16EF123BF51A}"/>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DE MÚSICA</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9F8E-4039-855D-7123C5C02C6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F8E-4039-855D-7123C5C02C6E}"/>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9F8E-4039-855D-7123C5C02C6E}"/>
              </c:ext>
            </c:extLst>
          </c:dPt>
          <c:dPt>
            <c:idx val="3"/>
            <c:bubble3D val="0"/>
            <c:spPr>
              <a:noFill/>
              <a:ln w="19050">
                <a:solidFill>
                  <a:schemeClr val="lt1"/>
                </a:solidFill>
              </a:ln>
              <a:effectLst/>
            </c:spPr>
            <c:extLst>
              <c:ext xmlns:c16="http://schemas.microsoft.com/office/drawing/2014/chart" uri="{C3380CC4-5D6E-409C-BE32-E72D297353CC}">
                <c16:uniqueId val="{00000007-9F8E-4039-855D-7123C5C02C6E}"/>
              </c:ext>
            </c:extLst>
          </c:dPt>
          <c:val>
            <c:numRef>
              <c:f>'LANÇ. QUAL. PROJ'!$G$518:$G$521</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9F8E-4039-855D-7123C5C02C6E}"/>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9F8E-4039-855D-7123C5C02C6E}"/>
              </c:ext>
            </c:extLst>
          </c:dPt>
          <c:dPt>
            <c:idx val="1"/>
            <c:bubble3D val="0"/>
            <c:spPr>
              <a:solidFill>
                <a:schemeClr val="tx1"/>
              </a:solidFill>
              <a:ln w="19050">
                <a:noFill/>
              </a:ln>
              <a:effectLst/>
            </c:spPr>
            <c:extLst>
              <c:ext xmlns:c16="http://schemas.microsoft.com/office/drawing/2014/chart" uri="{C3380CC4-5D6E-409C-BE32-E72D297353CC}">
                <c16:uniqueId val="{0000000C-9F8E-4039-855D-7123C5C02C6E}"/>
              </c:ext>
            </c:extLst>
          </c:dPt>
          <c:dPt>
            <c:idx val="2"/>
            <c:bubble3D val="0"/>
            <c:spPr>
              <a:noFill/>
              <a:ln w="19050">
                <a:noFill/>
              </a:ln>
              <a:effectLst/>
            </c:spPr>
            <c:extLst>
              <c:ext xmlns:c16="http://schemas.microsoft.com/office/drawing/2014/chart" uri="{C3380CC4-5D6E-409C-BE32-E72D297353CC}">
                <c16:uniqueId val="{0000000E-9F8E-4039-855D-7123C5C02C6E}"/>
              </c:ext>
            </c:extLst>
          </c:dPt>
          <c:val>
            <c:numRef>
              <c:f>'LANÇ. QUAL. PROJ'!$F$525:$F$527</c:f>
              <c:numCache>
                <c:formatCode>0</c:formatCode>
                <c:ptCount val="3"/>
                <c:pt idx="0">
                  <c:v>3301</c:v>
                </c:pt>
                <c:pt idx="1">
                  <c:v>30</c:v>
                </c:pt>
                <c:pt idx="2">
                  <c:v>3869</c:v>
                </c:pt>
              </c:numCache>
            </c:numRef>
          </c:val>
          <c:extLst>
            <c:ext xmlns:c16="http://schemas.microsoft.com/office/drawing/2014/chart" uri="{C3380CC4-5D6E-409C-BE32-E72D297353CC}">
              <c16:uniqueId val="{0000000F-9F8E-4039-855D-7123C5C02C6E}"/>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ROBÓTICA</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B207-4AA8-AAAB-06C83D67AF8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207-4AA8-AAAB-06C83D67AF8B}"/>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207-4AA8-AAAB-06C83D67AF8B}"/>
              </c:ext>
            </c:extLst>
          </c:dPt>
          <c:dPt>
            <c:idx val="3"/>
            <c:bubble3D val="0"/>
            <c:spPr>
              <a:noFill/>
              <a:ln w="19050">
                <a:solidFill>
                  <a:schemeClr val="lt1"/>
                </a:solidFill>
              </a:ln>
              <a:effectLst/>
            </c:spPr>
            <c:extLst>
              <c:ext xmlns:c16="http://schemas.microsoft.com/office/drawing/2014/chart" uri="{C3380CC4-5D6E-409C-BE32-E72D297353CC}">
                <c16:uniqueId val="{00000007-B207-4AA8-AAAB-06C83D67AF8B}"/>
              </c:ext>
            </c:extLst>
          </c:dPt>
          <c:val>
            <c:numRef>
              <c:f>'LANÇ. QUAL. PROJ'!$G$537:$G$540</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B207-4AA8-AAAB-06C83D67AF8B}"/>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B207-4AA8-AAAB-06C83D67AF8B}"/>
              </c:ext>
            </c:extLst>
          </c:dPt>
          <c:dPt>
            <c:idx val="1"/>
            <c:bubble3D val="0"/>
            <c:spPr>
              <a:solidFill>
                <a:schemeClr val="tx1"/>
              </a:solidFill>
              <a:ln w="19050">
                <a:noFill/>
              </a:ln>
              <a:effectLst/>
            </c:spPr>
            <c:extLst>
              <c:ext xmlns:c16="http://schemas.microsoft.com/office/drawing/2014/chart" uri="{C3380CC4-5D6E-409C-BE32-E72D297353CC}">
                <c16:uniqueId val="{0000000C-B207-4AA8-AAAB-06C83D67AF8B}"/>
              </c:ext>
            </c:extLst>
          </c:dPt>
          <c:dPt>
            <c:idx val="2"/>
            <c:bubble3D val="0"/>
            <c:spPr>
              <a:noFill/>
              <a:ln w="19050">
                <a:noFill/>
              </a:ln>
              <a:effectLst/>
            </c:spPr>
            <c:extLst>
              <c:ext xmlns:c16="http://schemas.microsoft.com/office/drawing/2014/chart" uri="{C3380CC4-5D6E-409C-BE32-E72D297353CC}">
                <c16:uniqueId val="{0000000E-B207-4AA8-AAAB-06C83D67AF8B}"/>
              </c:ext>
            </c:extLst>
          </c:dPt>
          <c:val>
            <c:numRef>
              <c:f>'LANÇ. QUAL. PROJ'!$F$544:$F$546</c:f>
              <c:numCache>
                <c:formatCode>0</c:formatCode>
                <c:ptCount val="3"/>
                <c:pt idx="0">
                  <c:v>1801</c:v>
                </c:pt>
                <c:pt idx="1">
                  <c:v>30</c:v>
                </c:pt>
                <c:pt idx="2">
                  <c:v>5369</c:v>
                </c:pt>
              </c:numCache>
            </c:numRef>
          </c:val>
          <c:extLst>
            <c:ext xmlns:c16="http://schemas.microsoft.com/office/drawing/2014/chart" uri="{C3380CC4-5D6E-409C-BE32-E72D297353CC}">
              <c16:uniqueId val="{0000000F-B207-4AA8-AAAB-06C83D67AF8B}"/>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D1</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1DD2-4C58-A4C5-377BA25C589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D2-4C58-A4C5-377BA25C5894}"/>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DD2-4C58-A4C5-377BA25C5894}"/>
              </c:ext>
            </c:extLst>
          </c:dPt>
          <c:dPt>
            <c:idx val="3"/>
            <c:bubble3D val="0"/>
            <c:spPr>
              <a:noFill/>
              <a:ln w="19050">
                <a:solidFill>
                  <a:schemeClr val="lt1"/>
                </a:solidFill>
              </a:ln>
              <a:effectLst/>
            </c:spPr>
            <c:extLst>
              <c:ext xmlns:c16="http://schemas.microsoft.com/office/drawing/2014/chart" uri="{C3380CC4-5D6E-409C-BE32-E72D297353CC}">
                <c16:uniqueId val="{00000007-1DD2-4C58-A4C5-377BA25C5894}"/>
              </c:ext>
            </c:extLst>
          </c:dPt>
          <c:val>
            <c:numRef>
              <c:f>'LANÇ. QUAL. PROJ'!$G$575:$G$578</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1DD2-4C58-A4C5-377BA25C5894}"/>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1DD2-4C58-A4C5-377BA25C5894}"/>
              </c:ext>
            </c:extLst>
          </c:dPt>
          <c:dPt>
            <c:idx val="1"/>
            <c:bubble3D val="0"/>
            <c:spPr>
              <a:solidFill>
                <a:schemeClr val="tx1"/>
              </a:solidFill>
              <a:ln w="19050">
                <a:noFill/>
              </a:ln>
              <a:effectLst/>
            </c:spPr>
            <c:extLst>
              <c:ext xmlns:c16="http://schemas.microsoft.com/office/drawing/2014/chart" uri="{C3380CC4-5D6E-409C-BE32-E72D297353CC}">
                <c16:uniqueId val="{0000000C-1DD2-4C58-A4C5-377BA25C5894}"/>
              </c:ext>
            </c:extLst>
          </c:dPt>
          <c:dPt>
            <c:idx val="2"/>
            <c:bubble3D val="0"/>
            <c:spPr>
              <a:noFill/>
              <a:ln w="19050">
                <a:noFill/>
              </a:ln>
              <a:effectLst/>
            </c:spPr>
            <c:extLst>
              <c:ext xmlns:c16="http://schemas.microsoft.com/office/drawing/2014/chart" uri="{C3380CC4-5D6E-409C-BE32-E72D297353CC}">
                <c16:uniqueId val="{0000000E-1DD2-4C58-A4C5-377BA25C5894}"/>
              </c:ext>
            </c:extLst>
          </c:dPt>
          <c:val>
            <c:numRef>
              <c:f>'LANÇ. QUAL. PROJ'!$F$582:$F$584</c:f>
              <c:numCache>
                <c:formatCode>0</c:formatCode>
                <c:ptCount val="3"/>
                <c:pt idx="0">
                  <c:v>501</c:v>
                </c:pt>
                <c:pt idx="1">
                  <c:v>30</c:v>
                </c:pt>
                <c:pt idx="2">
                  <c:v>6669</c:v>
                </c:pt>
              </c:numCache>
            </c:numRef>
          </c:val>
          <c:extLst>
            <c:ext xmlns:c16="http://schemas.microsoft.com/office/drawing/2014/chart" uri="{C3380CC4-5D6E-409C-BE32-E72D297353CC}">
              <c16:uniqueId val="{0000000F-1DD2-4C58-A4C5-377BA25C5894}"/>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D2</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161F-43F0-9E85-CBDCEFB47D4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61F-43F0-9E85-CBDCEFB47D4C}"/>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61F-43F0-9E85-CBDCEFB47D4C}"/>
              </c:ext>
            </c:extLst>
          </c:dPt>
          <c:dPt>
            <c:idx val="3"/>
            <c:bubble3D val="0"/>
            <c:spPr>
              <a:noFill/>
              <a:ln w="19050">
                <a:solidFill>
                  <a:schemeClr val="lt1"/>
                </a:solidFill>
              </a:ln>
              <a:effectLst/>
            </c:spPr>
            <c:extLst>
              <c:ext xmlns:c16="http://schemas.microsoft.com/office/drawing/2014/chart" uri="{C3380CC4-5D6E-409C-BE32-E72D297353CC}">
                <c16:uniqueId val="{00000007-161F-43F0-9E85-CBDCEFB47D4C}"/>
              </c:ext>
            </c:extLst>
          </c:dPt>
          <c:val>
            <c:numRef>
              <c:f>'LANÇ. QUAL. PROJ'!$G$594:$G$597</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161F-43F0-9E85-CBDCEFB47D4C}"/>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161F-43F0-9E85-CBDCEFB47D4C}"/>
              </c:ext>
            </c:extLst>
          </c:dPt>
          <c:dPt>
            <c:idx val="1"/>
            <c:bubble3D val="0"/>
            <c:spPr>
              <a:solidFill>
                <a:schemeClr val="tx1"/>
              </a:solidFill>
              <a:ln w="19050">
                <a:noFill/>
              </a:ln>
              <a:effectLst/>
            </c:spPr>
            <c:extLst>
              <c:ext xmlns:c16="http://schemas.microsoft.com/office/drawing/2014/chart" uri="{C3380CC4-5D6E-409C-BE32-E72D297353CC}">
                <c16:uniqueId val="{0000000C-161F-43F0-9E85-CBDCEFB47D4C}"/>
              </c:ext>
            </c:extLst>
          </c:dPt>
          <c:dPt>
            <c:idx val="2"/>
            <c:bubble3D val="0"/>
            <c:spPr>
              <a:noFill/>
              <a:ln w="19050">
                <a:noFill/>
              </a:ln>
              <a:effectLst/>
            </c:spPr>
            <c:extLst>
              <c:ext xmlns:c16="http://schemas.microsoft.com/office/drawing/2014/chart" uri="{C3380CC4-5D6E-409C-BE32-E72D297353CC}">
                <c16:uniqueId val="{0000000E-161F-43F0-9E85-CBDCEFB47D4C}"/>
              </c:ext>
            </c:extLst>
          </c:dPt>
          <c:val>
            <c:numRef>
              <c:f>'LANÇ. QUAL. PROJ'!$F$601:$F$603</c:f>
              <c:numCache>
                <c:formatCode>0</c:formatCode>
                <c:ptCount val="3"/>
                <c:pt idx="0">
                  <c:v>1631</c:v>
                </c:pt>
                <c:pt idx="1">
                  <c:v>30</c:v>
                </c:pt>
                <c:pt idx="2">
                  <c:v>5539</c:v>
                </c:pt>
              </c:numCache>
            </c:numRef>
          </c:val>
          <c:extLst>
            <c:ext xmlns:c16="http://schemas.microsoft.com/office/drawing/2014/chart" uri="{C3380CC4-5D6E-409C-BE32-E72D297353CC}">
              <c16:uniqueId val="{0000000F-161F-43F0-9E85-CBDCEFB47D4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A5</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E60-4CAA-BBB1-B5B20072D4B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E60-4CAA-BBB1-B5B20072D4B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FE60-4CAA-BBB1-B5B20072D4B7}"/>
              </c:ext>
            </c:extLst>
          </c:dPt>
          <c:dPt>
            <c:idx val="3"/>
            <c:bubble3D val="0"/>
            <c:spPr>
              <a:noFill/>
              <a:ln w="19050">
                <a:solidFill>
                  <a:schemeClr val="lt1"/>
                </a:solidFill>
              </a:ln>
              <a:effectLst/>
            </c:spPr>
            <c:extLst>
              <c:ext xmlns:c16="http://schemas.microsoft.com/office/drawing/2014/chart" uri="{C3380CC4-5D6E-409C-BE32-E72D297353CC}">
                <c16:uniqueId val="{00000007-FE60-4CAA-BBB1-B5B20072D4B7}"/>
              </c:ext>
            </c:extLst>
          </c:dPt>
          <c:val>
            <c:numRef>
              <c:f>'LANÇ. QUAL. PROJ'!$G$81:$G$84</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FE60-4CAA-BBB1-B5B20072D4B7}"/>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FE60-4CAA-BBB1-B5B20072D4B7}"/>
              </c:ext>
            </c:extLst>
          </c:dPt>
          <c:dPt>
            <c:idx val="1"/>
            <c:bubble3D val="0"/>
            <c:spPr>
              <a:solidFill>
                <a:schemeClr val="tx1"/>
              </a:solidFill>
              <a:ln w="19050">
                <a:noFill/>
              </a:ln>
              <a:effectLst/>
            </c:spPr>
            <c:extLst>
              <c:ext xmlns:c16="http://schemas.microsoft.com/office/drawing/2014/chart" uri="{C3380CC4-5D6E-409C-BE32-E72D297353CC}">
                <c16:uniqueId val="{0000000C-FE60-4CAA-BBB1-B5B20072D4B7}"/>
              </c:ext>
            </c:extLst>
          </c:dPt>
          <c:dPt>
            <c:idx val="2"/>
            <c:bubble3D val="0"/>
            <c:spPr>
              <a:noFill/>
              <a:ln w="19050">
                <a:noFill/>
              </a:ln>
              <a:effectLst/>
            </c:spPr>
            <c:extLst>
              <c:ext xmlns:c16="http://schemas.microsoft.com/office/drawing/2014/chart" uri="{C3380CC4-5D6E-409C-BE32-E72D297353CC}">
                <c16:uniqueId val="{0000000E-FE60-4CAA-BBB1-B5B20072D4B7}"/>
              </c:ext>
            </c:extLst>
          </c:dPt>
          <c:val>
            <c:numRef>
              <c:f>'LANÇ. QUAL. PROJ'!$F$88:$F$90</c:f>
              <c:numCache>
                <c:formatCode>0</c:formatCode>
                <c:ptCount val="3"/>
                <c:pt idx="0">
                  <c:v>1671</c:v>
                </c:pt>
                <c:pt idx="1">
                  <c:v>30</c:v>
                </c:pt>
                <c:pt idx="2">
                  <c:v>5499</c:v>
                </c:pt>
              </c:numCache>
            </c:numRef>
          </c:val>
          <c:extLst>
            <c:ext xmlns:c16="http://schemas.microsoft.com/office/drawing/2014/chart" uri="{C3380CC4-5D6E-409C-BE32-E72D297353CC}">
              <c16:uniqueId val="{0000000F-FE60-4CAA-BBB1-B5B20072D4B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A6</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37FF-42C4-B3D8-716870A4465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7FF-42C4-B3D8-716870A4465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37FF-42C4-B3D8-716870A44657}"/>
              </c:ext>
            </c:extLst>
          </c:dPt>
          <c:dPt>
            <c:idx val="3"/>
            <c:bubble3D val="0"/>
            <c:spPr>
              <a:noFill/>
              <a:ln w="19050">
                <a:solidFill>
                  <a:schemeClr val="lt1"/>
                </a:solidFill>
              </a:ln>
              <a:effectLst/>
            </c:spPr>
            <c:extLst>
              <c:ext xmlns:c16="http://schemas.microsoft.com/office/drawing/2014/chart" uri="{C3380CC4-5D6E-409C-BE32-E72D297353CC}">
                <c16:uniqueId val="{00000007-37FF-42C4-B3D8-716870A44657}"/>
              </c:ext>
            </c:extLst>
          </c:dPt>
          <c:val>
            <c:numRef>
              <c:f>'LANÇ. QUAL. PROJ'!$G$100:$G$103</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37FF-42C4-B3D8-716870A44657}"/>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spPr>
            <a:ln>
              <a:noFill/>
            </a:ln>
          </c:spPr>
          <c:dPt>
            <c:idx val="0"/>
            <c:bubble3D val="0"/>
            <c:spPr>
              <a:noFill/>
              <a:ln w="19050">
                <a:noFill/>
              </a:ln>
              <a:effectLst/>
            </c:spPr>
            <c:extLst>
              <c:ext xmlns:c16="http://schemas.microsoft.com/office/drawing/2014/chart" uri="{C3380CC4-5D6E-409C-BE32-E72D297353CC}">
                <c16:uniqueId val="{0000000A-37FF-42C4-B3D8-716870A44657}"/>
              </c:ext>
            </c:extLst>
          </c:dPt>
          <c:dPt>
            <c:idx val="1"/>
            <c:bubble3D val="0"/>
            <c:spPr>
              <a:solidFill>
                <a:schemeClr val="tx1"/>
              </a:solidFill>
              <a:ln w="19050">
                <a:noFill/>
              </a:ln>
              <a:effectLst/>
            </c:spPr>
            <c:extLst>
              <c:ext xmlns:c16="http://schemas.microsoft.com/office/drawing/2014/chart" uri="{C3380CC4-5D6E-409C-BE32-E72D297353CC}">
                <c16:uniqueId val="{0000000C-37FF-42C4-B3D8-716870A44657}"/>
              </c:ext>
            </c:extLst>
          </c:dPt>
          <c:dPt>
            <c:idx val="2"/>
            <c:bubble3D val="0"/>
            <c:spPr>
              <a:noFill/>
              <a:ln w="19050">
                <a:noFill/>
              </a:ln>
              <a:effectLst/>
            </c:spPr>
            <c:extLst>
              <c:ext xmlns:c16="http://schemas.microsoft.com/office/drawing/2014/chart" uri="{C3380CC4-5D6E-409C-BE32-E72D297353CC}">
                <c16:uniqueId val="{0000000E-37FF-42C4-B3D8-716870A44657}"/>
              </c:ext>
            </c:extLst>
          </c:dPt>
          <c:val>
            <c:numRef>
              <c:f>'LANÇ. QUAL. PROJ'!$F$107:$F$109</c:f>
              <c:numCache>
                <c:formatCode>0</c:formatCode>
                <c:ptCount val="3"/>
                <c:pt idx="0">
                  <c:v>421</c:v>
                </c:pt>
                <c:pt idx="1">
                  <c:v>30</c:v>
                </c:pt>
                <c:pt idx="2">
                  <c:v>6749</c:v>
                </c:pt>
              </c:numCache>
            </c:numRef>
          </c:val>
          <c:extLst>
            <c:ext xmlns:c16="http://schemas.microsoft.com/office/drawing/2014/chart" uri="{C3380CC4-5D6E-409C-BE32-E72D297353CC}">
              <c16:uniqueId val="{0000000F-37FF-42C4-B3D8-716870A44657}"/>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C1</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132C-46C8-A80E-EE7C0B8CE9F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32C-46C8-A80E-EE7C0B8CE9F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132C-46C8-A80E-EE7C0B8CE9F6}"/>
              </c:ext>
            </c:extLst>
          </c:dPt>
          <c:dPt>
            <c:idx val="3"/>
            <c:bubble3D val="0"/>
            <c:spPr>
              <a:noFill/>
              <a:ln w="19050">
                <a:solidFill>
                  <a:schemeClr val="lt1"/>
                </a:solidFill>
              </a:ln>
              <a:effectLst/>
            </c:spPr>
            <c:extLst>
              <c:ext xmlns:c16="http://schemas.microsoft.com/office/drawing/2014/chart" uri="{C3380CC4-5D6E-409C-BE32-E72D297353CC}">
                <c16:uniqueId val="{00000007-132C-46C8-A80E-EE7C0B8CE9F6}"/>
              </c:ext>
            </c:extLst>
          </c:dPt>
          <c:val>
            <c:numRef>
              <c:f>'LANÇ. QUAL. PROJ'!$G$157:$G$160</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132C-46C8-A80E-EE7C0B8CE9F6}"/>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132C-46C8-A80E-EE7C0B8CE9F6}"/>
              </c:ext>
            </c:extLst>
          </c:dPt>
          <c:dPt>
            <c:idx val="1"/>
            <c:bubble3D val="0"/>
            <c:spPr>
              <a:solidFill>
                <a:schemeClr val="tx1"/>
              </a:solidFill>
              <a:ln w="19050">
                <a:noFill/>
              </a:ln>
              <a:effectLst/>
            </c:spPr>
            <c:extLst>
              <c:ext xmlns:c16="http://schemas.microsoft.com/office/drawing/2014/chart" uri="{C3380CC4-5D6E-409C-BE32-E72D297353CC}">
                <c16:uniqueId val="{0000000C-132C-46C8-A80E-EE7C0B8CE9F6}"/>
              </c:ext>
            </c:extLst>
          </c:dPt>
          <c:dPt>
            <c:idx val="2"/>
            <c:bubble3D val="0"/>
            <c:spPr>
              <a:noFill/>
              <a:ln w="19050">
                <a:noFill/>
              </a:ln>
              <a:effectLst/>
            </c:spPr>
            <c:extLst>
              <c:ext xmlns:c16="http://schemas.microsoft.com/office/drawing/2014/chart" uri="{C3380CC4-5D6E-409C-BE32-E72D297353CC}">
                <c16:uniqueId val="{0000000E-132C-46C8-A80E-EE7C0B8CE9F6}"/>
              </c:ext>
            </c:extLst>
          </c:dPt>
          <c:val>
            <c:numRef>
              <c:f>'LANÇ. QUAL. PROJ'!$F$164:$F$166</c:f>
              <c:numCache>
                <c:formatCode>0</c:formatCode>
                <c:ptCount val="3"/>
                <c:pt idx="0">
                  <c:v>2701</c:v>
                </c:pt>
                <c:pt idx="1">
                  <c:v>30</c:v>
                </c:pt>
                <c:pt idx="2">
                  <c:v>4469</c:v>
                </c:pt>
              </c:numCache>
            </c:numRef>
          </c:val>
          <c:extLst>
            <c:ext xmlns:c16="http://schemas.microsoft.com/office/drawing/2014/chart" uri="{C3380CC4-5D6E-409C-BE32-E72D297353CC}">
              <c16:uniqueId val="{0000000F-132C-46C8-A80E-EE7C0B8CE9F6}"/>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 A8</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E032-40C1-9010-89BF3B0C3C1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032-40C1-9010-89BF3B0C3C19}"/>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E032-40C1-9010-89BF3B0C3C19}"/>
              </c:ext>
            </c:extLst>
          </c:dPt>
          <c:dPt>
            <c:idx val="3"/>
            <c:bubble3D val="0"/>
            <c:spPr>
              <a:noFill/>
              <a:ln w="19050">
                <a:solidFill>
                  <a:schemeClr val="lt1"/>
                </a:solidFill>
              </a:ln>
              <a:effectLst/>
            </c:spPr>
            <c:extLst>
              <c:ext xmlns:c16="http://schemas.microsoft.com/office/drawing/2014/chart" uri="{C3380CC4-5D6E-409C-BE32-E72D297353CC}">
                <c16:uniqueId val="{00000007-E032-40C1-9010-89BF3B0C3C19}"/>
              </c:ext>
            </c:extLst>
          </c:dPt>
          <c:val>
            <c:numRef>
              <c:f>'LANÇ. QUAL. PROJ'!$G$138:$G$141</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E032-40C1-9010-89BF3B0C3C19}"/>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E032-40C1-9010-89BF3B0C3C19}"/>
              </c:ext>
            </c:extLst>
          </c:dPt>
          <c:dPt>
            <c:idx val="1"/>
            <c:bubble3D val="0"/>
            <c:spPr>
              <a:solidFill>
                <a:schemeClr val="tx1"/>
              </a:solidFill>
              <a:ln w="19050">
                <a:noFill/>
              </a:ln>
              <a:effectLst/>
            </c:spPr>
            <c:extLst>
              <c:ext xmlns:c16="http://schemas.microsoft.com/office/drawing/2014/chart" uri="{C3380CC4-5D6E-409C-BE32-E72D297353CC}">
                <c16:uniqueId val="{0000000C-E032-40C1-9010-89BF3B0C3C19}"/>
              </c:ext>
            </c:extLst>
          </c:dPt>
          <c:dPt>
            <c:idx val="2"/>
            <c:bubble3D val="0"/>
            <c:spPr>
              <a:noFill/>
              <a:ln w="19050">
                <a:noFill/>
              </a:ln>
              <a:effectLst/>
            </c:spPr>
            <c:extLst>
              <c:ext xmlns:c16="http://schemas.microsoft.com/office/drawing/2014/chart" uri="{C3380CC4-5D6E-409C-BE32-E72D297353CC}">
                <c16:uniqueId val="{0000000E-E032-40C1-9010-89BF3B0C3C19}"/>
              </c:ext>
            </c:extLst>
          </c:dPt>
          <c:val>
            <c:numRef>
              <c:f>'LANÇ. QUAL. PROJ'!$F$145:$F$147</c:f>
              <c:numCache>
                <c:formatCode>0</c:formatCode>
                <c:ptCount val="3"/>
                <c:pt idx="0">
                  <c:v>721</c:v>
                </c:pt>
                <c:pt idx="1">
                  <c:v>30</c:v>
                </c:pt>
                <c:pt idx="2">
                  <c:v>6449</c:v>
                </c:pt>
              </c:numCache>
            </c:numRef>
          </c:val>
          <c:extLst>
            <c:ext xmlns:c16="http://schemas.microsoft.com/office/drawing/2014/chart" uri="{C3380CC4-5D6E-409C-BE32-E72D297353CC}">
              <c16:uniqueId val="{0000000F-E032-40C1-9010-89BF3B0C3C19}"/>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a:t>
            </a:r>
            <a:r>
              <a:rPr lang="pt-BR" sz="1600" b="1" baseline="0">
                <a:latin typeface="AXIS Extra Bold" panose="00000900000000000000" pitchFamily="50" charset="0"/>
              </a:rPr>
              <a:t> C6</a:t>
            </a:r>
            <a:endParaRPr lang="pt-BR" sz="1600" b="1">
              <a:latin typeface="AXIS Extra Bold" panose="00000900000000000000" pitchFamily="50"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564-44B1-9144-C065DDA9A6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564-44B1-9144-C065DDA9A663}"/>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C564-44B1-9144-C065DDA9A663}"/>
              </c:ext>
            </c:extLst>
          </c:dPt>
          <c:dPt>
            <c:idx val="3"/>
            <c:bubble3D val="0"/>
            <c:spPr>
              <a:noFill/>
              <a:ln w="19050">
                <a:solidFill>
                  <a:schemeClr val="lt1"/>
                </a:solidFill>
              </a:ln>
              <a:effectLst/>
            </c:spPr>
            <c:extLst>
              <c:ext xmlns:c16="http://schemas.microsoft.com/office/drawing/2014/chart" uri="{C3380CC4-5D6E-409C-BE32-E72D297353CC}">
                <c16:uniqueId val="{00000007-C564-44B1-9144-C065DDA9A663}"/>
              </c:ext>
            </c:extLst>
          </c:dPt>
          <c:val>
            <c:numRef>
              <c:f>'LANÇ. QUAL. PROJ'!$G$252:$G$255</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C564-44B1-9144-C065DDA9A663}"/>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C564-44B1-9144-C065DDA9A663}"/>
              </c:ext>
            </c:extLst>
          </c:dPt>
          <c:dPt>
            <c:idx val="1"/>
            <c:bubble3D val="0"/>
            <c:spPr>
              <a:solidFill>
                <a:schemeClr val="tx1"/>
              </a:solidFill>
              <a:ln w="19050">
                <a:noFill/>
              </a:ln>
              <a:effectLst/>
            </c:spPr>
            <c:extLst>
              <c:ext xmlns:c16="http://schemas.microsoft.com/office/drawing/2014/chart" uri="{C3380CC4-5D6E-409C-BE32-E72D297353CC}">
                <c16:uniqueId val="{0000000C-C564-44B1-9144-C065DDA9A663}"/>
              </c:ext>
            </c:extLst>
          </c:dPt>
          <c:dPt>
            <c:idx val="2"/>
            <c:bubble3D val="0"/>
            <c:spPr>
              <a:noFill/>
              <a:ln w="19050">
                <a:noFill/>
              </a:ln>
              <a:effectLst/>
            </c:spPr>
            <c:extLst>
              <c:ext xmlns:c16="http://schemas.microsoft.com/office/drawing/2014/chart" uri="{C3380CC4-5D6E-409C-BE32-E72D297353CC}">
                <c16:uniqueId val="{0000000E-C564-44B1-9144-C065DDA9A663}"/>
              </c:ext>
            </c:extLst>
          </c:dPt>
          <c:val>
            <c:numRef>
              <c:f>'LANÇ. QUAL. PROJ'!$F$259:$F$261</c:f>
              <c:numCache>
                <c:formatCode>0</c:formatCode>
                <c:ptCount val="3"/>
                <c:pt idx="0">
                  <c:v>721</c:v>
                </c:pt>
                <c:pt idx="1">
                  <c:v>30</c:v>
                </c:pt>
                <c:pt idx="2">
                  <c:v>6449</c:v>
                </c:pt>
              </c:numCache>
            </c:numRef>
          </c:val>
          <c:extLst>
            <c:ext xmlns:c16="http://schemas.microsoft.com/office/drawing/2014/chart" uri="{C3380CC4-5D6E-409C-BE32-E72D297353CC}">
              <c16:uniqueId val="{0000000F-C564-44B1-9144-C065DDA9A66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r>
              <a:rPr lang="pt-BR" sz="1600" b="1">
                <a:latin typeface="AXIS Extra Bold" panose="00000900000000000000" pitchFamily="50" charset="0"/>
              </a:rPr>
              <a:t>SALA</a:t>
            </a:r>
            <a:r>
              <a:rPr lang="pt-BR" sz="1600" b="1" baseline="0">
                <a:latin typeface="AXIS Extra Bold" panose="00000900000000000000" pitchFamily="50" charset="0"/>
              </a:rPr>
              <a:t> C2</a:t>
            </a:r>
            <a:endParaRPr lang="pt-BR" sz="1600" b="1">
              <a:latin typeface="AXIS Extra Bold" panose="00000900000000000000" pitchFamily="50"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XIS Extra Bold" panose="00000900000000000000" pitchFamily="50" charset="0"/>
              <a:ea typeface="+mn-ea"/>
              <a:cs typeface="+mn-cs"/>
            </a:defRPr>
          </a:pPr>
          <a:endParaRPr lang="pt-BR"/>
        </a:p>
      </c:txPr>
    </c:title>
    <c:autoTitleDeleted val="0"/>
    <c:plotArea>
      <c:layout/>
      <c:doughnutChart>
        <c:varyColors val="1"/>
        <c:ser>
          <c:idx val="0"/>
          <c:order val="0"/>
          <c:tx>
            <c:v>Painel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E52-412D-9F54-05599B51E8F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E52-412D-9F54-05599B51E8F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AE52-412D-9F54-05599B51E8F1}"/>
              </c:ext>
            </c:extLst>
          </c:dPt>
          <c:dPt>
            <c:idx val="3"/>
            <c:bubble3D val="0"/>
            <c:spPr>
              <a:noFill/>
              <a:ln w="19050">
                <a:solidFill>
                  <a:schemeClr val="lt1"/>
                </a:solidFill>
              </a:ln>
              <a:effectLst/>
            </c:spPr>
            <c:extLst>
              <c:ext xmlns:c16="http://schemas.microsoft.com/office/drawing/2014/chart" uri="{C3380CC4-5D6E-409C-BE32-E72D297353CC}">
                <c16:uniqueId val="{00000007-AE52-412D-9F54-05599B51E8F1}"/>
              </c:ext>
            </c:extLst>
          </c:dPt>
          <c:val>
            <c:numRef>
              <c:f>'LANÇ. QUAL. PROJ'!$G$176:$G$179</c:f>
              <c:numCache>
                <c:formatCode>General</c:formatCode>
                <c:ptCount val="4"/>
                <c:pt idx="0">
                  <c:v>1800</c:v>
                </c:pt>
                <c:pt idx="1">
                  <c:v>1440</c:v>
                </c:pt>
                <c:pt idx="2">
                  <c:v>360</c:v>
                </c:pt>
                <c:pt idx="3">
                  <c:v>3600</c:v>
                </c:pt>
              </c:numCache>
            </c:numRef>
          </c:val>
          <c:extLst>
            <c:ext xmlns:c16="http://schemas.microsoft.com/office/drawing/2014/chart" uri="{C3380CC4-5D6E-409C-BE32-E72D297353CC}">
              <c16:uniqueId val="{00000008-AE52-412D-9F54-05599B51E8F1}"/>
            </c:ext>
          </c:extLst>
        </c:ser>
        <c:dLbls>
          <c:showLegendKey val="0"/>
          <c:showVal val="0"/>
          <c:showCatName val="0"/>
          <c:showSerName val="0"/>
          <c:showPercent val="0"/>
          <c:showBubbleSize val="0"/>
          <c:showLeaderLines val="1"/>
        </c:dLbls>
        <c:firstSliceAng val="270"/>
        <c:holeSize val="75"/>
      </c:doughnutChart>
      <c:pieChart>
        <c:varyColors val="1"/>
        <c:ser>
          <c:idx val="1"/>
          <c:order val="1"/>
          <c:tx>
            <c:v>Ponteiro</c:v>
          </c:tx>
          <c:dPt>
            <c:idx val="0"/>
            <c:bubble3D val="0"/>
            <c:spPr>
              <a:noFill/>
              <a:ln w="19050">
                <a:noFill/>
              </a:ln>
              <a:effectLst/>
            </c:spPr>
            <c:extLst>
              <c:ext xmlns:c16="http://schemas.microsoft.com/office/drawing/2014/chart" uri="{C3380CC4-5D6E-409C-BE32-E72D297353CC}">
                <c16:uniqueId val="{0000000A-AE52-412D-9F54-05599B51E8F1}"/>
              </c:ext>
            </c:extLst>
          </c:dPt>
          <c:dPt>
            <c:idx val="1"/>
            <c:bubble3D val="0"/>
            <c:spPr>
              <a:solidFill>
                <a:schemeClr val="tx1"/>
              </a:solidFill>
              <a:ln w="19050">
                <a:noFill/>
              </a:ln>
              <a:effectLst/>
            </c:spPr>
            <c:extLst>
              <c:ext xmlns:c16="http://schemas.microsoft.com/office/drawing/2014/chart" uri="{C3380CC4-5D6E-409C-BE32-E72D297353CC}">
                <c16:uniqueId val="{0000000C-AE52-412D-9F54-05599B51E8F1}"/>
              </c:ext>
            </c:extLst>
          </c:dPt>
          <c:dPt>
            <c:idx val="2"/>
            <c:bubble3D val="0"/>
            <c:spPr>
              <a:noFill/>
              <a:ln w="19050">
                <a:noFill/>
              </a:ln>
              <a:effectLst/>
            </c:spPr>
            <c:extLst>
              <c:ext xmlns:c16="http://schemas.microsoft.com/office/drawing/2014/chart" uri="{C3380CC4-5D6E-409C-BE32-E72D297353CC}">
                <c16:uniqueId val="{0000000E-AE52-412D-9F54-05599B51E8F1}"/>
              </c:ext>
            </c:extLst>
          </c:dPt>
          <c:val>
            <c:numRef>
              <c:f>'LANÇ. QUAL. PROJ'!$F$183:$F$185</c:f>
              <c:numCache>
                <c:formatCode>0</c:formatCode>
                <c:ptCount val="3"/>
                <c:pt idx="0">
                  <c:v>2701</c:v>
                </c:pt>
                <c:pt idx="1">
                  <c:v>30</c:v>
                </c:pt>
                <c:pt idx="2">
                  <c:v>4469</c:v>
                </c:pt>
              </c:numCache>
            </c:numRef>
          </c:val>
          <c:extLst>
            <c:ext xmlns:c16="http://schemas.microsoft.com/office/drawing/2014/chart" uri="{C3380CC4-5D6E-409C-BE32-E72D297353CC}">
              <c16:uniqueId val="{0000000F-AE52-412D-9F54-05599B51E8F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pt-BR">
                <a:latin typeface="Arial Black" panose="020B0A04020102020204" pitchFamily="34" charset="0"/>
              </a:rPr>
              <a:t>CONTROLE DE PILHAS SALAS</a:t>
            </a:r>
            <a:r>
              <a:rPr lang="pt-BR" baseline="0">
                <a:latin typeface="Arial Black" panose="020B0A04020102020204" pitchFamily="34" charset="0"/>
              </a:rPr>
              <a:t> DE AULA - MICROFONES K-231H</a:t>
            </a:r>
            <a:endParaRPr lang="pt-BR">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pt-BR"/>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spPr>
            <a:solidFill>
              <a:schemeClr val="accent6"/>
            </a:solidFill>
            <a:ln>
              <a:noFill/>
            </a:ln>
            <a:effectLst/>
            <a:sp3d/>
          </c:spPr>
          <c:cat>
            <c:strRef>
              <c:f>'CONTR. PILHAS - AUXILIAR'!$A$5:$A$37</c:f>
              <c:strCache>
                <c:ptCount val="33"/>
                <c:pt idx="0">
                  <c:v>A1</c:v>
                </c:pt>
                <c:pt idx="1">
                  <c:v>A2</c:v>
                </c:pt>
                <c:pt idx="2">
                  <c:v>A3</c:v>
                </c:pt>
                <c:pt idx="3">
                  <c:v>A4</c:v>
                </c:pt>
                <c:pt idx="4">
                  <c:v>A5</c:v>
                </c:pt>
                <c:pt idx="5">
                  <c:v>A6</c:v>
                </c:pt>
                <c:pt idx="6">
                  <c:v>A7</c:v>
                </c:pt>
                <c:pt idx="7">
                  <c:v>A8</c:v>
                </c:pt>
                <c:pt idx="8">
                  <c:v>A9</c:v>
                </c:pt>
                <c:pt idx="9">
                  <c:v>C1</c:v>
                </c:pt>
                <c:pt idx="10">
                  <c:v>C2</c:v>
                </c:pt>
                <c:pt idx="11">
                  <c:v>C3</c:v>
                </c:pt>
                <c:pt idx="12">
                  <c:v>C4</c:v>
                </c:pt>
                <c:pt idx="13">
                  <c:v>C5</c:v>
                </c:pt>
                <c:pt idx="14">
                  <c:v>C6</c:v>
                </c:pt>
                <c:pt idx="15">
                  <c:v>C7</c:v>
                </c:pt>
                <c:pt idx="16">
                  <c:v>C8</c:v>
                </c:pt>
                <c:pt idx="17">
                  <c:v>C9</c:v>
                </c:pt>
                <c:pt idx="18">
                  <c:v>C10</c:v>
                </c:pt>
                <c:pt idx="19">
                  <c:v>C11</c:v>
                </c:pt>
                <c:pt idx="20">
                  <c:v>E1</c:v>
                </c:pt>
                <c:pt idx="21">
                  <c:v>E2</c:v>
                </c:pt>
                <c:pt idx="22">
                  <c:v>E3</c:v>
                </c:pt>
                <c:pt idx="23">
                  <c:v>E4</c:v>
                </c:pt>
                <c:pt idx="24">
                  <c:v>E5</c:v>
                </c:pt>
                <c:pt idx="25">
                  <c:v>E6</c:v>
                </c:pt>
                <c:pt idx="26">
                  <c:v>E7</c:v>
                </c:pt>
                <c:pt idx="27">
                  <c:v>E8</c:v>
                </c:pt>
                <c:pt idx="28">
                  <c:v>D1</c:v>
                </c:pt>
                <c:pt idx="29">
                  <c:v>D2</c:v>
                </c:pt>
                <c:pt idx="30">
                  <c:v>AUDITÓRIO 1</c:v>
                </c:pt>
                <c:pt idx="31">
                  <c:v>AUDITÓRIO 2</c:v>
                </c:pt>
                <c:pt idx="32">
                  <c:v>ROBOTICA </c:v>
                </c:pt>
              </c:strCache>
            </c:strRef>
          </c:cat>
          <c:val>
            <c:numRef>
              <c:f>'CONTR. PILHAS - AUXILIAR'!$B$5:$B$37</c:f>
              <c:numCache>
                <c:formatCode>General</c:formatCode>
                <c:ptCount val="33"/>
                <c:pt idx="0">
                  <c:v>0</c:v>
                </c:pt>
                <c:pt idx="1">
                  <c:v>1</c:v>
                </c:pt>
                <c:pt idx="2">
                  <c:v>1</c:v>
                </c:pt>
                <c:pt idx="3">
                  <c:v>0</c:v>
                </c:pt>
                <c:pt idx="4">
                  <c:v>2</c:v>
                </c:pt>
                <c:pt idx="5">
                  <c:v>1</c:v>
                </c:pt>
                <c:pt idx="6">
                  <c:v>2</c:v>
                </c:pt>
                <c:pt idx="7">
                  <c:v>0</c:v>
                </c:pt>
                <c:pt idx="8">
                  <c:v>0</c:v>
                </c:pt>
                <c:pt idx="9">
                  <c:v>1</c:v>
                </c:pt>
                <c:pt idx="10">
                  <c:v>2</c:v>
                </c:pt>
                <c:pt idx="11">
                  <c:v>2</c:v>
                </c:pt>
                <c:pt idx="12">
                  <c:v>1</c:v>
                </c:pt>
                <c:pt idx="13">
                  <c:v>1</c:v>
                </c:pt>
                <c:pt idx="14">
                  <c:v>3</c:v>
                </c:pt>
                <c:pt idx="15">
                  <c:v>2</c:v>
                </c:pt>
                <c:pt idx="16">
                  <c:v>0</c:v>
                </c:pt>
                <c:pt idx="17">
                  <c:v>1</c:v>
                </c:pt>
                <c:pt idx="18">
                  <c:v>1</c:v>
                </c:pt>
                <c:pt idx="19">
                  <c:v>0</c:v>
                </c:pt>
                <c:pt idx="20">
                  <c:v>0</c:v>
                </c:pt>
                <c:pt idx="21">
                  <c:v>0</c:v>
                </c:pt>
                <c:pt idx="22">
                  <c:v>0</c:v>
                </c:pt>
                <c:pt idx="23">
                  <c:v>0</c:v>
                </c:pt>
                <c:pt idx="24">
                  <c:v>0</c:v>
                </c:pt>
                <c:pt idx="25">
                  <c:v>0</c:v>
                </c:pt>
                <c:pt idx="26">
                  <c:v>0</c:v>
                </c:pt>
                <c:pt idx="27">
                  <c:v>0</c:v>
                </c:pt>
                <c:pt idx="28">
                  <c:v>2</c:v>
                </c:pt>
                <c:pt idx="29">
                  <c:v>1</c:v>
                </c:pt>
                <c:pt idx="30">
                  <c:v>0</c:v>
                </c:pt>
                <c:pt idx="31">
                  <c:v>0</c:v>
                </c:pt>
                <c:pt idx="32">
                  <c:v>0</c:v>
                </c:pt>
              </c:numCache>
            </c:numRef>
          </c:val>
          <c:smooth val="0"/>
          <c:extLst>
            <c:ext xmlns:c16="http://schemas.microsoft.com/office/drawing/2014/chart" uri="{C3380CC4-5D6E-409C-BE32-E72D297353CC}">
              <c16:uniqueId val="{00000000-DEE8-4817-BBF4-576B42B2C4A7}"/>
            </c:ext>
          </c:extLst>
        </c:ser>
        <c:dLbls>
          <c:showLegendKey val="0"/>
          <c:showVal val="0"/>
          <c:showCatName val="0"/>
          <c:showSerName val="0"/>
          <c:showPercent val="0"/>
          <c:showBubbleSize val="0"/>
        </c:dLbls>
        <c:axId val="293404000"/>
        <c:axId val="293408784"/>
        <c:axId val="293413472"/>
      </c:line3DChart>
      <c:catAx>
        <c:axId val="293404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3408784"/>
        <c:crosses val="autoZero"/>
        <c:auto val="1"/>
        <c:lblAlgn val="ctr"/>
        <c:lblOffset val="100"/>
        <c:noMultiLvlLbl val="0"/>
      </c:catAx>
      <c:valAx>
        <c:axId val="2934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3404000"/>
        <c:crosses val="autoZero"/>
        <c:crossBetween val="between"/>
      </c:valAx>
      <c:serAx>
        <c:axId val="293413472"/>
        <c:scaling>
          <c:orientation val="minMax"/>
        </c:scaling>
        <c:delete val="1"/>
        <c:axPos val="b"/>
        <c:majorTickMark val="out"/>
        <c:minorTickMark val="none"/>
        <c:tickLblPos val="nextTo"/>
        <c:crossAx val="29340878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[EQUIPAMENTOS SALA DE AULA - 2022 - desbloqueada 5 maio (1).xlsx]TABELA DINAMICA PILH!Tabela dinâmica1</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'TABELA DINAMICA PILH'!$B$3:$B$4</c:f>
              <c:strCache>
                <c:ptCount val="1"/>
                <c:pt idx="0">
                  <c:v>A3</c:v>
                </c:pt>
              </c:strCache>
            </c:strRef>
          </c:tx>
          <c:spPr>
            <a:solidFill>
              <a:schemeClr val="accent1"/>
            </a:solidFill>
            <a:ln>
              <a:noFill/>
            </a:ln>
            <a:effectLst/>
          </c:spPr>
          <c:invertIfNegative val="0"/>
          <c:cat>
            <c:strRef>
              <c:f>'TABELA DINAMICA PILH'!$A$5:$A$7</c:f>
              <c:strCache>
                <c:ptCount val="2"/>
                <c:pt idx="0">
                  <c:v>CÂMERA GO PRO</c:v>
                </c:pt>
                <c:pt idx="1">
                  <c:v>CELULAR</c:v>
                </c:pt>
              </c:strCache>
            </c:strRef>
          </c:cat>
          <c:val>
            <c:numRef>
              <c:f>'TABELA DINAMICA PILH'!$B$5:$B$7</c:f>
              <c:numCache>
                <c:formatCode>General</c:formatCode>
                <c:ptCount val="2"/>
                <c:pt idx="0">
                  <c:v>3</c:v>
                </c:pt>
              </c:numCache>
            </c:numRef>
          </c:val>
          <c:extLst>
            <c:ext xmlns:c16="http://schemas.microsoft.com/office/drawing/2014/chart" uri="{C3380CC4-5D6E-409C-BE32-E72D297353CC}">
              <c16:uniqueId val="{00000000-DFE1-4573-9F76-D8F221D18C9D}"/>
            </c:ext>
          </c:extLst>
        </c:ser>
        <c:ser>
          <c:idx val="1"/>
          <c:order val="1"/>
          <c:tx>
            <c:strRef>
              <c:f>'TABELA DINAMICA PILH'!$C$3:$C$4</c:f>
              <c:strCache>
                <c:ptCount val="1"/>
                <c:pt idx="0">
                  <c:v>A4</c:v>
                </c:pt>
              </c:strCache>
            </c:strRef>
          </c:tx>
          <c:spPr>
            <a:solidFill>
              <a:schemeClr val="accent2"/>
            </a:solidFill>
            <a:ln>
              <a:noFill/>
            </a:ln>
            <a:effectLst/>
          </c:spPr>
          <c:invertIfNegative val="0"/>
          <c:cat>
            <c:strRef>
              <c:f>'TABELA DINAMICA PILH'!$A$5:$A$7</c:f>
              <c:strCache>
                <c:ptCount val="2"/>
                <c:pt idx="0">
                  <c:v>CÂMERA GO PRO</c:v>
                </c:pt>
                <c:pt idx="1">
                  <c:v>CELULAR</c:v>
                </c:pt>
              </c:strCache>
            </c:strRef>
          </c:cat>
          <c:val>
            <c:numRef>
              <c:f>'TABELA DINAMICA PILH'!$C$5:$C$7</c:f>
              <c:numCache>
                <c:formatCode>General</c:formatCode>
                <c:ptCount val="2"/>
                <c:pt idx="0">
                  <c:v>1</c:v>
                </c:pt>
              </c:numCache>
            </c:numRef>
          </c:val>
          <c:extLst>
            <c:ext xmlns:c16="http://schemas.microsoft.com/office/drawing/2014/chart" uri="{C3380CC4-5D6E-409C-BE32-E72D297353CC}">
              <c16:uniqueId val="{00000001-66CB-4AA0-BB71-5755FA87A2F8}"/>
            </c:ext>
          </c:extLst>
        </c:ser>
        <c:ser>
          <c:idx val="2"/>
          <c:order val="2"/>
          <c:tx>
            <c:strRef>
              <c:f>'TABELA DINAMICA PILH'!$D$3:$D$4</c:f>
              <c:strCache>
                <c:ptCount val="1"/>
                <c:pt idx="0">
                  <c:v>A5</c:v>
                </c:pt>
              </c:strCache>
            </c:strRef>
          </c:tx>
          <c:spPr>
            <a:solidFill>
              <a:schemeClr val="accent3"/>
            </a:solidFill>
            <a:ln>
              <a:noFill/>
            </a:ln>
            <a:effectLst/>
          </c:spPr>
          <c:invertIfNegative val="0"/>
          <c:cat>
            <c:strRef>
              <c:f>'TABELA DINAMICA PILH'!$A$5:$A$7</c:f>
              <c:strCache>
                <c:ptCount val="2"/>
                <c:pt idx="0">
                  <c:v>CÂMERA GO PRO</c:v>
                </c:pt>
                <c:pt idx="1">
                  <c:v>CELULAR</c:v>
                </c:pt>
              </c:strCache>
            </c:strRef>
          </c:cat>
          <c:val>
            <c:numRef>
              <c:f>'TABELA DINAMICA PILH'!$D$5:$D$7</c:f>
              <c:numCache>
                <c:formatCode>General</c:formatCode>
                <c:ptCount val="2"/>
                <c:pt idx="0">
                  <c:v>1</c:v>
                </c:pt>
              </c:numCache>
            </c:numRef>
          </c:val>
          <c:extLst>
            <c:ext xmlns:c16="http://schemas.microsoft.com/office/drawing/2014/chart" uri="{C3380CC4-5D6E-409C-BE32-E72D297353CC}">
              <c16:uniqueId val="{00000002-66CB-4AA0-BB71-5755FA87A2F8}"/>
            </c:ext>
          </c:extLst>
        </c:ser>
        <c:ser>
          <c:idx val="3"/>
          <c:order val="3"/>
          <c:tx>
            <c:strRef>
              <c:f>'TABELA DINAMICA PILH'!$E$3:$E$4</c:f>
              <c:strCache>
                <c:ptCount val="1"/>
                <c:pt idx="0">
                  <c:v>A6</c:v>
                </c:pt>
              </c:strCache>
            </c:strRef>
          </c:tx>
          <c:spPr>
            <a:solidFill>
              <a:schemeClr val="accent4"/>
            </a:solidFill>
            <a:ln>
              <a:noFill/>
            </a:ln>
            <a:effectLst/>
          </c:spPr>
          <c:invertIfNegative val="0"/>
          <c:cat>
            <c:strRef>
              <c:f>'TABELA DINAMICA PILH'!$A$5:$A$7</c:f>
              <c:strCache>
                <c:ptCount val="2"/>
                <c:pt idx="0">
                  <c:v>CÂMERA GO PRO</c:v>
                </c:pt>
                <c:pt idx="1">
                  <c:v>CELULAR</c:v>
                </c:pt>
              </c:strCache>
            </c:strRef>
          </c:cat>
          <c:val>
            <c:numRef>
              <c:f>'TABELA DINAMICA PILH'!$E$5:$E$7</c:f>
              <c:numCache>
                <c:formatCode>General</c:formatCode>
                <c:ptCount val="2"/>
                <c:pt idx="0">
                  <c:v>1</c:v>
                </c:pt>
              </c:numCache>
            </c:numRef>
          </c:val>
          <c:extLst>
            <c:ext xmlns:c16="http://schemas.microsoft.com/office/drawing/2014/chart" uri="{C3380CC4-5D6E-409C-BE32-E72D297353CC}">
              <c16:uniqueId val="{00000003-66CB-4AA0-BB71-5755FA87A2F8}"/>
            </c:ext>
          </c:extLst>
        </c:ser>
        <c:ser>
          <c:idx val="4"/>
          <c:order val="4"/>
          <c:tx>
            <c:strRef>
              <c:f>'TABELA DINAMICA PILH'!$F$3:$F$4</c:f>
              <c:strCache>
                <c:ptCount val="1"/>
                <c:pt idx="0">
                  <c:v>A8</c:v>
                </c:pt>
              </c:strCache>
            </c:strRef>
          </c:tx>
          <c:spPr>
            <a:solidFill>
              <a:schemeClr val="accent5"/>
            </a:solidFill>
            <a:ln>
              <a:noFill/>
            </a:ln>
            <a:effectLst/>
          </c:spPr>
          <c:invertIfNegative val="0"/>
          <c:cat>
            <c:strRef>
              <c:f>'TABELA DINAMICA PILH'!$A$5:$A$7</c:f>
              <c:strCache>
                <c:ptCount val="2"/>
                <c:pt idx="0">
                  <c:v>CÂMERA GO PRO</c:v>
                </c:pt>
                <c:pt idx="1">
                  <c:v>CELULAR</c:v>
                </c:pt>
              </c:strCache>
            </c:strRef>
          </c:cat>
          <c:val>
            <c:numRef>
              <c:f>'TABELA DINAMICA PILH'!$F$5:$F$7</c:f>
              <c:numCache>
                <c:formatCode>General</c:formatCode>
                <c:ptCount val="2"/>
                <c:pt idx="0">
                  <c:v>6</c:v>
                </c:pt>
              </c:numCache>
            </c:numRef>
          </c:val>
          <c:extLst>
            <c:ext xmlns:c16="http://schemas.microsoft.com/office/drawing/2014/chart" uri="{C3380CC4-5D6E-409C-BE32-E72D297353CC}">
              <c16:uniqueId val="{00000004-66CB-4AA0-BB71-5755FA87A2F8}"/>
            </c:ext>
          </c:extLst>
        </c:ser>
        <c:ser>
          <c:idx val="5"/>
          <c:order val="5"/>
          <c:tx>
            <c:strRef>
              <c:f>'TABELA DINAMICA PILH'!$G$3:$G$4</c:f>
              <c:strCache>
                <c:ptCount val="1"/>
                <c:pt idx="0">
                  <c:v>C1</c:v>
                </c:pt>
              </c:strCache>
            </c:strRef>
          </c:tx>
          <c:spPr>
            <a:solidFill>
              <a:schemeClr val="accent6"/>
            </a:solidFill>
            <a:ln>
              <a:noFill/>
            </a:ln>
            <a:effectLst/>
          </c:spPr>
          <c:invertIfNegative val="0"/>
          <c:cat>
            <c:strRef>
              <c:f>'TABELA DINAMICA PILH'!$A$5:$A$7</c:f>
              <c:strCache>
                <c:ptCount val="2"/>
                <c:pt idx="0">
                  <c:v>CÂMERA GO PRO</c:v>
                </c:pt>
                <c:pt idx="1">
                  <c:v>CELULAR</c:v>
                </c:pt>
              </c:strCache>
            </c:strRef>
          </c:cat>
          <c:val>
            <c:numRef>
              <c:f>'TABELA DINAMICA PILH'!$G$5:$G$7</c:f>
              <c:numCache>
                <c:formatCode>General</c:formatCode>
                <c:ptCount val="2"/>
                <c:pt idx="0">
                  <c:v>5</c:v>
                </c:pt>
              </c:numCache>
            </c:numRef>
          </c:val>
          <c:extLst>
            <c:ext xmlns:c16="http://schemas.microsoft.com/office/drawing/2014/chart" uri="{C3380CC4-5D6E-409C-BE32-E72D297353CC}">
              <c16:uniqueId val="{00000005-66CB-4AA0-BB71-5755FA87A2F8}"/>
            </c:ext>
          </c:extLst>
        </c:ser>
        <c:ser>
          <c:idx val="6"/>
          <c:order val="6"/>
          <c:tx>
            <c:strRef>
              <c:f>'TABELA DINAMICA PILH'!$H$3:$H$4</c:f>
              <c:strCache>
                <c:ptCount val="1"/>
                <c:pt idx="0">
                  <c:v>C10</c:v>
                </c:pt>
              </c:strCache>
            </c:strRef>
          </c:tx>
          <c:spPr>
            <a:solidFill>
              <a:schemeClr val="accent1">
                <a:lumMod val="60000"/>
              </a:schemeClr>
            </a:solidFill>
            <a:ln>
              <a:noFill/>
            </a:ln>
            <a:effectLst/>
          </c:spPr>
          <c:invertIfNegative val="0"/>
          <c:cat>
            <c:strRef>
              <c:f>'TABELA DINAMICA PILH'!$A$5:$A$7</c:f>
              <c:strCache>
                <c:ptCount val="2"/>
                <c:pt idx="0">
                  <c:v>CÂMERA GO PRO</c:v>
                </c:pt>
                <c:pt idx="1">
                  <c:v>CELULAR</c:v>
                </c:pt>
              </c:strCache>
            </c:strRef>
          </c:cat>
          <c:val>
            <c:numRef>
              <c:f>'TABELA DINAMICA PILH'!$H$5:$H$7</c:f>
              <c:numCache>
                <c:formatCode>General</c:formatCode>
                <c:ptCount val="2"/>
                <c:pt idx="0">
                  <c:v>3</c:v>
                </c:pt>
              </c:numCache>
            </c:numRef>
          </c:val>
          <c:extLst>
            <c:ext xmlns:c16="http://schemas.microsoft.com/office/drawing/2014/chart" uri="{C3380CC4-5D6E-409C-BE32-E72D297353CC}">
              <c16:uniqueId val="{00000006-66CB-4AA0-BB71-5755FA87A2F8}"/>
            </c:ext>
          </c:extLst>
        </c:ser>
        <c:ser>
          <c:idx val="7"/>
          <c:order val="7"/>
          <c:tx>
            <c:strRef>
              <c:f>'TABELA DINAMICA PILH'!$I$3:$I$4</c:f>
              <c:strCache>
                <c:ptCount val="1"/>
                <c:pt idx="0">
                  <c:v>C11</c:v>
                </c:pt>
              </c:strCache>
            </c:strRef>
          </c:tx>
          <c:spPr>
            <a:solidFill>
              <a:schemeClr val="accent2">
                <a:lumMod val="60000"/>
              </a:schemeClr>
            </a:solidFill>
            <a:ln>
              <a:noFill/>
            </a:ln>
            <a:effectLst/>
          </c:spPr>
          <c:invertIfNegative val="0"/>
          <c:cat>
            <c:strRef>
              <c:f>'TABELA DINAMICA PILH'!$A$5:$A$7</c:f>
              <c:strCache>
                <c:ptCount val="2"/>
                <c:pt idx="0">
                  <c:v>CÂMERA GO PRO</c:v>
                </c:pt>
                <c:pt idx="1">
                  <c:v>CELULAR</c:v>
                </c:pt>
              </c:strCache>
            </c:strRef>
          </c:cat>
          <c:val>
            <c:numRef>
              <c:f>'TABELA DINAMICA PILH'!$I$5:$I$7</c:f>
              <c:numCache>
                <c:formatCode>General</c:formatCode>
                <c:ptCount val="2"/>
                <c:pt idx="0">
                  <c:v>5</c:v>
                </c:pt>
              </c:numCache>
            </c:numRef>
          </c:val>
          <c:extLst>
            <c:ext xmlns:c16="http://schemas.microsoft.com/office/drawing/2014/chart" uri="{C3380CC4-5D6E-409C-BE32-E72D297353CC}">
              <c16:uniqueId val="{00000007-66CB-4AA0-BB71-5755FA87A2F8}"/>
            </c:ext>
          </c:extLst>
        </c:ser>
        <c:ser>
          <c:idx val="8"/>
          <c:order val="8"/>
          <c:tx>
            <c:strRef>
              <c:f>'TABELA DINAMICA PILH'!$J$3:$J$4</c:f>
              <c:strCache>
                <c:ptCount val="1"/>
                <c:pt idx="0">
                  <c:v>C2</c:v>
                </c:pt>
              </c:strCache>
            </c:strRef>
          </c:tx>
          <c:spPr>
            <a:solidFill>
              <a:schemeClr val="accent3">
                <a:lumMod val="60000"/>
              </a:schemeClr>
            </a:solidFill>
            <a:ln>
              <a:noFill/>
            </a:ln>
            <a:effectLst/>
          </c:spPr>
          <c:invertIfNegative val="0"/>
          <c:cat>
            <c:strRef>
              <c:f>'TABELA DINAMICA PILH'!$A$5:$A$7</c:f>
              <c:strCache>
                <c:ptCount val="2"/>
                <c:pt idx="0">
                  <c:v>CÂMERA GO PRO</c:v>
                </c:pt>
                <c:pt idx="1">
                  <c:v>CELULAR</c:v>
                </c:pt>
              </c:strCache>
            </c:strRef>
          </c:cat>
          <c:val>
            <c:numRef>
              <c:f>'TABELA DINAMICA PILH'!$J$5:$J$7</c:f>
              <c:numCache>
                <c:formatCode>General</c:formatCode>
                <c:ptCount val="2"/>
                <c:pt idx="0">
                  <c:v>21</c:v>
                </c:pt>
                <c:pt idx="1">
                  <c:v>2</c:v>
                </c:pt>
              </c:numCache>
            </c:numRef>
          </c:val>
          <c:extLst>
            <c:ext xmlns:c16="http://schemas.microsoft.com/office/drawing/2014/chart" uri="{C3380CC4-5D6E-409C-BE32-E72D297353CC}">
              <c16:uniqueId val="{00000008-66CB-4AA0-BB71-5755FA87A2F8}"/>
            </c:ext>
          </c:extLst>
        </c:ser>
        <c:ser>
          <c:idx val="9"/>
          <c:order val="9"/>
          <c:tx>
            <c:strRef>
              <c:f>'TABELA DINAMICA PILH'!$K$3:$K$4</c:f>
              <c:strCache>
                <c:ptCount val="1"/>
                <c:pt idx="0">
                  <c:v>C3</c:v>
                </c:pt>
              </c:strCache>
            </c:strRef>
          </c:tx>
          <c:spPr>
            <a:solidFill>
              <a:schemeClr val="accent4">
                <a:lumMod val="60000"/>
              </a:schemeClr>
            </a:solidFill>
            <a:ln>
              <a:noFill/>
            </a:ln>
            <a:effectLst/>
          </c:spPr>
          <c:invertIfNegative val="0"/>
          <c:cat>
            <c:strRef>
              <c:f>'TABELA DINAMICA PILH'!$A$5:$A$7</c:f>
              <c:strCache>
                <c:ptCount val="2"/>
                <c:pt idx="0">
                  <c:v>CÂMERA GO PRO</c:v>
                </c:pt>
                <c:pt idx="1">
                  <c:v>CELULAR</c:v>
                </c:pt>
              </c:strCache>
            </c:strRef>
          </c:cat>
          <c:val>
            <c:numRef>
              <c:f>'TABELA DINAMICA PILH'!$K$5:$K$7</c:f>
              <c:numCache>
                <c:formatCode>General</c:formatCode>
                <c:ptCount val="2"/>
                <c:pt idx="0">
                  <c:v>4</c:v>
                </c:pt>
              </c:numCache>
            </c:numRef>
          </c:val>
          <c:extLst>
            <c:ext xmlns:c16="http://schemas.microsoft.com/office/drawing/2014/chart" uri="{C3380CC4-5D6E-409C-BE32-E72D297353CC}">
              <c16:uniqueId val="{00000009-66CB-4AA0-BB71-5755FA87A2F8}"/>
            </c:ext>
          </c:extLst>
        </c:ser>
        <c:ser>
          <c:idx val="10"/>
          <c:order val="10"/>
          <c:tx>
            <c:strRef>
              <c:f>'TABELA DINAMICA PILH'!$L$3:$L$4</c:f>
              <c:strCache>
                <c:ptCount val="1"/>
                <c:pt idx="0">
                  <c:v>C4</c:v>
                </c:pt>
              </c:strCache>
            </c:strRef>
          </c:tx>
          <c:spPr>
            <a:solidFill>
              <a:schemeClr val="accent5">
                <a:lumMod val="60000"/>
              </a:schemeClr>
            </a:solidFill>
            <a:ln>
              <a:noFill/>
            </a:ln>
            <a:effectLst/>
          </c:spPr>
          <c:invertIfNegative val="0"/>
          <c:cat>
            <c:strRef>
              <c:f>'TABELA DINAMICA PILH'!$A$5:$A$7</c:f>
              <c:strCache>
                <c:ptCount val="2"/>
                <c:pt idx="0">
                  <c:v>CÂMERA GO PRO</c:v>
                </c:pt>
                <c:pt idx="1">
                  <c:v>CELULAR</c:v>
                </c:pt>
              </c:strCache>
            </c:strRef>
          </c:cat>
          <c:val>
            <c:numRef>
              <c:f>'TABELA DINAMICA PILH'!$L$5:$L$7</c:f>
              <c:numCache>
                <c:formatCode>General</c:formatCode>
                <c:ptCount val="2"/>
                <c:pt idx="0">
                  <c:v>19</c:v>
                </c:pt>
              </c:numCache>
            </c:numRef>
          </c:val>
          <c:extLst>
            <c:ext xmlns:c16="http://schemas.microsoft.com/office/drawing/2014/chart" uri="{C3380CC4-5D6E-409C-BE32-E72D297353CC}">
              <c16:uniqueId val="{0000000A-66CB-4AA0-BB71-5755FA87A2F8}"/>
            </c:ext>
          </c:extLst>
        </c:ser>
        <c:ser>
          <c:idx val="11"/>
          <c:order val="11"/>
          <c:tx>
            <c:strRef>
              <c:f>'TABELA DINAMICA PILH'!$M$3:$M$4</c:f>
              <c:strCache>
                <c:ptCount val="1"/>
                <c:pt idx="0">
                  <c:v>C5</c:v>
                </c:pt>
              </c:strCache>
            </c:strRef>
          </c:tx>
          <c:spPr>
            <a:solidFill>
              <a:schemeClr val="accent6">
                <a:lumMod val="60000"/>
              </a:schemeClr>
            </a:solidFill>
            <a:ln>
              <a:noFill/>
            </a:ln>
            <a:effectLst/>
          </c:spPr>
          <c:invertIfNegative val="0"/>
          <c:cat>
            <c:strRef>
              <c:f>'TABELA DINAMICA PILH'!$A$5:$A$7</c:f>
              <c:strCache>
                <c:ptCount val="2"/>
                <c:pt idx="0">
                  <c:v>CÂMERA GO PRO</c:v>
                </c:pt>
                <c:pt idx="1">
                  <c:v>CELULAR</c:v>
                </c:pt>
              </c:strCache>
            </c:strRef>
          </c:cat>
          <c:val>
            <c:numRef>
              <c:f>'TABELA DINAMICA PILH'!$M$5:$M$7</c:f>
              <c:numCache>
                <c:formatCode>General</c:formatCode>
                <c:ptCount val="2"/>
                <c:pt idx="0">
                  <c:v>4</c:v>
                </c:pt>
              </c:numCache>
            </c:numRef>
          </c:val>
          <c:extLst>
            <c:ext xmlns:c16="http://schemas.microsoft.com/office/drawing/2014/chart" uri="{C3380CC4-5D6E-409C-BE32-E72D297353CC}">
              <c16:uniqueId val="{0000000B-66CB-4AA0-BB71-5755FA87A2F8}"/>
            </c:ext>
          </c:extLst>
        </c:ser>
        <c:ser>
          <c:idx val="12"/>
          <c:order val="12"/>
          <c:tx>
            <c:strRef>
              <c:f>'TABELA DINAMICA PILH'!$N$3:$N$4</c:f>
              <c:strCache>
                <c:ptCount val="1"/>
                <c:pt idx="0">
                  <c:v>C6</c:v>
                </c:pt>
              </c:strCache>
            </c:strRef>
          </c:tx>
          <c:spPr>
            <a:solidFill>
              <a:schemeClr val="accent1">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PILH'!$N$5:$N$7</c:f>
              <c:numCache>
                <c:formatCode>General</c:formatCode>
                <c:ptCount val="2"/>
                <c:pt idx="0">
                  <c:v>16</c:v>
                </c:pt>
              </c:numCache>
            </c:numRef>
          </c:val>
          <c:extLst>
            <c:ext xmlns:c16="http://schemas.microsoft.com/office/drawing/2014/chart" uri="{C3380CC4-5D6E-409C-BE32-E72D297353CC}">
              <c16:uniqueId val="{0000000C-66CB-4AA0-BB71-5755FA87A2F8}"/>
            </c:ext>
          </c:extLst>
        </c:ser>
        <c:ser>
          <c:idx val="13"/>
          <c:order val="13"/>
          <c:tx>
            <c:strRef>
              <c:f>'TABELA DINAMICA PILH'!$O$3:$O$4</c:f>
              <c:strCache>
                <c:ptCount val="1"/>
                <c:pt idx="0">
                  <c:v>C7</c:v>
                </c:pt>
              </c:strCache>
            </c:strRef>
          </c:tx>
          <c:spPr>
            <a:solidFill>
              <a:schemeClr val="accent2">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PILH'!$O$5:$O$7</c:f>
              <c:numCache>
                <c:formatCode>General</c:formatCode>
                <c:ptCount val="2"/>
                <c:pt idx="0">
                  <c:v>5</c:v>
                </c:pt>
              </c:numCache>
            </c:numRef>
          </c:val>
          <c:extLst>
            <c:ext xmlns:c16="http://schemas.microsoft.com/office/drawing/2014/chart" uri="{C3380CC4-5D6E-409C-BE32-E72D297353CC}">
              <c16:uniqueId val="{0000000D-66CB-4AA0-BB71-5755FA87A2F8}"/>
            </c:ext>
          </c:extLst>
        </c:ser>
        <c:ser>
          <c:idx val="14"/>
          <c:order val="14"/>
          <c:tx>
            <c:strRef>
              <c:f>'TABELA DINAMICA PILH'!$P$3:$P$4</c:f>
              <c:strCache>
                <c:ptCount val="1"/>
                <c:pt idx="0">
                  <c:v>C8</c:v>
                </c:pt>
              </c:strCache>
            </c:strRef>
          </c:tx>
          <c:spPr>
            <a:solidFill>
              <a:schemeClr val="accent3">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PILH'!$P$5:$P$7</c:f>
              <c:numCache>
                <c:formatCode>General</c:formatCode>
                <c:ptCount val="2"/>
                <c:pt idx="0">
                  <c:v>2</c:v>
                </c:pt>
              </c:numCache>
            </c:numRef>
          </c:val>
          <c:extLst>
            <c:ext xmlns:c16="http://schemas.microsoft.com/office/drawing/2014/chart" uri="{C3380CC4-5D6E-409C-BE32-E72D297353CC}">
              <c16:uniqueId val="{0000000E-66CB-4AA0-BB71-5755FA87A2F8}"/>
            </c:ext>
          </c:extLst>
        </c:ser>
        <c:ser>
          <c:idx val="15"/>
          <c:order val="15"/>
          <c:tx>
            <c:strRef>
              <c:f>'TABELA DINAMICA PILH'!$Q$3:$Q$4</c:f>
              <c:strCache>
                <c:ptCount val="1"/>
                <c:pt idx="0">
                  <c:v>C9</c:v>
                </c:pt>
              </c:strCache>
            </c:strRef>
          </c:tx>
          <c:spPr>
            <a:solidFill>
              <a:schemeClr val="accent4">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PILH'!$Q$5:$Q$7</c:f>
              <c:numCache>
                <c:formatCode>General</c:formatCode>
                <c:ptCount val="2"/>
                <c:pt idx="0">
                  <c:v>9</c:v>
                </c:pt>
              </c:numCache>
            </c:numRef>
          </c:val>
          <c:extLst>
            <c:ext xmlns:c16="http://schemas.microsoft.com/office/drawing/2014/chart" uri="{C3380CC4-5D6E-409C-BE32-E72D297353CC}">
              <c16:uniqueId val="{0000000F-66CB-4AA0-BB71-5755FA87A2F8}"/>
            </c:ext>
          </c:extLst>
        </c:ser>
        <c:ser>
          <c:idx val="16"/>
          <c:order val="16"/>
          <c:tx>
            <c:strRef>
              <c:f>'TABELA DINAMICA PILH'!$R$3:$R$4</c:f>
              <c:strCache>
                <c:ptCount val="1"/>
                <c:pt idx="0">
                  <c:v>D1</c:v>
                </c:pt>
              </c:strCache>
            </c:strRef>
          </c:tx>
          <c:spPr>
            <a:solidFill>
              <a:schemeClr val="accent5">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PILH'!$R$5:$R$7</c:f>
              <c:numCache>
                <c:formatCode>General</c:formatCode>
                <c:ptCount val="2"/>
                <c:pt idx="0">
                  <c:v>7</c:v>
                </c:pt>
              </c:numCache>
            </c:numRef>
          </c:val>
          <c:extLst>
            <c:ext xmlns:c16="http://schemas.microsoft.com/office/drawing/2014/chart" uri="{C3380CC4-5D6E-409C-BE32-E72D297353CC}">
              <c16:uniqueId val="{00000010-66CB-4AA0-BB71-5755FA87A2F8}"/>
            </c:ext>
          </c:extLst>
        </c:ser>
        <c:ser>
          <c:idx val="17"/>
          <c:order val="17"/>
          <c:tx>
            <c:strRef>
              <c:f>'TABELA DINAMICA PILH'!$S$3:$S$4</c:f>
              <c:strCache>
                <c:ptCount val="1"/>
                <c:pt idx="0">
                  <c:v>D2</c:v>
                </c:pt>
              </c:strCache>
            </c:strRef>
          </c:tx>
          <c:spPr>
            <a:solidFill>
              <a:schemeClr val="accent6">
                <a:lumMod val="80000"/>
                <a:lumOff val="20000"/>
              </a:schemeClr>
            </a:solidFill>
            <a:ln>
              <a:noFill/>
            </a:ln>
            <a:effectLst/>
          </c:spPr>
          <c:invertIfNegative val="0"/>
          <c:cat>
            <c:strRef>
              <c:f>'TABELA DINAMICA PILH'!$A$5:$A$7</c:f>
              <c:strCache>
                <c:ptCount val="2"/>
                <c:pt idx="0">
                  <c:v>CÂMERA GO PRO</c:v>
                </c:pt>
                <c:pt idx="1">
                  <c:v>CELULAR</c:v>
                </c:pt>
              </c:strCache>
            </c:strRef>
          </c:cat>
          <c:val>
            <c:numRef>
              <c:f>'TABELA DINAMICA PILH'!$S$5:$S$7</c:f>
              <c:numCache>
                <c:formatCode>General</c:formatCode>
                <c:ptCount val="2"/>
                <c:pt idx="0">
                  <c:v>5</c:v>
                </c:pt>
              </c:numCache>
            </c:numRef>
          </c:val>
          <c:extLst>
            <c:ext xmlns:c16="http://schemas.microsoft.com/office/drawing/2014/chart" uri="{C3380CC4-5D6E-409C-BE32-E72D297353CC}">
              <c16:uniqueId val="{00000011-66CB-4AA0-BB71-5755FA87A2F8}"/>
            </c:ext>
          </c:extLst>
        </c:ser>
        <c:dLbls>
          <c:showLegendKey val="0"/>
          <c:showVal val="0"/>
          <c:showCatName val="0"/>
          <c:showSerName val="0"/>
          <c:showPercent val="0"/>
          <c:showBubbleSize val="0"/>
        </c:dLbls>
        <c:gapWidth val="219"/>
        <c:overlap val="-27"/>
        <c:axId val="303559792"/>
        <c:axId val="303564256"/>
      </c:barChart>
      <c:catAx>
        <c:axId val="3035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03564256"/>
        <c:crosses val="autoZero"/>
        <c:auto val="1"/>
        <c:lblAlgn val="ctr"/>
        <c:lblOffset val="100"/>
        <c:noMultiLvlLbl val="0"/>
      </c:catAx>
      <c:valAx>
        <c:axId val="30356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03559792"/>
        <c:crosses val="autoZero"/>
        <c:crossBetween val="between"/>
      </c:valAx>
      <c:spPr>
        <a:noFill/>
        <a:ln>
          <a:noFill/>
        </a:ln>
        <a:effectLst/>
      </c:spPr>
    </c:plotArea>
    <c:legend>
      <c:legendPos val="r"/>
      <c:layout>
        <c:manualLayout>
          <c:xMode val="edge"/>
          <c:yMode val="edge"/>
          <c:x val="0.89978261753425404"/>
          <c:y val="9.3220014164896101E-2"/>
          <c:w val="8.0895008605851984E-2"/>
          <c:h val="0.72388451443569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[EQUIPAMENTOS SALA DE AULA - 2022 - desbloqueada 5 maio (1).xlsx]3D-PLANI!Tabela dinâmica2</c:name>
    <c:fmtId val="2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'3D-PLANI'!$B$4:$B$5</c:f>
              <c:strCache>
                <c:ptCount val="1"/>
                <c:pt idx="0">
                  <c:v>31/ago</c:v>
                </c:pt>
              </c:strCache>
            </c:strRef>
          </c:tx>
          <c:spPr>
            <a:solidFill>
              <a:schemeClr val="accent1"/>
            </a:solidFill>
            <a:ln>
              <a:noFill/>
            </a:ln>
            <a:effectLst/>
            <a:sp3d/>
          </c:spPr>
          <c:invertIfNegative val="0"/>
          <c:cat>
            <c:strRef>
              <c:f>'3D-PLANI'!$A$6:$A$10</c:f>
              <c:strCache>
                <c:ptCount val="4"/>
                <c:pt idx="0">
                  <c:v>Adriana</c:v>
                </c:pt>
                <c:pt idx="1">
                  <c:v>Cíntia</c:v>
                </c:pt>
                <c:pt idx="2">
                  <c:v>Gracyelle</c:v>
                </c:pt>
                <c:pt idx="3">
                  <c:v>Izabela</c:v>
                </c:pt>
              </c:strCache>
            </c:strRef>
          </c:cat>
          <c:val>
            <c:numRef>
              <c:f>'3D-PLANI'!$B$6:$B$10</c:f>
              <c:numCache>
                <c:formatCode>General</c:formatCode>
                <c:ptCount val="4"/>
                <c:pt idx="2">
                  <c:v>1</c:v>
                </c:pt>
              </c:numCache>
            </c:numRef>
          </c:val>
          <c:extLst>
            <c:ext xmlns:c16="http://schemas.microsoft.com/office/drawing/2014/chart" uri="{C3380CC4-5D6E-409C-BE32-E72D297353CC}">
              <c16:uniqueId val="{00000000-B97E-4E02-ADFC-5E8D53E8629F}"/>
            </c:ext>
          </c:extLst>
        </c:ser>
        <c:ser>
          <c:idx val="1"/>
          <c:order val="1"/>
          <c:tx>
            <c:strRef>
              <c:f>'3D-PLANI'!$C$4:$C$5</c:f>
              <c:strCache>
                <c:ptCount val="1"/>
                <c:pt idx="0">
                  <c:v>02/set</c:v>
                </c:pt>
              </c:strCache>
            </c:strRef>
          </c:tx>
          <c:spPr>
            <a:solidFill>
              <a:schemeClr val="accent2"/>
            </a:solidFill>
            <a:ln>
              <a:noFill/>
            </a:ln>
            <a:effectLst/>
            <a:sp3d/>
          </c:spPr>
          <c:invertIfNegative val="0"/>
          <c:cat>
            <c:strRef>
              <c:f>'3D-PLANI'!$A$6:$A$10</c:f>
              <c:strCache>
                <c:ptCount val="4"/>
                <c:pt idx="0">
                  <c:v>Adriana</c:v>
                </c:pt>
                <c:pt idx="1">
                  <c:v>Cíntia</c:v>
                </c:pt>
                <c:pt idx="2">
                  <c:v>Gracyelle</c:v>
                </c:pt>
                <c:pt idx="3">
                  <c:v>Izabela</c:v>
                </c:pt>
              </c:strCache>
            </c:strRef>
          </c:cat>
          <c:val>
            <c:numRef>
              <c:f>'3D-PLANI'!$C$6:$C$10</c:f>
              <c:numCache>
                <c:formatCode>General</c:formatCode>
                <c:ptCount val="4"/>
                <c:pt idx="1">
                  <c:v>1</c:v>
                </c:pt>
              </c:numCache>
            </c:numRef>
          </c:val>
          <c:extLst>
            <c:ext xmlns:c16="http://schemas.microsoft.com/office/drawing/2014/chart" uri="{C3380CC4-5D6E-409C-BE32-E72D297353CC}">
              <c16:uniqueId val="{00000001-A58D-4D57-8469-D80CF67A8097}"/>
            </c:ext>
          </c:extLst>
        </c:ser>
        <c:ser>
          <c:idx val="2"/>
          <c:order val="2"/>
          <c:tx>
            <c:strRef>
              <c:f>'3D-PLANI'!$D$4:$D$5</c:f>
              <c:strCache>
                <c:ptCount val="1"/>
                <c:pt idx="0">
                  <c:v>09/set</c:v>
                </c:pt>
              </c:strCache>
            </c:strRef>
          </c:tx>
          <c:spPr>
            <a:solidFill>
              <a:schemeClr val="accent3"/>
            </a:solidFill>
            <a:ln>
              <a:noFill/>
            </a:ln>
            <a:effectLst/>
            <a:sp3d/>
          </c:spPr>
          <c:invertIfNegative val="0"/>
          <c:cat>
            <c:strRef>
              <c:f>'3D-PLANI'!$A$6:$A$10</c:f>
              <c:strCache>
                <c:ptCount val="4"/>
                <c:pt idx="0">
                  <c:v>Adriana</c:v>
                </c:pt>
                <c:pt idx="1">
                  <c:v>Cíntia</c:v>
                </c:pt>
                <c:pt idx="2">
                  <c:v>Gracyelle</c:v>
                </c:pt>
                <c:pt idx="3">
                  <c:v>Izabela</c:v>
                </c:pt>
              </c:strCache>
            </c:strRef>
          </c:cat>
          <c:val>
            <c:numRef>
              <c:f>'3D-PLANI'!$D$6:$D$10</c:f>
              <c:numCache>
                <c:formatCode>General</c:formatCode>
                <c:ptCount val="4"/>
                <c:pt idx="3">
                  <c:v>1</c:v>
                </c:pt>
              </c:numCache>
            </c:numRef>
          </c:val>
          <c:extLst>
            <c:ext xmlns:c16="http://schemas.microsoft.com/office/drawing/2014/chart" uri="{C3380CC4-5D6E-409C-BE32-E72D297353CC}">
              <c16:uniqueId val="{00000002-A58D-4D57-8469-D80CF67A8097}"/>
            </c:ext>
          </c:extLst>
        </c:ser>
        <c:ser>
          <c:idx val="3"/>
          <c:order val="3"/>
          <c:tx>
            <c:strRef>
              <c:f>'3D-PLANI'!$E$4:$E$5</c:f>
              <c:strCache>
                <c:ptCount val="1"/>
                <c:pt idx="0">
                  <c:v>10/set</c:v>
                </c:pt>
              </c:strCache>
            </c:strRef>
          </c:tx>
          <c:spPr>
            <a:solidFill>
              <a:schemeClr val="accent4"/>
            </a:solidFill>
            <a:ln>
              <a:noFill/>
            </a:ln>
            <a:effectLst/>
            <a:sp3d/>
          </c:spPr>
          <c:invertIfNegative val="0"/>
          <c:cat>
            <c:strRef>
              <c:f>'3D-PLANI'!$A$6:$A$10</c:f>
              <c:strCache>
                <c:ptCount val="4"/>
                <c:pt idx="0">
                  <c:v>Adriana</c:v>
                </c:pt>
                <c:pt idx="1">
                  <c:v>Cíntia</c:v>
                </c:pt>
                <c:pt idx="2">
                  <c:v>Gracyelle</c:v>
                </c:pt>
                <c:pt idx="3">
                  <c:v>Izabela</c:v>
                </c:pt>
              </c:strCache>
            </c:strRef>
          </c:cat>
          <c:val>
            <c:numRef>
              <c:f>'3D-PLANI'!$E$6:$E$10</c:f>
              <c:numCache>
                <c:formatCode>General</c:formatCode>
                <c:ptCount val="4"/>
                <c:pt idx="2">
                  <c:v>1</c:v>
                </c:pt>
              </c:numCache>
            </c:numRef>
          </c:val>
          <c:extLst>
            <c:ext xmlns:c16="http://schemas.microsoft.com/office/drawing/2014/chart" uri="{C3380CC4-5D6E-409C-BE32-E72D297353CC}">
              <c16:uniqueId val="{00000003-A58D-4D57-8469-D80CF67A8097}"/>
            </c:ext>
          </c:extLst>
        </c:ser>
        <c:ser>
          <c:idx val="4"/>
          <c:order val="4"/>
          <c:tx>
            <c:strRef>
              <c:f>'3D-PLANI'!$F$4:$F$5</c:f>
              <c:strCache>
                <c:ptCount val="1"/>
                <c:pt idx="0">
                  <c:v>14/set</c:v>
                </c:pt>
              </c:strCache>
            </c:strRef>
          </c:tx>
          <c:spPr>
            <a:solidFill>
              <a:schemeClr val="accent5"/>
            </a:solidFill>
            <a:ln>
              <a:noFill/>
            </a:ln>
            <a:effectLst/>
            <a:sp3d/>
          </c:spPr>
          <c:invertIfNegative val="0"/>
          <c:cat>
            <c:strRef>
              <c:f>'3D-PLANI'!$A$6:$A$10</c:f>
              <c:strCache>
                <c:ptCount val="4"/>
                <c:pt idx="0">
                  <c:v>Adriana</c:v>
                </c:pt>
                <c:pt idx="1">
                  <c:v>Cíntia</c:v>
                </c:pt>
                <c:pt idx="2">
                  <c:v>Gracyelle</c:v>
                </c:pt>
                <c:pt idx="3">
                  <c:v>Izabela</c:v>
                </c:pt>
              </c:strCache>
            </c:strRef>
          </c:cat>
          <c:val>
            <c:numRef>
              <c:f>'3D-PLANI'!$F$6:$F$10</c:f>
              <c:numCache>
                <c:formatCode>General</c:formatCode>
                <c:ptCount val="4"/>
                <c:pt idx="2">
                  <c:v>1</c:v>
                </c:pt>
              </c:numCache>
            </c:numRef>
          </c:val>
          <c:extLst>
            <c:ext xmlns:c16="http://schemas.microsoft.com/office/drawing/2014/chart" uri="{C3380CC4-5D6E-409C-BE32-E72D297353CC}">
              <c16:uniqueId val="{00000004-A58D-4D57-8469-D80CF67A8097}"/>
            </c:ext>
          </c:extLst>
        </c:ser>
        <c:ser>
          <c:idx val="5"/>
          <c:order val="5"/>
          <c:tx>
            <c:strRef>
              <c:f>'3D-PLANI'!$G$4:$G$5</c:f>
              <c:strCache>
                <c:ptCount val="1"/>
                <c:pt idx="0">
                  <c:v>15/set</c:v>
                </c:pt>
              </c:strCache>
            </c:strRef>
          </c:tx>
          <c:spPr>
            <a:solidFill>
              <a:schemeClr val="accent6"/>
            </a:solidFill>
            <a:ln>
              <a:noFill/>
            </a:ln>
            <a:effectLst/>
            <a:sp3d/>
          </c:spPr>
          <c:invertIfNegative val="0"/>
          <c:cat>
            <c:strRef>
              <c:f>'3D-PLANI'!$A$6:$A$10</c:f>
              <c:strCache>
                <c:ptCount val="4"/>
                <c:pt idx="0">
                  <c:v>Adriana</c:v>
                </c:pt>
                <c:pt idx="1">
                  <c:v>Cíntia</c:v>
                </c:pt>
                <c:pt idx="2">
                  <c:v>Gracyelle</c:v>
                </c:pt>
                <c:pt idx="3">
                  <c:v>Izabela</c:v>
                </c:pt>
              </c:strCache>
            </c:strRef>
          </c:cat>
          <c:val>
            <c:numRef>
              <c:f>'3D-PLANI'!$G$6:$G$10</c:f>
              <c:numCache>
                <c:formatCode>General</c:formatCode>
                <c:ptCount val="4"/>
                <c:pt idx="2">
                  <c:v>1</c:v>
                </c:pt>
              </c:numCache>
            </c:numRef>
          </c:val>
          <c:extLst>
            <c:ext xmlns:c16="http://schemas.microsoft.com/office/drawing/2014/chart" uri="{C3380CC4-5D6E-409C-BE32-E72D297353CC}">
              <c16:uniqueId val="{00000005-A58D-4D57-8469-D80CF67A8097}"/>
            </c:ext>
          </c:extLst>
        </c:ser>
        <c:ser>
          <c:idx val="6"/>
          <c:order val="6"/>
          <c:tx>
            <c:strRef>
              <c:f>'3D-PLANI'!$H$4:$H$5</c:f>
              <c:strCache>
                <c:ptCount val="1"/>
                <c:pt idx="0">
                  <c:v>21/set</c:v>
                </c:pt>
              </c:strCache>
            </c:strRef>
          </c:tx>
          <c:spPr>
            <a:solidFill>
              <a:schemeClr val="accent1">
                <a:lumMod val="60000"/>
              </a:schemeClr>
            </a:solidFill>
            <a:ln>
              <a:noFill/>
            </a:ln>
            <a:effectLst/>
            <a:sp3d/>
          </c:spPr>
          <c:invertIfNegative val="0"/>
          <c:cat>
            <c:strRef>
              <c:f>'3D-PLANI'!$A$6:$A$10</c:f>
              <c:strCache>
                <c:ptCount val="4"/>
                <c:pt idx="0">
                  <c:v>Adriana</c:v>
                </c:pt>
                <c:pt idx="1">
                  <c:v>Cíntia</c:v>
                </c:pt>
                <c:pt idx="2">
                  <c:v>Gracyelle</c:v>
                </c:pt>
                <c:pt idx="3">
                  <c:v>Izabela</c:v>
                </c:pt>
              </c:strCache>
            </c:strRef>
          </c:cat>
          <c:val>
            <c:numRef>
              <c:f>'3D-PLANI'!$H$6:$H$10</c:f>
              <c:numCache>
                <c:formatCode>General</c:formatCode>
                <c:ptCount val="4"/>
                <c:pt idx="0">
                  <c:v>1</c:v>
                </c:pt>
              </c:numCache>
            </c:numRef>
          </c:val>
          <c:extLst>
            <c:ext xmlns:c16="http://schemas.microsoft.com/office/drawing/2014/chart" uri="{C3380CC4-5D6E-409C-BE32-E72D297353CC}">
              <c16:uniqueId val="{00000006-A58D-4D57-8469-D80CF67A8097}"/>
            </c:ext>
          </c:extLst>
        </c:ser>
        <c:ser>
          <c:idx val="7"/>
          <c:order val="7"/>
          <c:tx>
            <c:strRef>
              <c:f>'3D-PLANI'!$I$4:$I$5</c:f>
              <c:strCache>
                <c:ptCount val="1"/>
                <c:pt idx="0">
                  <c:v>24/set</c:v>
                </c:pt>
              </c:strCache>
            </c:strRef>
          </c:tx>
          <c:spPr>
            <a:solidFill>
              <a:schemeClr val="accent2">
                <a:lumMod val="60000"/>
              </a:schemeClr>
            </a:solidFill>
            <a:ln>
              <a:noFill/>
            </a:ln>
            <a:effectLst/>
            <a:sp3d/>
          </c:spPr>
          <c:invertIfNegative val="0"/>
          <c:cat>
            <c:strRef>
              <c:f>'3D-PLANI'!$A$6:$A$10</c:f>
              <c:strCache>
                <c:ptCount val="4"/>
                <c:pt idx="0">
                  <c:v>Adriana</c:v>
                </c:pt>
                <c:pt idx="1">
                  <c:v>Cíntia</c:v>
                </c:pt>
                <c:pt idx="2">
                  <c:v>Gracyelle</c:v>
                </c:pt>
                <c:pt idx="3">
                  <c:v>Izabela</c:v>
                </c:pt>
              </c:strCache>
            </c:strRef>
          </c:cat>
          <c:val>
            <c:numRef>
              <c:f>'3D-PLANI'!$I$6:$I$10</c:f>
              <c:numCache>
                <c:formatCode>General</c:formatCode>
                <c:ptCount val="4"/>
                <c:pt idx="0">
                  <c:v>1</c:v>
                </c:pt>
              </c:numCache>
            </c:numRef>
          </c:val>
          <c:extLst>
            <c:ext xmlns:c16="http://schemas.microsoft.com/office/drawing/2014/chart" uri="{C3380CC4-5D6E-409C-BE32-E72D297353CC}">
              <c16:uniqueId val="{00000007-A58D-4D57-8469-D80CF67A8097}"/>
            </c:ext>
          </c:extLst>
        </c:ser>
        <c:ser>
          <c:idx val="8"/>
          <c:order val="8"/>
          <c:tx>
            <c:strRef>
              <c:f>'3D-PLANI'!$J$4:$J$5</c:f>
              <c:strCache>
                <c:ptCount val="1"/>
                <c:pt idx="0">
                  <c:v>05/out</c:v>
                </c:pt>
              </c:strCache>
            </c:strRef>
          </c:tx>
          <c:spPr>
            <a:solidFill>
              <a:schemeClr val="accent3">
                <a:lumMod val="60000"/>
              </a:schemeClr>
            </a:solidFill>
            <a:ln>
              <a:noFill/>
            </a:ln>
            <a:effectLst/>
            <a:sp3d/>
          </c:spPr>
          <c:invertIfNegative val="0"/>
          <c:cat>
            <c:strRef>
              <c:f>'3D-PLANI'!$A$6:$A$10</c:f>
              <c:strCache>
                <c:ptCount val="4"/>
                <c:pt idx="0">
                  <c:v>Adriana</c:v>
                </c:pt>
                <c:pt idx="1">
                  <c:v>Cíntia</c:v>
                </c:pt>
                <c:pt idx="2">
                  <c:v>Gracyelle</c:v>
                </c:pt>
                <c:pt idx="3">
                  <c:v>Izabela</c:v>
                </c:pt>
              </c:strCache>
            </c:strRef>
          </c:cat>
          <c:val>
            <c:numRef>
              <c:f>'3D-PLANI'!$J$6:$J$10</c:f>
              <c:numCache>
                <c:formatCode>General</c:formatCode>
                <c:ptCount val="4"/>
                <c:pt idx="3">
                  <c:v>1</c:v>
                </c:pt>
              </c:numCache>
            </c:numRef>
          </c:val>
          <c:extLst>
            <c:ext xmlns:c16="http://schemas.microsoft.com/office/drawing/2014/chart" uri="{C3380CC4-5D6E-409C-BE32-E72D297353CC}">
              <c16:uniqueId val="{00000008-A58D-4D57-8469-D80CF67A8097}"/>
            </c:ext>
          </c:extLst>
        </c:ser>
        <c:ser>
          <c:idx val="9"/>
          <c:order val="9"/>
          <c:tx>
            <c:strRef>
              <c:f>'3D-PLANI'!$K$4:$K$5</c:f>
              <c:strCache>
                <c:ptCount val="1"/>
                <c:pt idx="0">
                  <c:v>21/out</c:v>
                </c:pt>
              </c:strCache>
            </c:strRef>
          </c:tx>
          <c:spPr>
            <a:solidFill>
              <a:schemeClr val="accent4">
                <a:lumMod val="60000"/>
              </a:schemeClr>
            </a:solidFill>
            <a:ln>
              <a:noFill/>
            </a:ln>
            <a:effectLst/>
            <a:sp3d/>
          </c:spPr>
          <c:invertIfNegative val="0"/>
          <c:cat>
            <c:strRef>
              <c:f>'3D-PLANI'!$A$6:$A$10</c:f>
              <c:strCache>
                <c:ptCount val="4"/>
                <c:pt idx="0">
                  <c:v>Adriana</c:v>
                </c:pt>
                <c:pt idx="1">
                  <c:v>Cíntia</c:v>
                </c:pt>
                <c:pt idx="2">
                  <c:v>Gracyelle</c:v>
                </c:pt>
                <c:pt idx="3">
                  <c:v>Izabela</c:v>
                </c:pt>
              </c:strCache>
            </c:strRef>
          </c:cat>
          <c:val>
            <c:numRef>
              <c:f>'3D-PLANI'!$K$6:$K$10</c:f>
              <c:numCache>
                <c:formatCode>General</c:formatCode>
                <c:ptCount val="4"/>
                <c:pt idx="1">
                  <c:v>2</c:v>
                </c:pt>
              </c:numCache>
            </c:numRef>
          </c:val>
          <c:extLst>
            <c:ext xmlns:c16="http://schemas.microsoft.com/office/drawing/2014/chart" uri="{C3380CC4-5D6E-409C-BE32-E72D297353CC}">
              <c16:uniqueId val="{00000009-A58D-4D57-8469-D80CF67A8097}"/>
            </c:ext>
          </c:extLst>
        </c:ser>
        <c:ser>
          <c:idx val="10"/>
          <c:order val="10"/>
          <c:tx>
            <c:strRef>
              <c:f>'3D-PLANI'!$L$4:$L$5</c:f>
              <c:strCache>
                <c:ptCount val="1"/>
                <c:pt idx="0">
                  <c:v>29/out</c:v>
                </c:pt>
              </c:strCache>
            </c:strRef>
          </c:tx>
          <c:spPr>
            <a:solidFill>
              <a:schemeClr val="accent5">
                <a:lumMod val="60000"/>
              </a:schemeClr>
            </a:solidFill>
            <a:ln>
              <a:noFill/>
            </a:ln>
            <a:effectLst/>
            <a:sp3d/>
          </c:spPr>
          <c:invertIfNegative val="0"/>
          <c:cat>
            <c:strRef>
              <c:f>'3D-PLANI'!$A$6:$A$10</c:f>
              <c:strCache>
                <c:ptCount val="4"/>
                <c:pt idx="0">
                  <c:v>Adriana</c:v>
                </c:pt>
                <c:pt idx="1">
                  <c:v>Cíntia</c:v>
                </c:pt>
                <c:pt idx="2">
                  <c:v>Gracyelle</c:v>
                </c:pt>
                <c:pt idx="3">
                  <c:v>Izabela</c:v>
                </c:pt>
              </c:strCache>
            </c:strRef>
          </c:cat>
          <c:val>
            <c:numRef>
              <c:f>'3D-PLANI'!$L$6:$L$10</c:f>
              <c:numCache>
                <c:formatCode>General</c:formatCode>
                <c:ptCount val="4"/>
                <c:pt idx="2">
                  <c:v>2</c:v>
                </c:pt>
              </c:numCache>
            </c:numRef>
          </c:val>
          <c:extLst>
            <c:ext xmlns:c16="http://schemas.microsoft.com/office/drawing/2014/chart" uri="{C3380CC4-5D6E-409C-BE32-E72D297353CC}">
              <c16:uniqueId val="{0000000A-A58D-4D57-8469-D80CF67A8097}"/>
            </c:ext>
          </c:extLst>
        </c:ser>
        <c:dLbls>
          <c:showLegendKey val="0"/>
          <c:showVal val="0"/>
          <c:showCatName val="0"/>
          <c:showSerName val="0"/>
          <c:showPercent val="0"/>
          <c:showBubbleSize val="0"/>
        </c:dLbls>
        <c:gapWidth val="150"/>
        <c:shape val="box"/>
        <c:axId val="498039712"/>
        <c:axId val="498014752"/>
        <c:axId val="0"/>
      </c:bar3DChart>
      <c:catAx>
        <c:axId val="4980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8014752"/>
        <c:crosses val="autoZero"/>
        <c:auto val="1"/>
        <c:lblAlgn val="ctr"/>
        <c:lblOffset val="100"/>
        <c:noMultiLvlLbl val="0"/>
      </c:catAx>
      <c:valAx>
        <c:axId val="49801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803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AUXILIAR!$K$5" fmlaRange="AUXILIAR!$H$11:$H$22" sel="5" val="2"/>
</file>

<file path=xl/ctrlProps/ctrlProp2.xml><?xml version="1.0" encoding="utf-8"?>
<formControlPr xmlns="http://schemas.microsoft.com/office/spreadsheetml/2009/9/main" objectType="Drop" dropStyle="combo" dx="22" fmlaLink="AUXILIAR!$J$6" fmlaRange="AUXILIAR!$G$11:$G$12" noThreeD="1" sel="2" val="0"/>
</file>

<file path=xl/ctrlProps/ctrlProp3.xml><?xml version="1.0" encoding="utf-8"?>
<formControlPr xmlns="http://schemas.microsoft.com/office/spreadsheetml/2009/9/main" objectType="Drop" dropLines="2" dropStyle="combo" dx="22" fmlaLink="'CONTR. PILHAS - AUXILIAR'!$J$6" fmlaRange="'CONTR. PILHAS - AUXILIAR'!$G$11:$G$23" sel="2" val="0"/>
</file>

<file path=xl/ctrlProps/ctrlProp4.xml><?xml version="1.0" encoding="utf-8"?>
<formControlPr xmlns="http://schemas.microsoft.com/office/spreadsheetml/2009/9/main" objectType="Drop" dropStyle="combo" dx="22" fmlaLink="'CONTR. PILHAS - AUXILIAR'!$K$5" fmlaRange="'CONTR. PILHAS - AUXILIAR'!$H$11:$H$22" sel="5" val="3"/>
</file>

<file path=xl/drawings/_rels/drawing1.xml.rels><?xml version="1.0" encoding="UTF-8" standalone="yes"?>
<Relationships xmlns="http://schemas.openxmlformats.org/package/2006/relationships"><Relationship Id="rId8" Type="http://schemas.openxmlformats.org/officeDocument/2006/relationships/hyperlink" Target="#'CAMERA GO- PRO'!A1"/><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hyperlink" Target="#'APOSENTADOS '!A1"/><Relationship Id="rId3" Type="http://schemas.openxmlformats.org/officeDocument/2006/relationships/image" Target="../media/image2.png"/><Relationship Id="rId21" Type="http://schemas.openxmlformats.org/officeDocument/2006/relationships/image" Target="../media/image12.png"/><Relationship Id="rId7" Type="http://schemas.openxmlformats.org/officeDocument/2006/relationships/image" Target="../media/image4.png"/><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image" Target="../media/image15.svg"/><Relationship Id="rId2" Type="http://schemas.openxmlformats.org/officeDocument/2006/relationships/hyperlink" Target="#PROJETOR!A1"/><Relationship Id="rId16" Type="http://schemas.openxmlformats.org/officeDocument/2006/relationships/image" Target="../media/image9.svg"/><Relationship Id="rId20" Type="http://schemas.openxmlformats.org/officeDocument/2006/relationships/hyperlink" Target="#PREVIS.COMPRAS!A1"/><Relationship Id="rId1" Type="http://schemas.openxmlformats.org/officeDocument/2006/relationships/image" Target="../media/image1.png"/><Relationship Id="rId6" Type="http://schemas.openxmlformats.org/officeDocument/2006/relationships/hyperlink" Target="#'LOUSA - DIGITAL'!A1"/><Relationship Id="rId11" Type="http://schemas.openxmlformats.org/officeDocument/2006/relationships/image" Target="../media/image6.png"/><Relationship Id="rId24" Type="http://schemas.openxmlformats.org/officeDocument/2006/relationships/image" Target="../media/image14.png"/><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hyperlink" Target="#GR&#193;FICOS!A1"/><Relationship Id="rId28" Type="http://schemas.openxmlformats.org/officeDocument/2006/relationships/image" Target="../media/image17.svg"/><Relationship Id="rId10" Type="http://schemas.openxmlformats.org/officeDocument/2006/relationships/hyperlink" Target="#MICROFONE!A1"/><Relationship Id="rId19" Type="http://schemas.openxmlformats.org/officeDocument/2006/relationships/image" Target="../media/image11.png"/><Relationship Id="rId4" Type="http://schemas.openxmlformats.org/officeDocument/2006/relationships/hyperlink" Target="#'HOME THEATHER'!A1"/><Relationship Id="rId9" Type="http://schemas.openxmlformats.org/officeDocument/2006/relationships/image" Target="../media/image5.png"/><Relationship Id="rId14" Type="http://schemas.openxmlformats.org/officeDocument/2006/relationships/hyperlink" Target="#ACESSORIOS!A1"/><Relationship Id="rId22" Type="http://schemas.openxmlformats.org/officeDocument/2006/relationships/image" Target="../media/image13.svg"/><Relationship Id="rId27" Type="http://schemas.openxmlformats.org/officeDocument/2006/relationships/image" Target="../media/image16.png"/></Relationships>
</file>

<file path=xl/drawings/_rels/drawing2.xml.rels><?xml version="1.0" encoding="UTF-8" standalone="yes"?>
<Relationships xmlns="http://schemas.openxmlformats.org/package/2006/relationships"><Relationship Id="rId8" Type="http://schemas.openxmlformats.org/officeDocument/2006/relationships/hyperlink" Target="#'CAMERA GO- PRO'!A1"/><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image" Target="../media/image4.png"/><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image" Target="../media/image6.png"/><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hyperlink" Target="#MICROFONE!A1"/><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hyperlink" Target="#ACESSORIOS!A1"/><Relationship Id="rId22" Type="http://schemas.openxmlformats.org/officeDocument/2006/relationships/hyperlink" Target="#GR&#193;FICOS!A1"/><Relationship Id="rId27" Type="http://schemas.openxmlformats.org/officeDocument/2006/relationships/image" Target="../media/image17.svg"/></Relationships>
</file>

<file path=xl/drawings/_rels/drawing3.xml.rels><?xml version="1.0" encoding="UTF-8" standalone="yes"?>
<Relationships xmlns="http://schemas.openxmlformats.org/package/2006/relationships"><Relationship Id="rId8" Type="http://schemas.openxmlformats.org/officeDocument/2006/relationships/hyperlink" Target="#'CAMERA GO- PRO'!A1"/><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4.png"/><Relationship Id="rId3" Type="http://schemas.openxmlformats.org/officeDocument/2006/relationships/image" Target="../media/image2.png"/><Relationship Id="rId21" Type="http://schemas.openxmlformats.org/officeDocument/2006/relationships/image" Target="../media/image19.svg"/><Relationship Id="rId7" Type="http://schemas.openxmlformats.org/officeDocument/2006/relationships/image" Target="../media/image4.png"/><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hyperlink" Target="#GR&#193;FICOS!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8.png"/><Relationship Id="rId29" Type="http://schemas.openxmlformats.org/officeDocument/2006/relationships/image" Target="../media/image16.png"/><Relationship Id="rId1" Type="http://schemas.openxmlformats.org/officeDocument/2006/relationships/hyperlink" Target="#COMPUTADOR!A1"/><Relationship Id="rId6" Type="http://schemas.openxmlformats.org/officeDocument/2006/relationships/hyperlink" Target="#'LOUSA - DIGITAL'!A1"/><Relationship Id="rId11" Type="http://schemas.openxmlformats.org/officeDocument/2006/relationships/image" Target="../media/image6.png"/><Relationship Id="rId24" Type="http://schemas.openxmlformats.org/officeDocument/2006/relationships/image" Target="../media/image13.svg"/><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image" Target="../media/image12.png"/><Relationship Id="rId28" Type="http://schemas.openxmlformats.org/officeDocument/2006/relationships/hyperlink" Target="#'APOSENTADOS '!A1"/><Relationship Id="rId10" Type="http://schemas.openxmlformats.org/officeDocument/2006/relationships/hyperlink" Target="#MICROFONE!A1"/><Relationship Id="rId19" Type="http://schemas.openxmlformats.org/officeDocument/2006/relationships/hyperlink" Target="#OR&#199;AMENTOS!A1"/><Relationship Id="rId4" Type="http://schemas.openxmlformats.org/officeDocument/2006/relationships/hyperlink" Target="#'HOME THEATHER'!A1"/><Relationship Id="rId9" Type="http://schemas.openxmlformats.org/officeDocument/2006/relationships/image" Target="../media/image5.png"/><Relationship Id="rId14" Type="http://schemas.openxmlformats.org/officeDocument/2006/relationships/hyperlink" Target="#ACESSORIOS!A1"/><Relationship Id="rId22" Type="http://schemas.openxmlformats.org/officeDocument/2006/relationships/hyperlink" Target="#PREVIS.COMPRAS!A1"/><Relationship Id="rId27" Type="http://schemas.openxmlformats.org/officeDocument/2006/relationships/image" Target="../media/image15.svg"/><Relationship Id="rId30" Type="http://schemas.openxmlformats.org/officeDocument/2006/relationships/image" Target="../media/image17.sv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image" Target="../media/image6.png"/><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hyperlink" Target="#MICROFONE!A1"/><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hyperlink" Target="#ACESSORIOS!A1"/><Relationship Id="rId22" Type="http://schemas.openxmlformats.org/officeDocument/2006/relationships/hyperlink" Target="#GR&#193;FICOS!A1"/><Relationship Id="rId27" Type="http://schemas.openxmlformats.org/officeDocument/2006/relationships/image" Target="../media/image17.svg"/></Relationships>
</file>

<file path=xl/drawings/_rels/drawing5.xml.rels><?xml version="1.0" encoding="UTF-8" standalone="yes"?>
<Relationships xmlns="http://schemas.openxmlformats.org/package/2006/relationships"><Relationship Id="rId8" Type="http://schemas.openxmlformats.org/officeDocument/2006/relationships/hyperlink" Target="#'CAMERA GO- PRO'!A1"/><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image" Target="../media/image4.png"/><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hyperlink" Target="#'LOUSA - DIGITAL'!A1"/><Relationship Id="rId11" Type="http://schemas.openxmlformats.org/officeDocument/2006/relationships/image" Target="../media/image6.png"/><Relationship Id="rId24" Type="http://schemas.openxmlformats.org/officeDocument/2006/relationships/image" Target="../media/image15.svg"/><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hyperlink" Target="#MICROFONE!A1"/><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hyperlink" Target="#ACESSORIOS!A1"/><Relationship Id="rId22" Type="http://schemas.openxmlformats.org/officeDocument/2006/relationships/hyperlink" Target="#GR&#193;FICOS!A1"/><Relationship Id="rId27" Type="http://schemas.openxmlformats.org/officeDocument/2006/relationships/image" Target="../media/image17.svg"/></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hyperlink" Target="#'C&#194;MERAS DE SEGURAN&#199;A'!A1"/><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image" Target="../media/image6.png"/><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hyperlink" Target="#ACESSORIOS!A1"/><Relationship Id="rId22" Type="http://schemas.openxmlformats.org/officeDocument/2006/relationships/hyperlink" Target="#GR&#193;FICOS!A1"/><Relationship Id="rId27" Type="http://schemas.openxmlformats.org/officeDocument/2006/relationships/image" Target="../media/image17.svg"/></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png"/><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image" Target="../media/image6.png"/><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hyperlink" Target="#MICROFONE!A1"/><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hyperlink" Target="#ACESSORIOS!A1"/><Relationship Id="rId22" Type="http://schemas.openxmlformats.org/officeDocument/2006/relationships/hyperlink" Target="#GR&#193;FICOS!A1"/><Relationship Id="rId27" Type="http://schemas.openxmlformats.org/officeDocument/2006/relationships/image" Target="../media/image17.svg"/></Relationships>
</file>

<file path=xl/drawings/_rels/drawing8.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C&#194;MERAS DE SEGURAN&#199;A'!A1"/><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image" Target="../media/image6.png"/><Relationship Id="rId17" Type="http://schemas.openxmlformats.org/officeDocument/2006/relationships/hyperlink" Target="#ENERGIA!A1"/><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9.sv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hyperlink" Target="#MICROFONE!A1"/><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image" Target="../media/image8.png"/><Relationship Id="rId23"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image" Target="../media/image7.png"/><Relationship Id="rId22" Type="http://schemas.openxmlformats.org/officeDocument/2006/relationships/hyperlink" Target="#GR&#193;FICOS!A1"/><Relationship Id="rId27" Type="http://schemas.openxmlformats.org/officeDocument/2006/relationships/image" Target="../media/image17.svg"/></Relationships>
</file>

<file path=xl/drawings/_rels/drawing9.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C&#194;MERAS DE SEGURAN&#199;A'!A1"/><Relationship Id="rId18" Type="http://schemas.openxmlformats.org/officeDocument/2006/relationships/image" Target="../media/image10.png"/><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image" Target="../media/image6.png"/><Relationship Id="rId17" Type="http://schemas.openxmlformats.org/officeDocument/2006/relationships/image" Target="../media/image9.svg"/><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hyperlink" Target="#MICROFONE!A1"/><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hyperlink" Target="#ACESSORIOS!A1"/><Relationship Id="rId23"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hyperlink" Target="#PREVIS.COMPRAS!A1"/><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image" Target="../media/image7.png"/><Relationship Id="rId22" Type="http://schemas.openxmlformats.org/officeDocument/2006/relationships/hyperlink" Target="#GR&#193;FICOS!A1"/><Relationship Id="rId27" Type="http://schemas.openxmlformats.org/officeDocument/2006/relationships/image" Target="../media/image17.svg"/></Relationships>
</file>

<file path=xl/drawings/_rels/drawing10.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C&#194;MERAS DE SEGURAN&#199;A'!A1"/><Relationship Id="rId18" Type="http://schemas.openxmlformats.org/officeDocument/2006/relationships/hyperlink" Target="#ENERGIA!A1"/><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3.svg"/><Relationship Id="rId7" Type="http://schemas.openxmlformats.org/officeDocument/2006/relationships/hyperlink" Target="#'LOUSA - DIGITAL'!A1"/><Relationship Id="rId12" Type="http://schemas.openxmlformats.org/officeDocument/2006/relationships/image" Target="../media/image6.png"/><Relationship Id="rId17" Type="http://schemas.openxmlformats.org/officeDocument/2006/relationships/image" Target="../media/image9.svg"/><Relationship Id="rId25" Type="http://schemas.openxmlformats.org/officeDocument/2006/relationships/hyperlink" Target="#'APOSENTADOS '!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hyperlink" Target="#MICROFONE!A1"/><Relationship Id="rId24" Type="http://schemas.openxmlformats.org/officeDocument/2006/relationships/image" Target="../media/image15.svg"/><Relationship Id="rId5" Type="http://schemas.openxmlformats.org/officeDocument/2006/relationships/hyperlink" Target="#'HOME THEATHER'!A1"/><Relationship Id="rId15" Type="http://schemas.openxmlformats.org/officeDocument/2006/relationships/hyperlink" Target="#ACESSORIOS!A1"/><Relationship Id="rId23" Type="http://schemas.openxmlformats.org/officeDocument/2006/relationships/image" Target="../media/image14.png"/><Relationship Id="rId10" Type="http://schemas.openxmlformats.org/officeDocument/2006/relationships/image" Target="../media/image5.png"/><Relationship Id="rId19" Type="http://schemas.openxmlformats.org/officeDocument/2006/relationships/image" Target="../media/image10.png"/><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image" Target="../media/image7.png"/><Relationship Id="rId22" Type="http://schemas.openxmlformats.org/officeDocument/2006/relationships/hyperlink" Target="#GR&#193;FICOS!A1"/><Relationship Id="rId27" Type="http://schemas.openxmlformats.org/officeDocument/2006/relationships/image" Target="../media/image17.svg"/></Relationships>
</file>

<file path=xl/drawings/_rels/drawing1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C&#194;MERAS DE SEGURAN&#199;A'!A1"/><Relationship Id="rId18" Type="http://schemas.openxmlformats.org/officeDocument/2006/relationships/hyperlink" Target="#ENERGIA!A1"/><Relationship Id="rId26" Type="http://schemas.openxmlformats.org/officeDocument/2006/relationships/image" Target="../media/image16.png"/><Relationship Id="rId3" Type="http://schemas.openxmlformats.org/officeDocument/2006/relationships/hyperlink" Target="#PROJETOR!A1"/><Relationship Id="rId21" Type="http://schemas.openxmlformats.org/officeDocument/2006/relationships/image" Target="../media/image12.png"/><Relationship Id="rId7" Type="http://schemas.openxmlformats.org/officeDocument/2006/relationships/hyperlink" Target="#'LOUSA - DIGITAL'!A1"/><Relationship Id="rId12" Type="http://schemas.openxmlformats.org/officeDocument/2006/relationships/image" Target="../media/image6.png"/><Relationship Id="rId17" Type="http://schemas.openxmlformats.org/officeDocument/2006/relationships/image" Target="../media/image9.svg"/><Relationship Id="rId25" Type="http://schemas.openxmlformats.org/officeDocument/2006/relationships/image" Target="../media/image15.svg"/><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hyperlink" Target="#PREVIS.COMPRAS!A1"/><Relationship Id="rId1" Type="http://schemas.openxmlformats.org/officeDocument/2006/relationships/hyperlink" Target="#COMPUTADOR!A1"/><Relationship Id="rId6" Type="http://schemas.openxmlformats.org/officeDocument/2006/relationships/image" Target="../media/image3.png"/><Relationship Id="rId11" Type="http://schemas.openxmlformats.org/officeDocument/2006/relationships/hyperlink" Target="#MICROFONE!A1"/><Relationship Id="rId24" Type="http://schemas.openxmlformats.org/officeDocument/2006/relationships/image" Target="../media/image14.png"/><Relationship Id="rId5" Type="http://schemas.openxmlformats.org/officeDocument/2006/relationships/hyperlink" Target="#'HOME THEATHER'!A1"/><Relationship Id="rId15" Type="http://schemas.openxmlformats.org/officeDocument/2006/relationships/hyperlink" Target="#ACESSORIOS!A1"/><Relationship Id="rId23" Type="http://schemas.openxmlformats.org/officeDocument/2006/relationships/hyperlink" Target="#GR&#193;FICOS!A1"/><Relationship Id="rId10" Type="http://schemas.openxmlformats.org/officeDocument/2006/relationships/image" Target="../media/image5.png"/><Relationship Id="rId19" Type="http://schemas.openxmlformats.org/officeDocument/2006/relationships/image" Target="../media/image10.png"/><Relationship Id="rId4" Type="http://schemas.openxmlformats.org/officeDocument/2006/relationships/image" Target="../media/image2.png"/><Relationship Id="rId9" Type="http://schemas.openxmlformats.org/officeDocument/2006/relationships/hyperlink" Target="#'CAMERA GO- PRO'!A1"/><Relationship Id="rId14" Type="http://schemas.openxmlformats.org/officeDocument/2006/relationships/image" Target="../media/image7.png"/><Relationship Id="rId22" Type="http://schemas.openxmlformats.org/officeDocument/2006/relationships/image" Target="../media/image13.svg"/><Relationship Id="rId27" Type="http://schemas.openxmlformats.org/officeDocument/2006/relationships/image" Target="../media/image20.svg"/></Relationships>
</file>

<file path=xl/drawings/_rels/drawing12.xml.rels><?xml version="1.0" encoding="UTF-8" standalone="yes"?>
<Relationships xmlns="http://schemas.openxmlformats.org/package/2006/relationships"><Relationship Id="rId3" Type="http://schemas.openxmlformats.org/officeDocument/2006/relationships/image" Target="../media/image19.svg"/><Relationship Id="rId2" Type="http://schemas.openxmlformats.org/officeDocument/2006/relationships/image" Target="../media/image18.png"/><Relationship Id="rId1" Type="http://schemas.openxmlformats.org/officeDocument/2006/relationships/hyperlink" Target="#PROJETOR!A1"/></Relationships>
</file>

<file path=xl/drawings/_rels/drawing13.xml.rels><?xml version="1.0" encoding="UTF-8" standalone="yes"?>
<Relationships xmlns="http://schemas.openxmlformats.org/package/2006/relationships"><Relationship Id="rId13" Type="http://schemas.openxmlformats.org/officeDocument/2006/relationships/hyperlink" Target="#'C&#194;MERAS DE SEGURAN&#199;A'!A1"/><Relationship Id="rId18" Type="http://schemas.openxmlformats.org/officeDocument/2006/relationships/hyperlink" Target="#ENERGIA!A1"/><Relationship Id="rId26" Type="http://schemas.openxmlformats.org/officeDocument/2006/relationships/chart" Target="../charts/chart7.xml"/><Relationship Id="rId39" Type="http://schemas.openxmlformats.org/officeDocument/2006/relationships/chart" Target="../charts/chart20.xml"/><Relationship Id="rId21" Type="http://schemas.openxmlformats.org/officeDocument/2006/relationships/chart" Target="../charts/chart2.xml"/><Relationship Id="rId34" Type="http://schemas.openxmlformats.org/officeDocument/2006/relationships/chart" Target="../charts/chart15.xml"/><Relationship Id="rId42" Type="http://schemas.openxmlformats.org/officeDocument/2006/relationships/chart" Target="../charts/chart23.xml"/><Relationship Id="rId47" Type="http://schemas.openxmlformats.org/officeDocument/2006/relationships/chart" Target="../charts/chart28.xml"/><Relationship Id="rId50" Type="http://schemas.openxmlformats.org/officeDocument/2006/relationships/chart" Target="../charts/chart31.xml"/><Relationship Id="rId55" Type="http://schemas.openxmlformats.org/officeDocument/2006/relationships/image" Target="../media/image12.png"/><Relationship Id="rId7" Type="http://schemas.openxmlformats.org/officeDocument/2006/relationships/hyperlink" Target="#'LOUSA - DIGITAL'!A1"/><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chart" Target="../charts/chart10.xml"/><Relationship Id="rId11" Type="http://schemas.openxmlformats.org/officeDocument/2006/relationships/hyperlink" Target="#MICROFONE!A1"/><Relationship Id="rId24" Type="http://schemas.openxmlformats.org/officeDocument/2006/relationships/chart" Target="../charts/chart5.xml"/><Relationship Id="rId32" Type="http://schemas.openxmlformats.org/officeDocument/2006/relationships/chart" Target="../charts/chart13.xml"/><Relationship Id="rId37" Type="http://schemas.openxmlformats.org/officeDocument/2006/relationships/chart" Target="../charts/chart18.xml"/><Relationship Id="rId40" Type="http://schemas.openxmlformats.org/officeDocument/2006/relationships/chart" Target="../charts/chart21.xml"/><Relationship Id="rId45" Type="http://schemas.openxmlformats.org/officeDocument/2006/relationships/chart" Target="../charts/chart26.xml"/><Relationship Id="rId53" Type="http://schemas.openxmlformats.org/officeDocument/2006/relationships/chart" Target="../charts/chart34.xml"/><Relationship Id="rId58" Type="http://schemas.openxmlformats.org/officeDocument/2006/relationships/image" Target="../media/image15.svg"/><Relationship Id="rId5" Type="http://schemas.openxmlformats.org/officeDocument/2006/relationships/hyperlink" Target="#'HOME THEATHER'!A1"/><Relationship Id="rId61" Type="http://schemas.openxmlformats.org/officeDocument/2006/relationships/image" Target="../media/image17.svg"/><Relationship Id="rId19" Type="http://schemas.openxmlformats.org/officeDocument/2006/relationships/image" Target="../media/image10.png"/><Relationship Id="rId14" Type="http://schemas.openxmlformats.org/officeDocument/2006/relationships/image" Target="../media/image7.png"/><Relationship Id="rId22" Type="http://schemas.openxmlformats.org/officeDocument/2006/relationships/chart" Target="../charts/chart3.xml"/><Relationship Id="rId27" Type="http://schemas.openxmlformats.org/officeDocument/2006/relationships/chart" Target="../charts/chart8.xml"/><Relationship Id="rId30" Type="http://schemas.openxmlformats.org/officeDocument/2006/relationships/chart" Target="../charts/chart11.xml"/><Relationship Id="rId35" Type="http://schemas.openxmlformats.org/officeDocument/2006/relationships/chart" Target="../charts/chart16.xml"/><Relationship Id="rId43" Type="http://schemas.openxmlformats.org/officeDocument/2006/relationships/chart" Target="../charts/chart24.xml"/><Relationship Id="rId48" Type="http://schemas.openxmlformats.org/officeDocument/2006/relationships/chart" Target="../charts/chart29.xml"/><Relationship Id="rId56" Type="http://schemas.openxmlformats.org/officeDocument/2006/relationships/image" Target="../media/image13.svg"/><Relationship Id="rId8" Type="http://schemas.openxmlformats.org/officeDocument/2006/relationships/image" Target="../media/image4.png"/><Relationship Id="rId51" Type="http://schemas.openxmlformats.org/officeDocument/2006/relationships/chart" Target="../charts/chart32.xml"/><Relationship Id="rId3" Type="http://schemas.openxmlformats.org/officeDocument/2006/relationships/hyperlink" Target="#PROJETOR!A1"/><Relationship Id="rId12" Type="http://schemas.openxmlformats.org/officeDocument/2006/relationships/image" Target="../media/image6.png"/><Relationship Id="rId17" Type="http://schemas.openxmlformats.org/officeDocument/2006/relationships/image" Target="../media/image9.svg"/><Relationship Id="rId25" Type="http://schemas.openxmlformats.org/officeDocument/2006/relationships/chart" Target="../charts/chart6.xml"/><Relationship Id="rId33" Type="http://schemas.openxmlformats.org/officeDocument/2006/relationships/chart" Target="../charts/chart14.xml"/><Relationship Id="rId38" Type="http://schemas.openxmlformats.org/officeDocument/2006/relationships/chart" Target="../charts/chart19.xml"/><Relationship Id="rId46" Type="http://schemas.openxmlformats.org/officeDocument/2006/relationships/chart" Target="../charts/chart27.xml"/><Relationship Id="rId59" Type="http://schemas.openxmlformats.org/officeDocument/2006/relationships/hyperlink" Target="#'APOSENTADOS '!A1"/><Relationship Id="rId20" Type="http://schemas.openxmlformats.org/officeDocument/2006/relationships/chart" Target="../charts/chart1.xml"/><Relationship Id="rId41" Type="http://schemas.openxmlformats.org/officeDocument/2006/relationships/chart" Target="../charts/chart22.xml"/><Relationship Id="rId54" Type="http://schemas.openxmlformats.org/officeDocument/2006/relationships/hyperlink" Target="#PREVIS.COMPRAS!A1"/><Relationship Id="rId62" Type="http://schemas.openxmlformats.org/officeDocument/2006/relationships/chart" Target="../charts/chart35.xml"/><Relationship Id="rId1" Type="http://schemas.openxmlformats.org/officeDocument/2006/relationships/hyperlink" Target="#COMPUTADOR!A1"/><Relationship Id="rId6" Type="http://schemas.openxmlformats.org/officeDocument/2006/relationships/image" Target="../media/image3.png"/><Relationship Id="rId15" Type="http://schemas.openxmlformats.org/officeDocument/2006/relationships/hyperlink" Target="#ACESSORIOS!A1"/><Relationship Id="rId23" Type="http://schemas.openxmlformats.org/officeDocument/2006/relationships/chart" Target="../charts/chart4.xml"/><Relationship Id="rId28" Type="http://schemas.openxmlformats.org/officeDocument/2006/relationships/chart" Target="../charts/chart9.xml"/><Relationship Id="rId36" Type="http://schemas.openxmlformats.org/officeDocument/2006/relationships/chart" Target="../charts/chart17.xml"/><Relationship Id="rId49" Type="http://schemas.openxmlformats.org/officeDocument/2006/relationships/chart" Target="../charts/chart30.xml"/><Relationship Id="rId57" Type="http://schemas.openxmlformats.org/officeDocument/2006/relationships/image" Target="../media/image14.png"/><Relationship Id="rId10" Type="http://schemas.openxmlformats.org/officeDocument/2006/relationships/image" Target="../media/image5.png"/><Relationship Id="rId31" Type="http://schemas.openxmlformats.org/officeDocument/2006/relationships/chart" Target="../charts/chart12.xml"/><Relationship Id="rId44" Type="http://schemas.openxmlformats.org/officeDocument/2006/relationships/chart" Target="../charts/chart25.xml"/><Relationship Id="rId52" Type="http://schemas.openxmlformats.org/officeDocument/2006/relationships/chart" Target="../charts/chart33.xml"/><Relationship Id="rId60" Type="http://schemas.openxmlformats.org/officeDocument/2006/relationships/image" Target="../media/image16.png"/><Relationship Id="rId4" Type="http://schemas.openxmlformats.org/officeDocument/2006/relationships/image" Target="../media/image2.png"/><Relationship Id="rId9" Type="http://schemas.openxmlformats.org/officeDocument/2006/relationships/hyperlink" Target="#'CAMERA GO- PRO'!A1"/></Relationships>
</file>

<file path=xl/drawings/_rels/drawing14.xml.rels><?xml version="1.0" encoding="UTF-8" standalone="yes"?>
<Relationships xmlns="http://schemas.openxmlformats.org/package/2006/relationships"><Relationship Id="rId1" Type="http://schemas.openxmlformats.org/officeDocument/2006/relationships/hyperlink" Target="#PROJETOR!A1"/></Relationships>
</file>

<file path=xl/drawings/_rels/drawing15.xml.rels><?xml version="1.0" encoding="UTF-8" standalone="yes"?>
<Relationships xmlns="http://schemas.openxmlformats.org/package/2006/relationships"><Relationship Id="rId1" Type="http://schemas.openxmlformats.org/officeDocument/2006/relationships/hyperlink" Target="#PROJETOR!A1"/></Relationships>
</file>

<file path=xl/drawings/_rels/drawing16.xml.rels><?xml version="1.0" encoding="UTF-8" standalone="yes"?>
<Relationships xmlns="http://schemas.openxmlformats.org/package/2006/relationships"><Relationship Id="rId1" Type="http://schemas.openxmlformats.org/officeDocument/2006/relationships/hyperlink" Target="#PROJETOR!A1"/></Relationships>
</file>

<file path=xl/drawings/_rels/drawing17.xml.rels><?xml version="1.0" encoding="UTF-8" standalone="yes"?>
<Relationships xmlns="http://schemas.openxmlformats.org/package/2006/relationships"><Relationship Id="rId1" Type="http://schemas.openxmlformats.org/officeDocument/2006/relationships/hyperlink" Target="#PROJETOR!A1"/></Relationships>
</file>

<file path=xl/drawings/_rels/drawing18.xml.rels><?xml version="1.0" encoding="UTF-8" standalone="yes"?>
<Relationships xmlns="http://schemas.openxmlformats.org/package/2006/relationships"><Relationship Id="rId1" Type="http://schemas.openxmlformats.org/officeDocument/2006/relationships/hyperlink" Target="#PROJETOR!A1"/></Relationships>
</file>

<file path=xl/drawings/_rels/drawing19.xml.rels><?xml version="1.0" encoding="UTF-8" standalone="yes"?>
<Relationships xmlns="http://schemas.openxmlformats.org/package/2006/relationships"><Relationship Id="rId1" Type="http://schemas.openxmlformats.org/officeDocument/2006/relationships/hyperlink" Target="#PROJETOR!A1"/></Relationships>
</file>

<file path=xl/drawings/_rels/drawing20.xml.rels><?xml version="1.0" encoding="UTF-8" standalone="yes"?>
<Relationships xmlns="http://schemas.openxmlformats.org/package/2006/relationships"><Relationship Id="rId1" Type="http://schemas.openxmlformats.org/officeDocument/2006/relationships/hyperlink" Target="#PROJETOR!A1"/></Relationships>
</file>

<file path=xl/drawings/_rels/drawing21.xml.rels><?xml version="1.0" encoding="UTF-8" standalone="yes"?>
<Relationships xmlns="http://schemas.openxmlformats.org/package/2006/relationships"><Relationship Id="rId1" Type="http://schemas.openxmlformats.org/officeDocument/2006/relationships/hyperlink" Target="#PROJETOR!A1"/></Relationships>
</file>

<file path=xl/drawings/_rels/drawing22.xml.rels><?xml version="1.0" encoding="UTF-8" standalone="yes"?>
<Relationships xmlns="http://schemas.openxmlformats.org/package/2006/relationships"><Relationship Id="rId1" Type="http://schemas.openxmlformats.org/officeDocument/2006/relationships/hyperlink" Target="#PROJETOR!A1"/></Relationships>
</file>

<file path=xl/drawings/_rels/drawing23.xml.rels><?xml version="1.0" encoding="UTF-8" standalone="yes"?>
<Relationships xmlns="http://schemas.openxmlformats.org/package/2006/relationships"><Relationship Id="rId1" Type="http://schemas.openxmlformats.org/officeDocument/2006/relationships/hyperlink" Target="#PROJETOR!A1"/></Relationships>
</file>

<file path=xl/drawings/_rels/drawing24.xml.rels><?xml version="1.0" encoding="UTF-8" standalone="yes"?>
<Relationships xmlns="http://schemas.openxmlformats.org/package/2006/relationships"><Relationship Id="rId1" Type="http://schemas.openxmlformats.org/officeDocument/2006/relationships/hyperlink" Target="#PROJETOR!A1"/></Relationships>
</file>

<file path=xl/drawings/_rels/drawing25.xml.rels><?xml version="1.0" encoding="UTF-8" standalone="yes"?>
<Relationships xmlns="http://schemas.openxmlformats.org/package/2006/relationships"><Relationship Id="rId1" Type="http://schemas.openxmlformats.org/officeDocument/2006/relationships/hyperlink" Target="#PROJETOR!A1"/></Relationships>
</file>

<file path=xl/drawings/_rels/drawing26.xml.rels><?xml version="1.0" encoding="UTF-8" standalone="yes"?>
<Relationships xmlns="http://schemas.openxmlformats.org/package/2006/relationships"><Relationship Id="rId1" Type="http://schemas.openxmlformats.org/officeDocument/2006/relationships/hyperlink" Target="#PROJETOR!A1"/></Relationships>
</file>

<file path=xl/drawings/_rels/drawing27.xml.rels><?xml version="1.0" encoding="UTF-8" standalone="yes"?>
<Relationships xmlns="http://schemas.openxmlformats.org/package/2006/relationships"><Relationship Id="rId1" Type="http://schemas.openxmlformats.org/officeDocument/2006/relationships/hyperlink" Target="#PROJETOR!A1"/></Relationships>
</file>

<file path=xl/drawings/_rels/drawing28.xml.rels><?xml version="1.0" encoding="UTF-8" standalone="yes"?>
<Relationships xmlns="http://schemas.openxmlformats.org/package/2006/relationships"><Relationship Id="rId1" Type="http://schemas.openxmlformats.org/officeDocument/2006/relationships/hyperlink" Target="#PROJETOR!A1"/></Relationships>
</file>

<file path=xl/drawings/_rels/drawing29.xml.rels><?xml version="1.0" encoding="UTF-8" standalone="yes"?>
<Relationships xmlns="http://schemas.openxmlformats.org/package/2006/relationships"><Relationship Id="rId1" Type="http://schemas.openxmlformats.org/officeDocument/2006/relationships/hyperlink" Target="#PROJETOR!A1"/></Relationships>
</file>

<file path=xl/drawings/_rels/drawing30.xml.rels><?xml version="1.0" encoding="UTF-8" standalone="yes"?>
<Relationships xmlns="http://schemas.openxmlformats.org/package/2006/relationships"><Relationship Id="rId1" Type="http://schemas.openxmlformats.org/officeDocument/2006/relationships/hyperlink" Target="#PROJETOR!A1"/></Relationships>
</file>

<file path=xl/drawings/_rels/drawing31.xml.rels><?xml version="1.0" encoding="UTF-8" standalone="yes"?>
<Relationships xmlns="http://schemas.openxmlformats.org/package/2006/relationships"><Relationship Id="rId1" Type="http://schemas.openxmlformats.org/officeDocument/2006/relationships/hyperlink" Target="#PROJETOR!A1"/></Relationships>
</file>

<file path=xl/drawings/_rels/drawing32.xml.rels><?xml version="1.0" encoding="UTF-8" standalone="yes"?>
<Relationships xmlns="http://schemas.openxmlformats.org/package/2006/relationships"><Relationship Id="rId1" Type="http://schemas.openxmlformats.org/officeDocument/2006/relationships/hyperlink" Target="#PROJETOR!A1"/></Relationships>
</file>

<file path=xl/drawings/_rels/drawing33.xml.rels><?xml version="1.0" encoding="UTF-8" standalone="yes"?>
<Relationships xmlns="http://schemas.openxmlformats.org/package/2006/relationships"><Relationship Id="rId1" Type="http://schemas.openxmlformats.org/officeDocument/2006/relationships/hyperlink" Target="#PROJETOR!A1"/></Relationships>
</file>

<file path=xl/drawings/_rels/drawing34.xml.rels><?xml version="1.0" encoding="UTF-8" standalone="yes"?>
<Relationships xmlns="http://schemas.openxmlformats.org/package/2006/relationships"><Relationship Id="rId1" Type="http://schemas.openxmlformats.org/officeDocument/2006/relationships/hyperlink" Target="#PROJETOR!A1"/></Relationships>
</file>

<file path=xl/drawings/_rels/drawing35.xml.rels><?xml version="1.0" encoding="UTF-8" standalone="yes"?>
<Relationships xmlns="http://schemas.openxmlformats.org/package/2006/relationships"><Relationship Id="rId1" Type="http://schemas.openxmlformats.org/officeDocument/2006/relationships/hyperlink" Target="#PROJETOR!A1"/></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114300</xdr:rowOff>
    </xdr:from>
    <xdr:to>
      <xdr:col>28</xdr:col>
      <xdr:colOff>695325</xdr:colOff>
      <xdr:row>5</xdr:row>
      <xdr:rowOff>123824</xdr:rowOff>
    </xdr:to>
    <xdr:grpSp>
      <xdr:nvGrpSpPr>
        <xdr:cNvPr id="2" name="Agrupar 1">
          <a:extLst>
            <a:ext uri="{FF2B5EF4-FFF2-40B4-BE49-F238E27FC236}">
              <a16:creationId xmlns:a16="http://schemas.microsoft.com/office/drawing/2014/main" id="{00000000-0008-0000-0000-000002000000}"/>
            </a:ext>
          </a:extLst>
        </xdr:cNvPr>
        <xdr:cNvGrpSpPr/>
      </xdr:nvGrpSpPr>
      <xdr:grpSpPr>
        <a:xfrm>
          <a:off x="76200" y="114300"/>
          <a:ext cx="12087225" cy="962024"/>
          <a:chOff x="114300" y="114300"/>
          <a:chExt cx="12087225" cy="962024"/>
        </a:xfrm>
      </xdr:grpSpPr>
      <xdr:grpSp>
        <xdr:nvGrpSpPr>
          <xdr:cNvPr id="34" name="Agrupar 33">
            <a:extLst>
              <a:ext uri="{FF2B5EF4-FFF2-40B4-BE49-F238E27FC236}">
                <a16:creationId xmlns:a16="http://schemas.microsoft.com/office/drawing/2014/main" id="{00000000-0008-0000-0000-000022000000}"/>
              </a:ext>
            </a:extLst>
          </xdr:cNvPr>
          <xdr:cNvGrpSpPr/>
        </xdr:nvGrpSpPr>
        <xdr:grpSpPr>
          <a:xfrm>
            <a:off x="114300" y="114300"/>
            <a:ext cx="1028700" cy="933449"/>
            <a:chOff x="5038725" y="885825"/>
            <a:chExt cx="1028700" cy="933449"/>
          </a:xfrm>
          <a:solidFill>
            <a:srgbClr val="3ACE76"/>
          </a:solidFill>
        </xdr:grpSpPr>
        <xdr:sp macro="" textlink="">
          <xdr:nvSpPr>
            <xdr:cNvPr id="35" name="Retângulo 34">
              <a:extLst>
                <a:ext uri="{FF2B5EF4-FFF2-40B4-BE49-F238E27FC236}">
                  <a16:creationId xmlns:a16="http://schemas.microsoft.com/office/drawing/2014/main" id="{00000000-0008-0000-0000-00002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36" name="Imagem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38" name="Agrupar 37">
            <a:hlinkClick xmlns:r="http://schemas.openxmlformats.org/officeDocument/2006/relationships" r:id="rId2"/>
            <a:extLst>
              <a:ext uri="{FF2B5EF4-FFF2-40B4-BE49-F238E27FC236}">
                <a16:creationId xmlns:a16="http://schemas.microsoft.com/office/drawing/2014/main" id="{00000000-0008-0000-0000-000026000000}"/>
              </a:ext>
            </a:extLst>
          </xdr:cNvPr>
          <xdr:cNvGrpSpPr/>
        </xdr:nvGrpSpPr>
        <xdr:grpSpPr>
          <a:xfrm>
            <a:off x="2581275" y="133350"/>
            <a:ext cx="1028700" cy="933449"/>
            <a:chOff x="6705600" y="952500"/>
            <a:chExt cx="1028700" cy="933449"/>
          </a:xfrm>
          <a:solidFill>
            <a:srgbClr val="F3673B"/>
          </a:solidFill>
        </xdr:grpSpPr>
        <xdr:sp macro="" textlink="">
          <xdr:nvSpPr>
            <xdr:cNvPr id="39" name="Retângulo 38">
              <a:extLst>
                <a:ext uri="{FF2B5EF4-FFF2-40B4-BE49-F238E27FC236}">
                  <a16:creationId xmlns:a16="http://schemas.microsoft.com/office/drawing/2014/main" id="{00000000-0008-0000-0000-00002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40" name="Imagem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41" name="Agrupar 40">
            <a:hlinkClick xmlns:r="http://schemas.openxmlformats.org/officeDocument/2006/relationships" r:id="rId4"/>
            <a:extLst>
              <a:ext uri="{FF2B5EF4-FFF2-40B4-BE49-F238E27FC236}">
                <a16:creationId xmlns:a16="http://schemas.microsoft.com/office/drawing/2014/main" id="{00000000-0008-0000-0000-000029000000}"/>
              </a:ext>
            </a:extLst>
          </xdr:cNvPr>
          <xdr:cNvGrpSpPr/>
        </xdr:nvGrpSpPr>
        <xdr:grpSpPr>
          <a:xfrm>
            <a:off x="5057775" y="142875"/>
            <a:ext cx="1028700" cy="933449"/>
            <a:chOff x="8534400" y="952500"/>
            <a:chExt cx="1028700" cy="933449"/>
          </a:xfrm>
          <a:solidFill>
            <a:srgbClr val="FF33CC"/>
          </a:solidFill>
        </xdr:grpSpPr>
        <xdr:sp macro="" textlink="">
          <xdr:nvSpPr>
            <xdr:cNvPr id="42" name="Retângulo 41">
              <a:extLst>
                <a:ext uri="{FF2B5EF4-FFF2-40B4-BE49-F238E27FC236}">
                  <a16:creationId xmlns:a16="http://schemas.microsoft.com/office/drawing/2014/main" id="{00000000-0008-0000-0000-00002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43" name="Imagem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44" name="Agrupar 43">
            <a:hlinkClick xmlns:r="http://schemas.openxmlformats.org/officeDocument/2006/relationships" r:id="rId6"/>
            <a:extLst>
              <a:ext uri="{FF2B5EF4-FFF2-40B4-BE49-F238E27FC236}">
                <a16:creationId xmlns:a16="http://schemas.microsoft.com/office/drawing/2014/main" id="{00000000-0008-0000-0000-00002C000000}"/>
              </a:ext>
            </a:extLst>
          </xdr:cNvPr>
          <xdr:cNvGrpSpPr/>
        </xdr:nvGrpSpPr>
        <xdr:grpSpPr>
          <a:xfrm>
            <a:off x="1362075" y="133350"/>
            <a:ext cx="1028700" cy="933449"/>
            <a:chOff x="4629150" y="2295525"/>
            <a:chExt cx="1028700" cy="933449"/>
          </a:xfrm>
          <a:solidFill>
            <a:srgbClr val="00A8A4"/>
          </a:solidFill>
        </xdr:grpSpPr>
        <xdr:sp macro="" textlink="">
          <xdr:nvSpPr>
            <xdr:cNvPr id="45" name="Retângulo 44">
              <a:extLst>
                <a:ext uri="{FF2B5EF4-FFF2-40B4-BE49-F238E27FC236}">
                  <a16:creationId xmlns:a16="http://schemas.microsoft.com/office/drawing/2014/main" id="{00000000-0008-0000-0000-00002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46" name="Imagem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47" name="Agrupar 46">
            <a:hlinkClick xmlns:r="http://schemas.openxmlformats.org/officeDocument/2006/relationships" r:id="rId8"/>
            <a:extLst>
              <a:ext uri="{FF2B5EF4-FFF2-40B4-BE49-F238E27FC236}">
                <a16:creationId xmlns:a16="http://schemas.microsoft.com/office/drawing/2014/main" id="{00000000-0008-0000-0000-00002F000000}"/>
              </a:ext>
            </a:extLst>
          </xdr:cNvPr>
          <xdr:cNvGrpSpPr/>
        </xdr:nvGrpSpPr>
        <xdr:grpSpPr>
          <a:xfrm>
            <a:off x="3819525" y="133350"/>
            <a:ext cx="1028700" cy="933449"/>
            <a:chOff x="6096000" y="2286000"/>
            <a:chExt cx="1028700" cy="933449"/>
          </a:xfrm>
          <a:solidFill>
            <a:srgbClr val="00B0F0"/>
          </a:solidFill>
        </xdr:grpSpPr>
        <xdr:sp macro="" textlink="">
          <xdr:nvSpPr>
            <xdr:cNvPr id="48" name="Retângulo 47">
              <a:extLst>
                <a:ext uri="{FF2B5EF4-FFF2-40B4-BE49-F238E27FC236}">
                  <a16:creationId xmlns:a16="http://schemas.microsoft.com/office/drawing/2014/main" id="{00000000-0008-0000-0000-00003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49" name="Imagem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4" name="Agrupar 3">
            <a:hlinkClick xmlns:r="http://schemas.openxmlformats.org/officeDocument/2006/relationships" r:id="rId10"/>
            <a:extLst>
              <a:ext uri="{FF2B5EF4-FFF2-40B4-BE49-F238E27FC236}">
                <a16:creationId xmlns:a16="http://schemas.microsoft.com/office/drawing/2014/main" id="{00000000-0008-0000-0000-000004000000}"/>
              </a:ext>
            </a:extLst>
          </xdr:cNvPr>
          <xdr:cNvGrpSpPr/>
        </xdr:nvGrpSpPr>
        <xdr:grpSpPr>
          <a:xfrm>
            <a:off x="6305550" y="133350"/>
            <a:ext cx="1019175" cy="933449"/>
            <a:chOff x="6600825" y="209550"/>
            <a:chExt cx="1028700" cy="933449"/>
          </a:xfrm>
        </xdr:grpSpPr>
        <xdr:sp macro="" textlink="">
          <xdr:nvSpPr>
            <xdr:cNvPr id="37" name="Retângulo 36">
              <a:extLst>
                <a:ext uri="{FF2B5EF4-FFF2-40B4-BE49-F238E27FC236}">
                  <a16:creationId xmlns:a16="http://schemas.microsoft.com/office/drawing/2014/main" id="{00000000-0008-0000-0000-000025000000}"/>
                </a:ext>
              </a:extLst>
            </xdr:cNvPr>
            <xdr:cNvSpPr/>
          </xdr:nvSpPr>
          <xdr:spPr>
            <a:xfrm>
              <a:off x="66008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867525" y="361950"/>
              <a:ext cx="490591" cy="490591"/>
            </a:xfrm>
            <a:prstGeom prst="rect">
              <a:avLst/>
            </a:prstGeom>
          </xdr:spPr>
        </xdr:pic>
      </xdr:grpSp>
      <xdr:grpSp>
        <xdr:nvGrpSpPr>
          <xdr:cNvPr id="6" name="Agrupar 5">
            <a:hlinkClick xmlns:r="http://schemas.openxmlformats.org/officeDocument/2006/relationships" r:id="rId12"/>
            <a:extLst>
              <a:ext uri="{FF2B5EF4-FFF2-40B4-BE49-F238E27FC236}">
                <a16:creationId xmlns:a16="http://schemas.microsoft.com/office/drawing/2014/main" id="{00000000-0008-0000-0000-000006000000}"/>
              </a:ext>
            </a:extLst>
          </xdr:cNvPr>
          <xdr:cNvGrpSpPr/>
        </xdr:nvGrpSpPr>
        <xdr:grpSpPr>
          <a:xfrm>
            <a:off x="7543800" y="133350"/>
            <a:ext cx="1028700" cy="933449"/>
            <a:chOff x="7924800" y="190500"/>
            <a:chExt cx="1028700" cy="933449"/>
          </a:xfrm>
        </xdr:grpSpPr>
        <xdr:sp macro="" textlink="">
          <xdr:nvSpPr>
            <xdr:cNvPr id="18" name="Retângulo 17">
              <a:extLst>
                <a:ext uri="{FF2B5EF4-FFF2-40B4-BE49-F238E27FC236}">
                  <a16:creationId xmlns:a16="http://schemas.microsoft.com/office/drawing/2014/main" id="{00000000-0008-0000-0000-000012000000}"/>
                </a:ext>
              </a:extLst>
            </xdr:cNvPr>
            <xdr:cNvSpPr/>
          </xdr:nvSpPr>
          <xdr:spPr>
            <a:xfrm>
              <a:off x="792480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5" name="Image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9479" y="212979"/>
              <a:ext cx="553996" cy="553996"/>
            </a:xfrm>
            <a:prstGeom prst="rect">
              <a:avLst/>
            </a:prstGeom>
          </xdr:spPr>
        </xdr:pic>
      </xdr:grpSp>
      <xdr:grpSp>
        <xdr:nvGrpSpPr>
          <xdr:cNvPr id="27" name="Agrupar 26">
            <a:hlinkClick xmlns:r="http://schemas.openxmlformats.org/officeDocument/2006/relationships" r:id="rId14"/>
            <a:extLst>
              <a:ext uri="{FF2B5EF4-FFF2-40B4-BE49-F238E27FC236}">
                <a16:creationId xmlns:a16="http://schemas.microsoft.com/office/drawing/2014/main" id="{00000000-0008-0000-0000-00001B000000}"/>
              </a:ext>
            </a:extLst>
          </xdr:cNvPr>
          <xdr:cNvGrpSpPr/>
        </xdr:nvGrpSpPr>
        <xdr:grpSpPr>
          <a:xfrm>
            <a:off x="8782050" y="133350"/>
            <a:ext cx="1028700" cy="933449"/>
            <a:chOff x="9267825" y="190500"/>
            <a:chExt cx="1028700" cy="933449"/>
          </a:xfrm>
        </xdr:grpSpPr>
        <xdr:sp macro="" textlink="">
          <xdr:nvSpPr>
            <xdr:cNvPr id="25" name="Retângulo 24">
              <a:extLst>
                <a:ext uri="{FF2B5EF4-FFF2-40B4-BE49-F238E27FC236}">
                  <a16:creationId xmlns:a16="http://schemas.microsoft.com/office/drawing/2014/main" id="{00000000-0008-0000-0000-000019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10" name="Gráfico 9" descr="Ligar">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grpSp>
        <xdr:nvGrpSpPr>
          <xdr:cNvPr id="28" name="Agrupar 27">
            <a:hlinkClick xmlns:r="http://schemas.openxmlformats.org/officeDocument/2006/relationships" r:id="rId17"/>
            <a:extLst>
              <a:ext uri="{FF2B5EF4-FFF2-40B4-BE49-F238E27FC236}">
                <a16:creationId xmlns:a16="http://schemas.microsoft.com/office/drawing/2014/main" id="{00000000-0008-0000-0000-00001C000000}"/>
              </a:ext>
            </a:extLst>
          </xdr:cNvPr>
          <xdr:cNvGrpSpPr/>
        </xdr:nvGrpSpPr>
        <xdr:grpSpPr>
          <a:xfrm>
            <a:off x="9998075" y="130175"/>
            <a:ext cx="1028700" cy="933449"/>
            <a:chOff x="10531475" y="177800"/>
            <a:chExt cx="1028700" cy="933449"/>
          </a:xfrm>
        </xdr:grpSpPr>
        <xdr:sp macro="" textlink="">
          <xdr:nvSpPr>
            <xdr:cNvPr id="31" name="Retângulo 30">
              <a:extLst>
                <a:ext uri="{FF2B5EF4-FFF2-40B4-BE49-F238E27FC236}">
                  <a16:creationId xmlns:a16="http://schemas.microsoft.com/office/drawing/2014/main" id="{00000000-0008-0000-0000-00001F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3" name="Imagem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pic>
        <xdr:nvPicPr>
          <xdr:cNvPr id="7" name="Imagem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1134726" y="466725"/>
            <a:ext cx="1066799" cy="425551"/>
          </a:xfrm>
          <a:prstGeom prst="rect">
            <a:avLst/>
          </a:prstGeom>
        </xdr:spPr>
      </xdr:pic>
    </xdr:grpSp>
    <xdr:clientData/>
  </xdr:twoCellAnchor>
  <xdr:twoCellAnchor>
    <xdr:from>
      <xdr:col>14</xdr:col>
      <xdr:colOff>89188</xdr:colOff>
      <xdr:row>7</xdr:row>
      <xdr:rowOff>76814</xdr:rowOff>
    </xdr:from>
    <xdr:to>
      <xdr:col>15</xdr:col>
      <xdr:colOff>586287</xdr:colOff>
      <xdr:row>9</xdr:row>
      <xdr:rowOff>85680</xdr:rowOff>
    </xdr:to>
    <xdr:grpSp>
      <xdr:nvGrpSpPr>
        <xdr:cNvPr id="81" name="Agrupar 80">
          <a:hlinkClick xmlns:r="http://schemas.openxmlformats.org/officeDocument/2006/relationships" r:id="rId20"/>
          <a:extLst>
            <a:ext uri="{FF2B5EF4-FFF2-40B4-BE49-F238E27FC236}">
              <a16:creationId xmlns:a16="http://schemas.microsoft.com/office/drawing/2014/main" id="{00000000-0008-0000-0000-000051000000}"/>
            </a:ext>
          </a:extLst>
        </xdr:cNvPr>
        <xdr:cNvGrpSpPr/>
      </xdr:nvGrpSpPr>
      <xdr:grpSpPr>
        <a:xfrm>
          <a:off x="5451763" y="1486514"/>
          <a:ext cx="611399" cy="389866"/>
          <a:chOff x="5324476" y="1276350"/>
          <a:chExt cx="628650" cy="390525"/>
        </a:xfrm>
      </xdr:grpSpPr>
      <xdr:sp macro="" textlink="">
        <xdr:nvSpPr>
          <xdr:cNvPr id="85" name="Retângulo 84">
            <a:extLst>
              <a:ext uri="{FF2B5EF4-FFF2-40B4-BE49-F238E27FC236}">
                <a16:creationId xmlns:a16="http://schemas.microsoft.com/office/drawing/2014/main" id="{00000000-0008-0000-0000-000055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86" name="Gráfico 85" descr="Dinheiro">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473384" y="1276350"/>
            <a:ext cx="347450" cy="361049"/>
          </a:xfrm>
          <a:prstGeom prst="rect">
            <a:avLst/>
          </a:prstGeom>
        </xdr:spPr>
      </xdr:pic>
    </xdr:grpSp>
    <xdr:clientData/>
  </xdr:twoCellAnchor>
  <xdr:twoCellAnchor>
    <xdr:from>
      <xdr:col>16</xdr:col>
      <xdr:colOff>95383</xdr:colOff>
      <xdr:row>7</xdr:row>
      <xdr:rowOff>99060</xdr:rowOff>
    </xdr:from>
    <xdr:to>
      <xdr:col>18</xdr:col>
      <xdr:colOff>184237</xdr:colOff>
      <xdr:row>9</xdr:row>
      <xdr:rowOff>78060</xdr:rowOff>
    </xdr:to>
    <xdr:grpSp>
      <xdr:nvGrpSpPr>
        <xdr:cNvPr id="82" name="Agrupar 81">
          <a:hlinkClick xmlns:r="http://schemas.openxmlformats.org/officeDocument/2006/relationships" r:id="rId23"/>
          <a:extLst>
            <a:ext uri="{FF2B5EF4-FFF2-40B4-BE49-F238E27FC236}">
              <a16:creationId xmlns:a16="http://schemas.microsoft.com/office/drawing/2014/main" id="{00000000-0008-0000-0000-000052000000}"/>
            </a:ext>
          </a:extLst>
        </xdr:cNvPr>
        <xdr:cNvGrpSpPr/>
      </xdr:nvGrpSpPr>
      <xdr:grpSpPr>
        <a:xfrm>
          <a:off x="6181858" y="1508760"/>
          <a:ext cx="612729" cy="360000"/>
          <a:chOff x="6229350" y="1300613"/>
          <a:chExt cx="647700" cy="375787"/>
        </a:xfrm>
      </xdr:grpSpPr>
      <xdr:sp macro="" textlink="">
        <xdr:nvSpPr>
          <xdr:cNvPr id="83" name="Retângulo 82">
            <a:extLst>
              <a:ext uri="{FF2B5EF4-FFF2-40B4-BE49-F238E27FC236}">
                <a16:creationId xmlns:a16="http://schemas.microsoft.com/office/drawing/2014/main" id="{00000000-0008-0000-0000-000053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84" name="Gráfico 83" descr="Gráfico de barras">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6330706" y="1314451"/>
            <a:ext cx="460619" cy="338946"/>
          </a:xfrm>
          <a:prstGeom prst="rect">
            <a:avLst/>
          </a:prstGeom>
        </xdr:spPr>
      </xdr:pic>
    </xdr:grpSp>
    <xdr:clientData/>
  </xdr:twoCellAnchor>
  <xdr:twoCellAnchor>
    <xdr:from>
      <xdr:col>18</xdr:col>
      <xdr:colOff>299229</xdr:colOff>
      <xdr:row>7</xdr:row>
      <xdr:rowOff>91441</xdr:rowOff>
    </xdr:from>
    <xdr:to>
      <xdr:col>19</xdr:col>
      <xdr:colOff>331471</xdr:colOff>
      <xdr:row>9</xdr:row>
      <xdr:rowOff>80011</xdr:rowOff>
    </xdr:to>
    <xdr:grpSp>
      <xdr:nvGrpSpPr>
        <xdr:cNvPr id="8" name="Agrupar 7">
          <a:hlinkClick xmlns:r="http://schemas.openxmlformats.org/officeDocument/2006/relationships" r:id="rId26"/>
          <a:extLst>
            <a:ext uri="{FF2B5EF4-FFF2-40B4-BE49-F238E27FC236}">
              <a16:creationId xmlns:a16="http://schemas.microsoft.com/office/drawing/2014/main" id="{00000000-0008-0000-0000-000008000000}"/>
            </a:ext>
          </a:extLst>
        </xdr:cNvPr>
        <xdr:cNvGrpSpPr/>
      </xdr:nvGrpSpPr>
      <xdr:grpSpPr>
        <a:xfrm>
          <a:off x="6909579" y="1501141"/>
          <a:ext cx="641842" cy="369570"/>
          <a:chOff x="6930786" y="1493233"/>
          <a:chExt cx="643279" cy="365976"/>
        </a:xfrm>
      </xdr:grpSpPr>
      <xdr:sp macro="" textlink="">
        <xdr:nvSpPr>
          <xdr:cNvPr id="51" name="Retângulo 50">
            <a:extLst>
              <a:ext uri="{FF2B5EF4-FFF2-40B4-BE49-F238E27FC236}">
                <a16:creationId xmlns:a16="http://schemas.microsoft.com/office/drawing/2014/main" id="{00000000-0008-0000-0000-000033000000}"/>
              </a:ext>
            </a:extLst>
          </xdr:cNvPr>
          <xdr:cNvSpPr/>
        </xdr:nvSpPr>
        <xdr:spPr>
          <a:xfrm>
            <a:off x="6930786" y="1493233"/>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2" name="Gráfico 51" descr="Lixo">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7098821" y="1518608"/>
            <a:ext cx="304800" cy="3048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104775</xdr:rowOff>
    </xdr:from>
    <xdr:to>
      <xdr:col>20</xdr:col>
      <xdr:colOff>301625</xdr:colOff>
      <xdr:row>5</xdr:row>
      <xdr:rowOff>104774</xdr:rowOff>
    </xdr:to>
    <xdr:grpSp>
      <xdr:nvGrpSpPr>
        <xdr:cNvPr id="29" name="Agrupar 28">
          <a:extLst>
            <a:ext uri="{FF2B5EF4-FFF2-40B4-BE49-F238E27FC236}">
              <a16:creationId xmlns:a16="http://schemas.microsoft.com/office/drawing/2014/main" id="{00000000-0008-0000-0100-00001D000000}"/>
            </a:ext>
          </a:extLst>
        </xdr:cNvPr>
        <xdr:cNvGrpSpPr/>
      </xdr:nvGrpSpPr>
      <xdr:grpSpPr>
        <a:xfrm>
          <a:off x="47625" y="104775"/>
          <a:ext cx="10369550" cy="952499"/>
          <a:chOff x="9525" y="104775"/>
          <a:chExt cx="10369550" cy="952499"/>
        </a:xfrm>
      </xdr:grpSpPr>
      <xdr:grpSp>
        <xdr:nvGrpSpPr>
          <xdr:cNvPr id="2" name="Agrupar 1">
            <a:hlinkClick xmlns:r="http://schemas.openxmlformats.org/officeDocument/2006/relationships" r:id="rId1"/>
            <a:extLst>
              <a:ext uri="{FF2B5EF4-FFF2-40B4-BE49-F238E27FC236}">
                <a16:creationId xmlns:a16="http://schemas.microsoft.com/office/drawing/2014/main" id="{00000000-0008-0000-0100-000002000000}"/>
              </a:ext>
            </a:extLst>
          </xdr:cNvPr>
          <xdr:cNvGrpSpPr/>
        </xdr:nvGrpSpPr>
        <xdr:grpSpPr>
          <a:xfrm>
            <a:off x="9525" y="104775"/>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1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6" name="Agrupar 5">
            <a:hlinkClick xmlns:r="http://schemas.openxmlformats.org/officeDocument/2006/relationships" r:id="rId3"/>
            <a:extLst>
              <a:ext uri="{FF2B5EF4-FFF2-40B4-BE49-F238E27FC236}">
                <a16:creationId xmlns:a16="http://schemas.microsoft.com/office/drawing/2014/main" id="{00000000-0008-0000-0100-000006000000}"/>
              </a:ext>
            </a:extLst>
          </xdr:cNvPr>
          <xdr:cNvGrpSpPr/>
        </xdr:nvGrpSpPr>
        <xdr:grpSpPr>
          <a:xfrm>
            <a:off x="2343150" y="114300"/>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1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9" name="Agrupar 8">
            <a:hlinkClick xmlns:r="http://schemas.openxmlformats.org/officeDocument/2006/relationships" r:id="rId5"/>
            <a:extLst>
              <a:ext uri="{FF2B5EF4-FFF2-40B4-BE49-F238E27FC236}">
                <a16:creationId xmlns:a16="http://schemas.microsoft.com/office/drawing/2014/main" id="{00000000-0008-0000-0100-000009000000}"/>
              </a:ext>
            </a:extLst>
          </xdr:cNvPr>
          <xdr:cNvGrpSpPr/>
        </xdr:nvGrpSpPr>
        <xdr:grpSpPr>
          <a:xfrm>
            <a:off x="4676775" y="114300"/>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1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12" name="Agrupar 11">
            <a:extLst>
              <a:ext uri="{FF2B5EF4-FFF2-40B4-BE49-F238E27FC236}">
                <a16:creationId xmlns:a16="http://schemas.microsoft.com/office/drawing/2014/main" id="{00000000-0008-0000-0100-00000C000000}"/>
              </a:ext>
            </a:extLst>
          </xdr:cNvPr>
          <xdr:cNvGrpSpPr/>
        </xdr:nvGrpSpPr>
        <xdr:grpSpPr>
          <a:xfrm>
            <a:off x="1181100" y="104775"/>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1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15" name="Agrupar 14">
            <a:hlinkClick xmlns:r="http://schemas.openxmlformats.org/officeDocument/2006/relationships" r:id="rId8"/>
            <a:extLst>
              <a:ext uri="{FF2B5EF4-FFF2-40B4-BE49-F238E27FC236}">
                <a16:creationId xmlns:a16="http://schemas.microsoft.com/office/drawing/2014/main" id="{00000000-0008-0000-0100-00000F000000}"/>
              </a:ext>
            </a:extLst>
          </xdr:cNvPr>
          <xdr:cNvGrpSpPr/>
        </xdr:nvGrpSpPr>
        <xdr:grpSpPr>
          <a:xfrm>
            <a:off x="3495675" y="123825"/>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1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21" name="Agrupar 20">
            <a:hlinkClick xmlns:r="http://schemas.openxmlformats.org/officeDocument/2006/relationships" r:id="rId10"/>
            <a:extLst>
              <a:ext uri="{FF2B5EF4-FFF2-40B4-BE49-F238E27FC236}">
                <a16:creationId xmlns:a16="http://schemas.microsoft.com/office/drawing/2014/main" id="{00000000-0008-0000-0100-000015000000}"/>
              </a:ext>
            </a:extLst>
          </xdr:cNvPr>
          <xdr:cNvGrpSpPr/>
        </xdr:nvGrpSpPr>
        <xdr:grpSpPr>
          <a:xfrm>
            <a:off x="5848350" y="114300"/>
            <a:ext cx="1028700" cy="933449"/>
            <a:chOff x="6677025" y="209550"/>
            <a:chExt cx="1028700" cy="933449"/>
          </a:xfrm>
        </xdr:grpSpPr>
        <xdr:sp macro="" textlink="">
          <xdr:nvSpPr>
            <xdr:cNvPr id="5" name="Retângulo 4">
              <a:extLst>
                <a:ext uri="{FF2B5EF4-FFF2-40B4-BE49-F238E27FC236}">
                  <a16:creationId xmlns:a16="http://schemas.microsoft.com/office/drawing/2014/main" id="{00000000-0008-0000-0100-000005000000}"/>
                </a:ext>
              </a:extLst>
            </xdr:cNvPr>
            <xdr:cNvSpPr/>
          </xdr:nvSpPr>
          <xdr:spPr>
            <a:xfrm>
              <a:off x="66770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943725" y="361950"/>
              <a:ext cx="490591" cy="490591"/>
            </a:xfrm>
            <a:prstGeom prst="rect">
              <a:avLst/>
            </a:prstGeom>
          </xdr:spPr>
        </xdr:pic>
      </xdr:grpSp>
      <xdr:grpSp>
        <xdr:nvGrpSpPr>
          <xdr:cNvPr id="22" name="Agrupar 21">
            <a:hlinkClick xmlns:r="http://schemas.openxmlformats.org/officeDocument/2006/relationships" r:id="rId12"/>
            <a:extLst>
              <a:ext uri="{FF2B5EF4-FFF2-40B4-BE49-F238E27FC236}">
                <a16:creationId xmlns:a16="http://schemas.microsoft.com/office/drawing/2014/main" id="{00000000-0008-0000-0100-000016000000}"/>
              </a:ext>
            </a:extLst>
          </xdr:cNvPr>
          <xdr:cNvGrpSpPr/>
        </xdr:nvGrpSpPr>
        <xdr:grpSpPr>
          <a:xfrm>
            <a:off x="7029450" y="114300"/>
            <a:ext cx="1028700" cy="933449"/>
            <a:chOff x="8001000" y="190500"/>
            <a:chExt cx="1028700" cy="933449"/>
          </a:xfrm>
        </xdr:grpSpPr>
        <xdr:sp macro="" textlink="">
          <xdr:nvSpPr>
            <xdr:cNvPr id="18" name="Retângulo 17">
              <a:extLst>
                <a:ext uri="{FF2B5EF4-FFF2-40B4-BE49-F238E27FC236}">
                  <a16:creationId xmlns:a16="http://schemas.microsoft.com/office/drawing/2014/main" id="{00000000-0008-0000-0100-000012000000}"/>
                </a:ext>
              </a:extLst>
            </xdr:cNvPr>
            <xdr:cNvSpPr/>
          </xdr:nvSpPr>
          <xdr:spPr>
            <a:xfrm>
              <a:off x="800100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75679" y="212979"/>
              <a:ext cx="553996" cy="553996"/>
            </a:xfrm>
            <a:prstGeom prst="rect">
              <a:avLst/>
            </a:prstGeom>
          </xdr:spPr>
        </xdr:pic>
      </xdr:grpSp>
      <xdr:grpSp>
        <xdr:nvGrpSpPr>
          <xdr:cNvPr id="23" name="Agrupar 22">
            <a:hlinkClick xmlns:r="http://schemas.openxmlformats.org/officeDocument/2006/relationships" r:id="rId14"/>
            <a:extLst>
              <a:ext uri="{FF2B5EF4-FFF2-40B4-BE49-F238E27FC236}">
                <a16:creationId xmlns:a16="http://schemas.microsoft.com/office/drawing/2014/main" id="{00000000-0008-0000-0100-000017000000}"/>
              </a:ext>
            </a:extLst>
          </xdr:cNvPr>
          <xdr:cNvGrpSpPr/>
        </xdr:nvGrpSpPr>
        <xdr:grpSpPr>
          <a:xfrm>
            <a:off x="8210550" y="107950"/>
            <a:ext cx="1028700" cy="933449"/>
            <a:chOff x="9267825" y="190500"/>
            <a:chExt cx="1028700" cy="933449"/>
          </a:xfrm>
        </xdr:grpSpPr>
        <xdr:sp macro="" textlink="">
          <xdr:nvSpPr>
            <xdr:cNvPr id="24" name="Retângulo 23">
              <a:extLst>
                <a:ext uri="{FF2B5EF4-FFF2-40B4-BE49-F238E27FC236}">
                  <a16:creationId xmlns:a16="http://schemas.microsoft.com/office/drawing/2014/main" id="{00000000-0008-0000-0100-000018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5" name="Gráfico 24" descr="Ligar">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grpSp>
        <xdr:nvGrpSpPr>
          <xdr:cNvPr id="26" name="Agrupar 25">
            <a:hlinkClick xmlns:r="http://schemas.openxmlformats.org/officeDocument/2006/relationships" r:id="rId17"/>
            <a:extLst>
              <a:ext uri="{FF2B5EF4-FFF2-40B4-BE49-F238E27FC236}">
                <a16:creationId xmlns:a16="http://schemas.microsoft.com/office/drawing/2014/main" id="{00000000-0008-0000-0100-00001A000000}"/>
              </a:ext>
            </a:extLst>
          </xdr:cNvPr>
          <xdr:cNvGrpSpPr/>
        </xdr:nvGrpSpPr>
        <xdr:grpSpPr>
          <a:xfrm>
            <a:off x="9350375" y="104775"/>
            <a:ext cx="1028700" cy="933449"/>
            <a:chOff x="10531475" y="177800"/>
            <a:chExt cx="1028700" cy="933449"/>
          </a:xfrm>
        </xdr:grpSpPr>
        <xdr:sp macro="" textlink="">
          <xdr:nvSpPr>
            <xdr:cNvPr id="27" name="Retângulo 26">
              <a:extLst>
                <a:ext uri="{FF2B5EF4-FFF2-40B4-BE49-F238E27FC236}">
                  <a16:creationId xmlns:a16="http://schemas.microsoft.com/office/drawing/2014/main" id="{00000000-0008-0000-0100-00001B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8" name="Imagem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8</xdr:col>
      <xdr:colOff>257175</xdr:colOff>
      <xdr:row>7</xdr:row>
      <xdr:rowOff>66675</xdr:rowOff>
    </xdr:from>
    <xdr:to>
      <xdr:col>9</xdr:col>
      <xdr:colOff>261490</xdr:colOff>
      <xdr:row>9</xdr:row>
      <xdr:rowOff>71947</xdr:rowOff>
    </xdr:to>
    <xdr:grpSp>
      <xdr:nvGrpSpPr>
        <xdr:cNvPr id="44" name="Agrupar 43">
          <a:hlinkClick xmlns:r="http://schemas.openxmlformats.org/officeDocument/2006/relationships" r:id="rId19"/>
          <a:extLst>
            <a:ext uri="{FF2B5EF4-FFF2-40B4-BE49-F238E27FC236}">
              <a16:creationId xmlns:a16="http://schemas.microsoft.com/office/drawing/2014/main" id="{00000000-0008-0000-0100-00002C000000}"/>
            </a:ext>
          </a:extLst>
        </xdr:cNvPr>
        <xdr:cNvGrpSpPr/>
      </xdr:nvGrpSpPr>
      <xdr:grpSpPr>
        <a:xfrm>
          <a:off x="3800475" y="1476375"/>
          <a:ext cx="613915" cy="386272"/>
          <a:chOff x="5324476" y="1276350"/>
          <a:chExt cx="628650" cy="390525"/>
        </a:xfrm>
      </xdr:grpSpPr>
      <xdr:sp macro="" textlink="">
        <xdr:nvSpPr>
          <xdr:cNvPr id="51" name="Retângulo 50">
            <a:extLst>
              <a:ext uri="{FF2B5EF4-FFF2-40B4-BE49-F238E27FC236}">
                <a16:creationId xmlns:a16="http://schemas.microsoft.com/office/drawing/2014/main" id="{00000000-0008-0000-0100-000033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2" name="Gráfico 51" descr="Dinheiro">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9</xdr:col>
      <xdr:colOff>381624</xdr:colOff>
      <xdr:row>7</xdr:row>
      <xdr:rowOff>88921</xdr:rowOff>
    </xdr:from>
    <xdr:to>
      <xdr:col>10</xdr:col>
      <xdr:colOff>391043</xdr:colOff>
      <xdr:row>9</xdr:row>
      <xdr:rowOff>64327</xdr:rowOff>
    </xdr:to>
    <xdr:grpSp>
      <xdr:nvGrpSpPr>
        <xdr:cNvPr id="45" name="Agrupar 44">
          <a:hlinkClick xmlns:r="http://schemas.openxmlformats.org/officeDocument/2006/relationships" r:id="rId22"/>
          <a:extLst>
            <a:ext uri="{FF2B5EF4-FFF2-40B4-BE49-F238E27FC236}">
              <a16:creationId xmlns:a16="http://schemas.microsoft.com/office/drawing/2014/main" id="{00000000-0008-0000-0100-00002D000000}"/>
            </a:ext>
          </a:extLst>
        </xdr:cNvPr>
        <xdr:cNvGrpSpPr/>
      </xdr:nvGrpSpPr>
      <xdr:grpSpPr>
        <a:xfrm>
          <a:off x="4534524" y="1498621"/>
          <a:ext cx="619019" cy="356406"/>
          <a:chOff x="6229350" y="1300613"/>
          <a:chExt cx="647700" cy="375787"/>
        </a:xfrm>
      </xdr:grpSpPr>
      <xdr:sp macro="" textlink="">
        <xdr:nvSpPr>
          <xdr:cNvPr id="49" name="Retângulo 48">
            <a:extLst>
              <a:ext uri="{FF2B5EF4-FFF2-40B4-BE49-F238E27FC236}">
                <a16:creationId xmlns:a16="http://schemas.microsoft.com/office/drawing/2014/main" id="{00000000-0008-0000-0100-000031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0" name="Gráfico 49" descr="Gráfico de barras">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10</xdr:col>
      <xdr:colOff>506035</xdr:colOff>
      <xdr:row>7</xdr:row>
      <xdr:rowOff>81302</xdr:rowOff>
    </xdr:from>
    <xdr:to>
      <xdr:col>12</xdr:col>
      <xdr:colOff>396839</xdr:colOff>
      <xdr:row>9</xdr:row>
      <xdr:rowOff>66278</xdr:rowOff>
    </xdr:to>
    <xdr:grpSp>
      <xdr:nvGrpSpPr>
        <xdr:cNvPr id="30" name="Agrupar 29">
          <a:hlinkClick xmlns:r="http://schemas.openxmlformats.org/officeDocument/2006/relationships" r:id="rId25"/>
          <a:extLst>
            <a:ext uri="{FF2B5EF4-FFF2-40B4-BE49-F238E27FC236}">
              <a16:creationId xmlns:a16="http://schemas.microsoft.com/office/drawing/2014/main" id="{00000000-0008-0000-0100-00001E000000}"/>
            </a:ext>
          </a:extLst>
        </xdr:cNvPr>
        <xdr:cNvGrpSpPr/>
      </xdr:nvGrpSpPr>
      <xdr:grpSpPr>
        <a:xfrm>
          <a:off x="5268535" y="1491002"/>
          <a:ext cx="643279" cy="365976"/>
          <a:chOff x="5268535" y="1491002"/>
          <a:chExt cx="643279" cy="365976"/>
        </a:xfrm>
      </xdr:grpSpPr>
      <xdr:sp macro="" textlink="">
        <xdr:nvSpPr>
          <xdr:cNvPr id="47" name="Retângulo 46">
            <a:extLst>
              <a:ext uri="{FF2B5EF4-FFF2-40B4-BE49-F238E27FC236}">
                <a16:creationId xmlns:a16="http://schemas.microsoft.com/office/drawing/2014/main" id="{00000000-0008-0000-0100-00002F000000}"/>
              </a:ext>
            </a:extLst>
          </xdr:cNvPr>
          <xdr:cNvSpPr/>
        </xdr:nvSpPr>
        <xdr:spPr>
          <a:xfrm>
            <a:off x="5268535" y="1491002"/>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9" name="Gráfico 38" descr="Lixo">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448300" y="1504950"/>
            <a:ext cx="304800" cy="3048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114300</xdr:rowOff>
    </xdr:from>
    <xdr:to>
      <xdr:col>2</xdr:col>
      <xdr:colOff>200025</xdr:colOff>
      <xdr:row>5</xdr:row>
      <xdr:rowOff>95249</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0200-000002000000}"/>
            </a:ext>
          </a:extLst>
        </xdr:cNvPr>
        <xdr:cNvGrpSpPr/>
      </xdr:nvGrpSpPr>
      <xdr:grpSpPr>
        <a:xfrm>
          <a:off x="0" y="114300"/>
          <a:ext cx="1028700" cy="942974"/>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2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clientData/>
  </xdr:twoCellAnchor>
  <xdr:twoCellAnchor>
    <xdr:from>
      <xdr:col>5</xdr:col>
      <xdr:colOff>180975</xdr:colOff>
      <xdr:row>0</xdr:row>
      <xdr:rowOff>114300</xdr:rowOff>
    </xdr:from>
    <xdr:to>
      <xdr:col>6</xdr:col>
      <xdr:colOff>600075</xdr:colOff>
      <xdr:row>5</xdr:row>
      <xdr:rowOff>95249</xdr:rowOff>
    </xdr:to>
    <xdr:grpSp>
      <xdr:nvGrpSpPr>
        <xdr:cNvPr id="6" name="Agrupar 5">
          <a:extLst>
            <a:ext uri="{FF2B5EF4-FFF2-40B4-BE49-F238E27FC236}">
              <a16:creationId xmlns:a16="http://schemas.microsoft.com/office/drawing/2014/main" id="{00000000-0008-0000-0200-000006000000}"/>
            </a:ext>
          </a:extLst>
        </xdr:cNvPr>
        <xdr:cNvGrpSpPr/>
      </xdr:nvGrpSpPr>
      <xdr:grpSpPr>
        <a:xfrm>
          <a:off x="2390775" y="114300"/>
          <a:ext cx="1028700" cy="942974"/>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2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clientData/>
  </xdr:twoCellAnchor>
  <xdr:twoCellAnchor>
    <xdr:from>
      <xdr:col>10</xdr:col>
      <xdr:colOff>0</xdr:colOff>
      <xdr:row>0</xdr:row>
      <xdr:rowOff>123825</xdr:rowOff>
    </xdr:from>
    <xdr:to>
      <xdr:col>12</xdr:col>
      <xdr:colOff>247650</xdr:colOff>
      <xdr:row>5</xdr:row>
      <xdr:rowOff>104774</xdr:rowOff>
    </xdr:to>
    <xdr:grpSp>
      <xdr:nvGrpSpPr>
        <xdr:cNvPr id="9" name="Agrupar 8">
          <a:hlinkClick xmlns:r="http://schemas.openxmlformats.org/officeDocument/2006/relationships" r:id="rId4"/>
          <a:extLst>
            <a:ext uri="{FF2B5EF4-FFF2-40B4-BE49-F238E27FC236}">
              <a16:creationId xmlns:a16="http://schemas.microsoft.com/office/drawing/2014/main" id="{00000000-0008-0000-0200-000009000000}"/>
            </a:ext>
          </a:extLst>
        </xdr:cNvPr>
        <xdr:cNvGrpSpPr/>
      </xdr:nvGrpSpPr>
      <xdr:grpSpPr>
        <a:xfrm>
          <a:off x="4810125" y="123825"/>
          <a:ext cx="1019175" cy="942974"/>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2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clientData/>
  </xdr:twoCellAnchor>
  <xdr:twoCellAnchor>
    <xdr:from>
      <xdr:col>2</xdr:col>
      <xdr:colOff>381000</xdr:colOff>
      <xdr:row>0</xdr:row>
      <xdr:rowOff>114300</xdr:rowOff>
    </xdr:from>
    <xdr:to>
      <xdr:col>5</xdr:col>
      <xdr:colOff>19050</xdr:colOff>
      <xdr:row>5</xdr:row>
      <xdr:rowOff>95249</xdr:rowOff>
    </xdr:to>
    <xdr:grpSp>
      <xdr:nvGrpSpPr>
        <xdr:cNvPr id="12" name="Agrupar 11">
          <a:hlinkClick xmlns:r="http://schemas.openxmlformats.org/officeDocument/2006/relationships" r:id="rId6"/>
          <a:extLst>
            <a:ext uri="{FF2B5EF4-FFF2-40B4-BE49-F238E27FC236}">
              <a16:creationId xmlns:a16="http://schemas.microsoft.com/office/drawing/2014/main" id="{00000000-0008-0000-0200-00000C000000}"/>
            </a:ext>
          </a:extLst>
        </xdr:cNvPr>
        <xdr:cNvGrpSpPr/>
      </xdr:nvGrpSpPr>
      <xdr:grpSpPr>
        <a:xfrm>
          <a:off x="1209675" y="114300"/>
          <a:ext cx="1019175" cy="942974"/>
          <a:chOff x="4629150" y="2295525"/>
          <a:chExt cx="1028700" cy="933449"/>
        </a:xfrm>
        <a:solidFill>
          <a:srgbClr val="00A8A4"/>
        </a:solidFill>
      </xdr:grpSpPr>
      <xdr:sp macro="" textlink="">
        <xdr:nvSpPr>
          <xdr:cNvPr id="13" name="Retângulo 12">
            <a:hlinkClick xmlns:r="http://schemas.openxmlformats.org/officeDocument/2006/relationships" r:id="rId6"/>
            <a:extLst>
              <a:ext uri="{FF2B5EF4-FFF2-40B4-BE49-F238E27FC236}">
                <a16:creationId xmlns:a16="http://schemas.microsoft.com/office/drawing/2014/main" id="{00000000-0008-0000-02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clientData/>
  </xdr:twoCellAnchor>
  <xdr:twoCellAnchor>
    <xdr:from>
      <xdr:col>8</xdr:col>
      <xdr:colOff>0</xdr:colOff>
      <xdr:row>0</xdr:row>
      <xdr:rowOff>114300</xdr:rowOff>
    </xdr:from>
    <xdr:to>
      <xdr:col>9</xdr:col>
      <xdr:colOff>419100</xdr:colOff>
      <xdr:row>5</xdr:row>
      <xdr:rowOff>95249</xdr:rowOff>
    </xdr:to>
    <xdr:grpSp>
      <xdr:nvGrpSpPr>
        <xdr:cNvPr id="15" name="Agrupar 14">
          <a:hlinkClick xmlns:r="http://schemas.openxmlformats.org/officeDocument/2006/relationships" r:id="rId8"/>
          <a:extLst>
            <a:ext uri="{FF2B5EF4-FFF2-40B4-BE49-F238E27FC236}">
              <a16:creationId xmlns:a16="http://schemas.microsoft.com/office/drawing/2014/main" id="{00000000-0008-0000-0200-00000F000000}"/>
            </a:ext>
          </a:extLst>
        </xdr:cNvPr>
        <xdr:cNvGrpSpPr/>
      </xdr:nvGrpSpPr>
      <xdr:grpSpPr>
        <a:xfrm>
          <a:off x="3590925" y="114300"/>
          <a:ext cx="1028700" cy="942974"/>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2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clientData/>
  </xdr:twoCellAnchor>
  <xdr:twoCellAnchor>
    <xdr:from>
      <xdr:col>12</xdr:col>
      <xdr:colOff>428625</xdr:colOff>
      <xdr:row>0</xdr:row>
      <xdr:rowOff>114300</xdr:rowOff>
    </xdr:from>
    <xdr:to>
      <xdr:col>14</xdr:col>
      <xdr:colOff>238125</xdr:colOff>
      <xdr:row>5</xdr:row>
      <xdr:rowOff>95249</xdr:rowOff>
    </xdr:to>
    <xdr:grpSp>
      <xdr:nvGrpSpPr>
        <xdr:cNvPr id="21" name="Agrupar 20">
          <a:hlinkClick xmlns:r="http://schemas.openxmlformats.org/officeDocument/2006/relationships" r:id="rId10"/>
          <a:extLst>
            <a:ext uri="{FF2B5EF4-FFF2-40B4-BE49-F238E27FC236}">
              <a16:creationId xmlns:a16="http://schemas.microsoft.com/office/drawing/2014/main" id="{00000000-0008-0000-0200-000015000000}"/>
            </a:ext>
          </a:extLst>
        </xdr:cNvPr>
        <xdr:cNvGrpSpPr/>
      </xdr:nvGrpSpPr>
      <xdr:grpSpPr>
        <a:xfrm>
          <a:off x="6010275" y="114300"/>
          <a:ext cx="1028700" cy="942974"/>
          <a:chOff x="6677025" y="209550"/>
          <a:chExt cx="1028700" cy="933449"/>
        </a:xfrm>
      </xdr:grpSpPr>
      <xdr:sp macro="" textlink="">
        <xdr:nvSpPr>
          <xdr:cNvPr id="5" name="Retângulo 4">
            <a:extLst>
              <a:ext uri="{FF2B5EF4-FFF2-40B4-BE49-F238E27FC236}">
                <a16:creationId xmlns:a16="http://schemas.microsoft.com/office/drawing/2014/main" id="{00000000-0008-0000-0200-000005000000}"/>
              </a:ext>
            </a:extLst>
          </xdr:cNvPr>
          <xdr:cNvSpPr/>
        </xdr:nvSpPr>
        <xdr:spPr>
          <a:xfrm>
            <a:off x="66770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943725" y="361950"/>
            <a:ext cx="490591" cy="490591"/>
          </a:xfrm>
          <a:prstGeom prst="rect">
            <a:avLst/>
          </a:prstGeom>
        </xdr:spPr>
      </xdr:pic>
    </xdr:grpSp>
    <xdr:clientData/>
  </xdr:twoCellAnchor>
  <xdr:twoCellAnchor>
    <xdr:from>
      <xdr:col>14</xdr:col>
      <xdr:colOff>419100</xdr:colOff>
      <xdr:row>0</xdr:row>
      <xdr:rowOff>114300</xdr:rowOff>
    </xdr:from>
    <xdr:to>
      <xdr:col>16</xdr:col>
      <xdr:colOff>466725</xdr:colOff>
      <xdr:row>5</xdr:row>
      <xdr:rowOff>95249</xdr:rowOff>
    </xdr:to>
    <xdr:grpSp>
      <xdr:nvGrpSpPr>
        <xdr:cNvPr id="22" name="Agrupar 21">
          <a:hlinkClick xmlns:r="http://schemas.openxmlformats.org/officeDocument/2006/relationships" r:id="rId12"/>
          <a:extLst>
            <a:ext uri="{FF2B5EF4-FFF2-40B4-BE49-F238E27FC236}">
              <a16:creationId xmlns:a16="http://schemas.microsoft.com/office/drawing/2014/main" id="{00000000-0008-0000-0200-000016000000}"/>
            </a:ext>
          </a:extLst>
        </xdr:cNvPr>
        <xdr:cNvGrpSpPr/>
      </xdr:nvGrpSpPr>
      <xdr:grpSpPr>
        <a:xfrm>
          <a:off x="7219950" y="114300"/>
          <a:ext cx="1019175" cy="942974"/>
          <a:chOff x="8001000" y="190500"/>
          <a:chExt cx="1028700" cy="933449"/>
        </a:xfrm>
      </xdr:grpSpPr>
      <xdr:sp macro="" textlink="">
        <xdr:nvSpPr>
          <xdr:cNvPr id="18" name="Retângulo 17">
            <a:extLst>
              <a:ext uri="{FF2B5EF4-FFF2-40B4-BE49-F238E27FC236}">
                <a16:creationId xmlns:a16="http://schemas.microsoft.com/office/drawing/2014/main" id="{00000000-0008-0000-0200-000012000000}"/>
              </a:ext>
            </a:extLst>
          </xdr:cNvPr>
          <xdr:cNvSpPr/>
        </xdr:nvSpPr>
        <xdr:spPr>
          <a:xfrm>
            <a:off x="800100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75679" y="212979"/>
            <a:ext cx="553996" cy="553996"/>
          </a:xfrm>
          <a:prstGeom prst="rect">
            <a:avLst/>
          </a:prstGeom>
        </xdr:spPr>
      </xdr:pic>
    </xdr:grpSp>
    <xdr:clientData/>
  </xdr:twoCellAnchor>
  <xdr:twoCellAnchor>
    <xdr:from>
      <xdr:col>17</xdr:col>
      <xdr:colOff>28575</xdr:colOff>
      <xdr:row>0</xdr:row>
      <xdr:rowOff>117475</xdr:rowOff>
    </xdr:from>
    <xdr:to>
      <xdr:col>18</xdr:col>
      <xdr:colOff>447675</xdr:colOff>
      <xdr:row>5</xdr:row>
      <xdr:rowOff>98424</xdr:rowOff>
    </xdr:to>
    <xdr:grpSp>
      <xdr:nvGrpSpPr>
        <xdr:cNvPr id="23" name="Agrupar 22">
          <a:hlinkClick xmlns:r="http://schemas.openxmlformats.org/officeDocument/2006/relationships" r:id="rId14"/>
          <a:extLst>
            <a:ext uri="{FF2B5EF4-FFF2-40B4-BE49-F238E27FC236}">
              <a16:creationId xmlns:a16="http://schemas.microsoft.com/office/drawing/2014/main" id="{00000000-0008-0000-0200-000017000000}"/>
            </a:ext>
          </a:extLst>
        </xdr:cNvPr>
        <xdr:cNvGrpSpPr/>
      </xdr:nvGrpSpPr>
      <xdr:grpSpPr>
        <a:xfrm>
          <a:off x="8410575" y="117475"/>
          <a:ext cx="1028700" cy="942974"/>
          <a:chOff x="9267825" y="190500"/>
          <a:chExt cx="1028700" cy="933449"/>
        </a:xfrm>
      </xdr:grpSpPr>
      <xdr:sp macro="" textlink="">
        <xdr:nvSpPr>
          <xdr:cNvPr id="24" name="Retângulo 23">
            <a:extLst>
              <a:ext uri="{FF2B5EF4-FFF2-40B4-BE49-F238E27FC236}">
                <a16:creationId xmlns:a16="http://schemas.microsoft.com/office/drawing/2014/main" id="{00000000-0008-0000-0200-000018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5" name="Gráfico 24" descr="Ligar">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clientData/>
  </xdr:twoCellAnchor>
  <xdr:twoCellAnchor>
    <xdr:from>
      <xdr:col>18</xdr:col>
      <xdr:colOff>596900</xdr:colOff>
      <xdr:row>0</xdr:row>
      <xdr:rowOff>114300</xdr:rowOff>
    </xdr:from>
    <xdr:to>
      <xdr:col>21</xdr:col>
      <xdr:colOff>244475</xdr:colOff>
      <xdr:row>5</xdr:row>
      <xdr:rowOff>95249</xdr:rowOff>
    </xdr:to>
    <xdr:grpSp>
      <xdr:nvGrpSpPr>
        <xdr:cNvPr id="26" name="Agrupar 25">
          <a:hlinkClick xmlns:r="http://schemas.openxmlformats.org/officeDocument/2006/relationships" r:id="rId17"/>
          <a:extLst>
            <a:ext uri="{FF2B5EF4-FFF2-40B4-BE49-F238E27FC236}">
              <a16:creationId xmlns:a16="http://schemas.microsoft.com/office/drawing/2014/main" id="{00000000-0008-0000-0200-00001A000000}"/>
            </a:ext>
          </a:extLst>
        </xdr:cNvPr>
        <xdr:cNvGrpSpPr/>
      </xdr:nvGrpSpPr>
      <xdr:grpSpPr>
        <a:xfrm>
          <a:off x="9588500" y="114300"/>
          <a:ext cx="1028700" cy="942974"/>
          <a:chOff x="10531475" y="177800"/>
          <a:chExt cx="1028700" cy="933449"/>
        </a:xfrm>
      </xdr:grpSpPr>
      <xdr:sp macro="" textlink="">
        <xdr:nvSpPr>
          <xdr:cNvPr id="27" name="Retângulo 26">
            <a:extLst>
              <a:ext uri="{FF2B5EF4-FFF2-40B4-BE49-F238E27FC236}">
                <a16:creationId xmlns:a16="http://schemas.microsoft.com/office/drawing/2014/main" id="{00000000-0008-0000-0200-00001B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8" name="Imagem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clientData/>
  </xdr:twoCellAnchor>
  <xdr:twoCellAnchor>
    <xdr:from>
      <xdr:col>15</xdr:col>
      <xdr:colOff>9525</xdr:colOff>
      <xdr:row>7</xdr:row>
      <xdr:rowOff>85725</xdr:rowOff>
    </xdr:from>
    <xdr:to>
      <xdr:col>19</xdr:col>
      <xdr:colOff>161925</xdr:colOff>
      <xdr:row>11</xdr:row>
      <xdr:rowOff>142875</xdr:rowOff>
    </xdr:to>
    <xdr:grpSp>
      <xdr:nvGrpSpPr>
        <xdr:cNvPr id="35" name="Agrupar 34">
          <a:extLst>
            <a:ext uri="{FF2B5EF4-FFF2-40B4-BE49-F238E27FC236}">
              <a16:creationId xmlns:a16="http://schemas.microsoft.com/office/drawing/2014/main" id="{00000000-0008-0000-0200-000023000000}"/>
            </a:ext>
          </a:extLst>
        </xdr:cNvPr>
        <xdr:cNvGrpSpPr/>
      </xdr:nvGrpSpPr>
      <xdr:grpSpPr>
        <a:xfrm>
          <a:off x="7620000" y="1504950"/>
          <a:ext cx="2143125" cy="819150"/>
          <a:chOff x="3733797" y="990600"/>
          <a:chExt cx="2333629" cy="800100"/>
        </a:xfrm>
      </xdr:grpSpPr>
      <xdr:sp macro="" textlink="">
        <xdr:nvSpPr>
          <xdr:cNvPr id="36" name="CaixaDeTexto 35">
            <a:hlinkClick xmlns:r="http://schemas.openxmlformats.org/officeDocument/2006/relationships" r:id="rId19"/>
            <a:extLst>
              <a:ext uri="{FF2B5EF4-FFF2-40B4-BE49-F238E27FC236}">
                <a16:creationId xmlns:a16="http://schemas.microsoft.com/office/drawing/2014/main" id="{00000000-0008-0000-0200-000024000000}"/>
              </a:ext>
            </a:extLst>
          </xdr:cNvPr>
          <xdr:cNvSpPr txBox="1"/>
        </xdr:nvSpPr>
        <xdr:spPr>
          <a:xfrm>
            <a:off x="4114800" y="990600"/>
            <a:ext cx="1952626" cy="800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b="1">
                <a:solidFill>
                  <a:srgbClr val="FF0000"/>
                </a:solidFill>
                <a:latin typeface="Adobe Devanagari" panose="02040503050201020203" pitchFamily="18" charset="0"/>
                <a:cs typeface="Adobe Devanagari" panose="02040503050201020203" pitchFamily="18" charset="0"/>
              </a:rPr>
              <a:t>ATENÇÃO:  </a:t>
            </a:r>
            <a:r>
              <a:rPr lang="pt-BR" sz="1000" b="0">
                <a:solidFill>
                  <a:schemeClr val="tx1"/>
                </a:solidFill>
                <a:latin typeface="Adobe Devanagari" panose="02040503050201020203" pitchFamily="18" charset="0"/>
                <a:cs typeface="Adobe Devanagari" panose="02040503050201020203" pitchFamily="18" charset="0"/>
              </a:rPr>
              <a:t>Clique</a:t>
            </a:r>
            <a:r>
              <a:rPr lang="pt-BR" sz="1000" b="0" baseline="0">
                <a:solidFill>
                  <a:schemeClr val="tx1"/>
                </a:solidFill>
                <a:latin typeface="Adobe Devanagari" panose="02040503050201020203" pitchFamily="18" charset="0"/>
                <a:cs typeface="Adobe Devanagari" panose="02040503050201020203" pitchFamily="18" charset="0"/>
              </a:rPr>
              <a:t> no </a:t>
            </a:r>
            <a:r>
              <a:rPr lang="pt-BR" sz="1000" b="1" baseline="0">
                <a:solidFill>
                  <a:schemeClr val="tx1"/>
                </a:solidFill>
                <a:latin typeface="Adobe Devanagari" panose="02040503050201020203" pitchFamily="18" charset="0"/>
                <a:cs typeface="Adobe Devanagari" panose="02040503050201020203" pitchFamily="18" charset="0"/>
              </a:rPr>
              <a:t>Número do Orçamento </a:t>
            </a:r>
            <a:r>
              <a:rPr lang="pt-BR" sz="1000" b="0" baseline="0">
                <a:solidFill>
                  <a:schemeClr val="tx1"/>
                </a:solidFill>
                <a:latin typeface="Adobe Devanagari" panose="02040503050201020203" pitchFamily="18" charset="0"/>
                <a:cs typeface="Adobe Devanagari" panose="02040503050201020203" pitchFamily="18" charset="0"/>
              </a:rPr>
              <a:t>para mais DETALHES DO CONSERTO.</a:t>
            </a:r>
            <a:endParaRPr lang="pt-BR" sz="1000" b="1">
              <a:solidFill>
                <a:srgbClr val="4F772D"/>
              </a:solidFill>
              <a:latin typeface="Adobe Devanagari" panose="02040503050201020203" pitchFamily="18" charset="0"/>
              <a:cs typeface="Adobe Devanagari" panose="02040503050201020203" pitchFamily="18" charset="0"/>
            </a:endParaRPr>
          </a:p>
        </xdr:txBody>
      </xdr:sp>
      <xdr:pic>
        <xdr:nvPicPr>
          <xdr:cNvPr id="37" name="Gráfico 36" descr="Lâmpada">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rot="10800000">
            <a:off x="3733797" y="1171573"/>
            <a:ext cx="514351" cy="514351"/>
          </a:xfrm>
          <a:prstGeom prst="rect">
            <a:avLst/>
          </a:prstGeom>
        </xdr:spPr>
      </xdr:pic>
    </xdr:grpSp>
    <xdr:clientData/>
  </xdr:twoCellAnchor>
  <xdr:twoCellAnchor>
    <xdr:from>
      <xdr:col>8</xdr:col>
      <xdr:colOff>133350</xdr:colOff>
      <xdr:row>7</xdr:row>
      <xdr:rowOff>142875</xdr:rowOff>
    </xdr:from>
    <xdr:to>
      <xdr:col>9</xdr:col>
      <xdr:colOff>137665</xdr:colOff>
      <xdr:row>9</xdr:row>
      <xdr:rowOff>148147</xdr:rowOff>
    </xdr:to>
    <xdr:grpSp>
      <xdr:nvGrpSpPr>
        <xdr:cNvPr id="51" name="Agrupar 50">
          <a:hlinkClick xmlns:r="http://schemas.openxmlformats.org/officeDocument/2006/relationships" r:id="rId22"/>
          <a:extLst>
            <a:ext uri="{FF2B5EF4-FFF2-40B4-BE49-F238E27FC236}">
              <a16:creationId xmlns:a16="http://schemas.microsoft.com/office/drawing/2014/main" id="{00000000-0008-0000-0200-000033000000}"/>
            </a:ext>
          </a:extLst>
        </xdr:cNvPr>
        <xdr:cNvGrpSpPr/>
      </xdr:nvGrpSpPr>
      <xdr:grpSpPr>
        <a:xfrm>
          <a:off x="3724275" y="1562100"/>
          <a:ext cx="613915" cy="386272"/>
          <a:chOff x="5324476" y="1276350"/>
          <a:chExt cx="628650" cy="390525"/>
        </a:xfrm>
      </xdr:grpSpPr>
      <xdr:sp macro="" textlink="">
        <xdr:nvSpPr>
          <xdr:cNvPr id="58" name="Retângulo 57">
            <a:extLst>
              <a:ext uri="{FF2B5EF4-FFF2-40B4-BE49-F238E27FC236}">
                <a16:creationId xmlns:a16="http://schemas.microsoft.com/office/drawing/2014/main" id="{00000000-0008-0000-0200-00003A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9" name="Gráfico 58" descr="Dinheiro">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5473384" y="1276350"/>
            <a:ext cx="347450" cy="361049"/>
          </a:xfrm>
          <a:prstGeom prst="rect">
            <a:avLst/>
          </a:prstGeom>
        </xdr:spPr>
      </xdr:pic>
    </xdr:grpSp>
    <xdr:clientData/>
  </xdr:twoCellAnchor>
  <xdr:twoCellAnchor>
    <xdr:from>
      <xdr:col>9</xdr:col>
      <xdr:colOff>257799</xdr:colOff>
      <xdr:row>7</xdr:row>
      <xdr:rowOff>165121</xdr:rowOff>
    </xdr:from>
    <xdr:to>
      <xdr:col>10</xdr:col>
      <xdr:colOff>267218</xdr:colOff>
      <xdr:row>9</xdr:row>
      <xdr:rowOff>140527</xdr:rowOff>
    </xdr:to>
    <xdr:grpSp>
      <xdr:nvGrpSpPr>
        <xdr:cNvPr id="52" name="Agrupar 51">
          <a:hlinkClick xmlns:r="http://schemas.openxmlformats.org/officeDocument/2006/relationships" r:id="rId25"/>
          <a:extLst>
            <a:ext uri="{FF2B5EF4-FFF2-40B4-BE49-F238E27FC236}">
              <a16:creationId xmlns:a16="http://schemas.microsoft.com/office/drawing/2014/main" id="{00000000-0008-0000-0200-000034000000}"/>
            </a:ext>
          </a:extLst>
        </xdr:cNvPr>
        <xdr:cNvGrpSpPr/>
      </xdr:nvGrpSpPr>
      <xdr:grpSpPr>
        <a:xfrm>
          <a:off x="4458324" y="1584346"/>
          <a:ext cx="619019" cy="356406"/>
          <a:chOff x="6229350" y="1300613"/>
          <a:chExt cx="647700" cy="375787"/>
        </a:xfrm>
      </xdr:grpSpPr>
      <xdr:sp macro="" textlink="">
        <xdr:nvSpPr>
          <xdr:cNvPr id="56" name="Retângulo 55">
            <a:extLst>
              <a:ext uri="{FF2B5EF4-FFF2-40B4-BE49-F238E27FC236}">
                <a16:creationId xmlns:a16="http://schemas.microsoft.com/office/drawing/2014/main" id="{00000000-0008-0000-0200-000038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7" name="Gráfico 56" descr="Gráfico de barras">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6330706" y="1314451"/>
            <a:ext cx="460619" cy="338946"/>
          </a:xfrm>
          <a:prstGeom prst="rect">
            <a:avLst/>
          </a:prstGeom>
        </xdr:spPr>
      </xdr:pic>
    </xdr:grpSp>
    <xdr:clientData/>
  </xdr:twoCellAnchor>
  <xdr:twoCellAnchor>
    <xdr:from>
      <xdr:col>10</xdr:col>
      <xdr:colOff>382210</xdr:colOff>
      <xdr:row>7</xdr:row>
      <xdr:rowOff>157502</xdr:rowOff>
    </xdr:from>
    <xdr:to>
      <xdr:col>12</xdr:col>
      <xdr:colOff>253964</xdr:colOff>
      <xdr:row>9</xdr:row>
      <xdr:rowOff>142478</xdr:rowOff>
    </xdr:to>
    <xdr:grpSp>
      <xdr:nvGrpSpPr>
        <xdr:cNvPr id="29" name="Agrupar 28">
          <a:hlinkClick xmlns:r="http://schemas.openxmlformats.org/officeDocument/2006/relationships" r:id="rId28"/>
          <a:extLst>
            <a:ext uri="{FF2B5EF4-FFF2-40B4-BE49-F238E27FC236}">
              <a16:creationId xmlns:a16="http://schemas.microsoft.com/office/drawing/2014/main" id="{00000000-0008-0000-0200-00001D000000}"/>
            </a:ext>
          </a:extLst>
        </xdr:cNvPr>
        <xdr:cNvGrpSpPr/>
      </xdr:nvGrpSpPr>
      <xdr:grpSpPr>
        <a:xfrm>
          <a:off x="5192335" y="1576727"/>
          <a:ext cx="643279" cy="365976"/>
          <a:chOff x="5192335" y="1576727"/>
          <a:chExt cx="643279" cy="365976"/>
        </a:xfrm>
      </xdr:grpSpPr>
      <xdr:sp macro="" textlink="">
        <xdr:nvSpPr>
          <xdr:cNvPr id="54" name="Retângulo 53">
            <a:extLst>
              <a:ext uri="{FF2B5EF4-FFF2-40B4-BE49-F238E27FC236}">
                <a16:creationId xmlns:a16="http://schemas.microsoft.com/office/drawing/2014/main" id="{00000000-0008-0000-0200-000036000000}"/>
              </a:ext>
            </a:extLst>
          </xdr:cNvPr>
          <xdr:cNvSpPr/>
        </xdr:nvSpPr>
        <xdr:spPr>
          <a:xfrm>
            <a:off x="5192335" y="1576727"/>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2" name="Gráfico 41" descr="Lixo">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 uri="{96DAC541-7B7A-43D3-8B79-37D633B846F1}">
                <asvg:svgBlip xmlns:asvg="http://schemas.microsoft.com/office/drawing/2016/SVG/main" r:embed="rId30"/>
              </a:ext>
            </a:extLst>
          </a:blip>
          <a:stretch>
            <a:fillRect/>
          </a:stretch>
        </xdr:blipFill>
        <xdr:spPr>
          <a:xfrm>
            <a:off x="5362575" y="1590675"/>
            <a:ext cx="304800" cy="3048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85725</xdr:colOff>
      <xdr:row>0</xdr:row>
      <xdr:rowOff>123825</xdr:rowOff>
    </xdr:from>
    <xdr:to>
      <xdr:col>20</xdr:col>
      <xdr:colOff>444500</xdr:colOff>
      <xdr:row>5</xdr:row>
      <xdr:rowOff>142874</xdr:rowOff>
    </xdr:to>
    <xdr:grpSp>
      <xdr:nvGrpSpPr>
        <xdr:cNvPr id="30" name="Agrupar 29">
          <a:extLst>
            <a:ext uri="{FF2B5EF4-FFF2-40B4-BE49-F238E27FC236}">
              <a16:creationId xmlns:a16="http://schemas.microsoft.com/office/drawing/2014/main" id="{00000000-0008-0000-0300-00001E000000}"/>
            </a:ext>
          </a:extLst>
        </xdr:cNvPr>
        <xdr:cNvGrpSpPr/>
      </xdr:nvGrpSpPr>
      <xdr:grpSpPr>
        <a:xfrm>
          <a:off x="85725" y="123825"/>
          <a:ext cx="10398125" cy="971549"/>
          <a:chOff x="0" y="114300"/>
          <a:chExt cx="10398125" cy="971549"/>
        </a:xfrm>
      </xdr:grpSpPr>
      <xdr:grpSp>
        <xdr:nvGrpSpPr>
          <xdr:cNvPr id="2" name="Agrupar 1">
            <a:hlinkClick xmlns:r="http://schemas.openxmlformats.org/officeDocument/2006/relationships" r:id="rId1"/>
            <a:extLst>
              <a:ext uri="{FF2B5EF4-FFF2-40B4-BE49-F238E27FC236}">
                <a16:creationId xmlns:a16="http://schemas.microsoft.com/office/drawing/2014/main" id="{00000000-0008-0000-0300-000002000000}"/>
              </a:ext>
            </a:extLst>
          </xdr:cNvPr>
          <xdr:cNvGrpSpPr/>
        </xdr:nvGrpSpPr>
        <xdr:grpSpPr>
          <a:xfrm>
            <a:off x="0" y="114300"/>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3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6" name="Agrupar 5">
            <a:hlinkClick xmlns:r="http://schemas.openxmlformats.org/officeDocument/2006/relationships" r:id="rId3"/>
            <a:extLst>
              <a:ext uri="{FF2B5EF4-FFF2-40B4-BE49-F238E27FC236}">
                <a16:creationId xmlns:a16="http://schemas.microsoft.com/office/drawing/2014/main" id="{00000000-0008-0000-0300-000006000000}"/>
              </a:ext>
            </a:extLst>
          </xdr:cNvPr>
          <xdr:cNvGrpSpPr/>
        </xdr:nvGrpSpPr>
        <xdr:grpSpPr>
          <a:xfrm>
            <a:off x="2295525" y="133350"/>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3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9" name="Agrupar 8">
            <a:hlinkClick xmlns:r="http://schemas.openxmlformats.org/officeDocument/2006/relationships" r:id="rId5"/>
            <a:extLst>
              <a:ext uri="{FF2B5EF4-FFF2-40B4-BE49-F238E27FC236}">
                <a16:creationId xmlns:a16="http://schemas.microsoft.com/office/drawing/2014/main" id="{00000000-0008-0000-0300-000009000000}"/>
              </a:ext>
            </a:extLst>
          </xdr:cNvPr>
          <xdr:cNvGrpSpPr/>
        </xdr:nvGrpSpPr>
        <xdr:grpSpPr>
          <a:xfrm>
            <a:off x="4648200" y="142875"/>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3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12" name="Agrupar 11">
            <a:hlinkClick xmlns:r="http://schemas.openxmlformats.org/officeDocument/2006/relationships" r:id="rId7"/>
            <a:extLst>
              <a:ext uri="{FF2B5EF4-FFF2-40B4-BE49-F238E27FC236}">
                <a16:creationId xmlns:a16="http://schemas.microsoft.com/office/drawing/2014/main" id="{00000000-0008-0000-0300-00000C000000}"/>
              </a:ext>
            </a:extLst>
          </xdr:cNvPr>
          <xdr:cNvGrpSpPr/>
        </xdr:nvGrpSpPr>
        <xdr:grpSpPr>
          <a:xfrm>
            <a:off x="1143000" y="123825"/>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3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15" name="Agrupar 14">
            <a:extLst>
              <a:ext uri="{FF2B5EF4-FFF2-40B4-BE49-F238E27FC236}">
                <a16:creationId xmlns:a16="http://schemas.microsoft.com/office/drawing/2014/main" id="{00000000-0008-0000-0300-00000F000000}"/>
              </a:ext>
            </a:extLst>
          </xdr:cNvPr>
          <xdr:cNvGrpSpPr/>
        </xdr:nvGrpSpPr>
        <xdr:grpSpPr>
          <a:xfrm>
            <a:off x="3476625" y="133350"/>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3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27" name="Agrupar 26">
            <a:hlinkClick xmlns:r="http://schemas.openxmlformats.org/officeDocument/2006/relationships" r:id="rId10"/>
            <a:extLst>
              <a:ext uri="{FF2B5EF4-FFF2-40B4-BE49-F238E27FC236}">
                <a16:creationId xmlns:a16="http://schemas.microsoft.com/office/drawing/2014/main" id="{00000000-0008-0000-0300-00001B000000}"/>
              </a:ext>
            </a:extLst>
          </xdr:cNvPr>
          <xdr:cNvGrpSpPr/>
        </xdr:nvGrpSpPr>
        <xdr:grpSpPr>
          <a:xfrm>
            <a:off x="5819775" y="152400"/>
            <a:ext cx="1028700" cy="933449"/>
            <a:chOff x="6581775" y="209550"/>
            <a:chExt cx="1028700" cy="933449"/>
          </a:xfrm>
        </xdr:grpSpPr>
        <xdr:sp macro="" textlink="">
          <xdr:nvSpPr>
            <xdr:cNvPr id="5" name="Retângulo 4">
              <a:extLst>
                <a:ext uri="{FF2B5EF4-FFF2-40B4-BE49-F238E27FC236}">
                  <a16:creationId xmlns:a16="http://schemas.microsoft.com/office/drawing/2014/main" id="{00000000-0008-0000-0300-000005000000}"/>
                </a:ext>
              </a:extLst>
            </xdr:cNvPr>
            <xdr:cNvSpPr/>
          </xdr:nvSpPr>
          <xdr:spPr>
            <a:xfrm>
              <a:off x="658177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grpSp>
        <xdr:nvGrpSpPr>
          <xdr:cNvPr id="28" name="Agrupar 27">
            <a:hlinkClick xmlns:r="http://schemas.openxmlformats.org/officeDocument/2006/relationships" r:id="rId12"/>
            <a:extLst>
              <a:ext uri="{FF2B5EF4-FFF2-40B4-BE49-F238E27FC236}">
                <a16:creationId xmlns:a16="http://schemas.microsoft.com/office/drawing/2014/main" id="{00000000-0008-0000-0300-00001C000000}"/>
              </a:ext>
            </a:extLst>
          </xdr:cNvPr>
          <xdr:cNvGrpSpPr/>
        </xdr:nvGrpSpPr>
        <xdr:grpSpPr>
          <a:xfrm>
            <a:off x="7000875" y="142875"/>
            <a:ext cx="1028700" cy="933449"/>
            <a:chOff x="7905750" y="190500"/>
            <a:chExt cx="1028700" cy="933449"/>
          </a:xfrm>
        </xdr:grpSpPr>
        <xdr:sp macro="" textlink="">
          <xdr:nvSpPr>
            <xdr:cNvPr id="18" name="Retângulo 17">
              <a:extLst>
                <a:ext uri="{FF2B5EF4-FFF2-40B4-BE49-F238E27FC236}">
                  <a16:creationId xmlns:a16="http://schemas.microsoft.com/office/drawing/2014/main" id="{00000000-0008-0000-0300-000012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grpSp>
        <xdr:nvGrpSpPr>
          <xdr:cNvPr id="21" name="Agrupar 20">
            <a:hlinkClick xmlns:r="http://schemas.openxmlformats.org/officeDocument/2006/relationships" r:id="rId14"/>
            <a:extLst>
              <a:ext uri="{FF2B5EF4-FFF2-40B4-BE49-F238E27FC236}">
                <a16:creationId xmlns:a16="http://schemas.microsoft.com/office/drawing/2014/main" id="{00000000-0008-0000-0300-000015000000}"/>
              </a:ext>
            </a:extLst>
          </xdr:cNvPr>
          <xdr:cNvGrpSpPr/>
        </xdr:nvGrpSpPr>
        <xdr:grpSpPr>
          <a:xfrm>
            <a:off x="8191500" y="136525"/>
            <a:ext cx="1028700" cy="933449"/>
            <a:chOff x="9267825" y="190500"/>
            <a:chExt cx="1028700" cy="933449"/>
          </a:xfrm>
        </xdr:grpSpPr>
        <xdr:sp macro="" textlink="">
          <xdr:nvSpPr>
            <xdr:cNvPr id="22" name="Retângulo 21">
              <a:extLst>
                <a:ext uri="{FF2B5EF4-FFF2-40B4-BE49-F238E27FC236}">
                  <a16:creationId xmlns:a16="http://schemas.microsoft.com/office/drawing/2014/main" id="{00000000-0008-0000-0300-000016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3" name="Gráfico 22" descr="Ligar">
              <a:extLst>
                <a:ext uri="{FF2B5EF4-FFF2-40B4-BE49-F238E27FC236}">
                  <a16:creationId xmlns:a16="http://schemas.microsoft.com/office/drawing/2014/main" id="{00000000-0008-0000-0300-000017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grpSp>
        <xdr:nvGrpSpPr>
          <xdr:cNvPr id="24" name="Agrupar 23">
            <a:hlinkClick xmlns:r="http://schemas.openxmlformats.org/officeDocument/2006/relationships" r:id="rId17"/>
            <a:extLst>
              <a:ext uri="{FF2B5EF4-FFF2-40B4-BE49-F238E27FC236}">
                <a16:creationId xmlns:a16="http://schemas.microsoft.com/office/drawing/2014/main" id="{00000000-0008-0000-0300-000018000000}"/>
              </a:ext>
            </a:extLst>
          </xdr:cNvPr>
          <xdr:cNvGrpSpPr/>
        </xdr:nvGrpSpPr>
        <xdr:grpSpPr>
          <a:xfrm>
            <a:off x="9369425" y="123825"/>
            <a:ext cx="1028700" cy="933449"/>
            <a:chOff x="10531475" y="177800"/>
            <a:chExt cx="1028700" cy="933449"/>
          </a:xfrm>
        </xdr:grpSpPr>
        <xdr:sp macro="" textlink="">
          <xdr:nvSpPr>
            <xdr:cNvPr id="25" name="Retângulo 24">
              <a:extLst>
                <a:ext uri="{FF2B5EF4-FFF2-40B4-BE49-F238E27FC236}">
                  <a16:creationId xmlns:a16="http://schemas.microsoft.com/office/drawing/2014/main" id="{00000000-0008-0000-0300-000019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6" name="Imagem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8</xdr:col>
      <xdr:colOff>438150</xdr:colOff>
      <xdr:row>7</xdr:row>
      <xdr:rowOff>57150</xdr:rowOff>
    </xdr:from>
    <xdr:to>
      <xdr:col>9</xdr:col>
      <xdr:colOff>442465</xdr:colOff>
      <xdr:row>9</xdr:row>
      <xdr:rowOff>62422</xdr:rowOff>
    </xdr:to>
    <xdr:grpSp>
      <xdr:nvGrpSpPr>
        <xdr:cNvPr id="59" name="Agrupar 58">
          <a:hlinkClick xmlns:r="http://schemas.openxmlformats.org/officeDocument/2006/relationships" r:id="rId19"/>
          <a:extLst>
            <a:ext uri="{FF2B5EF4-FFF2-40B4-BE49-F238E27FC236}">
              <a16:creationId xmlns:a16="http://schemas.microsoft.com/office/drawing/2014/main" id="{00000000-0008-0000-0300-00003B000000}"/>
            </a:ext>
          </a:extLst>
        </xdr:cNvPr>
        <xdr:cNvGrpSpPr/>
      </xdr:nvGrpSpPr>
      <xdr:grpSpPr>
        <a:xfrm>
          <a:off x="3952875" y="1466850"/>
          <a:ext cx="613915" cy="386272"/>
          <a:chOff x="5324476" y="1276350"/>
          <a:chExt cx="628650" cy="390525"/>
        </a:xfrm>
      </xdr:grpSpPr>
      <xdr:sp macro="" textlink="">
        <xdr:nvSpPr>
          <xdr:cNvPr id="66" name="Retângulo 65">
            <a:extLst>
              <a:ext uri="{FF2B5EF4-FFF2-40B4-BE49-F238E27FC236}">
                <a16:creationId xmlns:a16="http://schemas.microsoft.com/office/drawing/2014/main" id="{00000000-0008-0000-0300-000042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7" name="Gráfico 66" descr="Dinheiro">
            <a:extLst>
              <a:ext uri="{FF2B5EF4-FFF2-40B4-BE49-F238E27FC236}">
                <a16:creationId xmlns:a16="http://schemas.microsoft.com/office/drawing/2014/main" id="{00000000-0008-0000-0300-000043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9</xdr:col>
      <xdr:colOff>562599</xdr:colOff>
      <xdr:row>7</xdr:row>
      <xdr:rowOff>79396</xdr:rowOff>
    </xdr:from>
    <xdr:to>
      <xdr:col>10</xdr:col>
      <xdr:colOff>572018</xdr:colOff>
      <xdr:row>9</xdr:row>
      <xdr:rowOff>54802</xdr:rowOff>
    </xdr:to>
    <xdr:grpSp>
      <xdr:nvGrpSpPr>
        <xdr:cNvPr id="60" name="Agrupar 59">
          <a:hlinkClick xmlns:r="http://schemas.openxmlformats.org/officeDocument/2006/relationships" r:id="rId22"/>
          <a:extLst>
            <a:ext uri="{FF2B5EF4-FFF2-40B4-BE49-F238E27FC236}">
              <a16:creationId xmlns:a16="http://schemas.microsoft.com/office/drawing/2014/main" id="{00000000-0008-0000-0300-00003C000000}"/>
            </a:ext>
          </a:extLst>
        </xdr:cNvPr>
        <xdr:cNvGrpSpPr/>
      </xdr:nvGrpSpPr>
      <xdr:grpSpPr>
        <a:xfrm>
          <a:off x="4686924" y="1489096"/>
          <a:ext cx="619019" cy="356406"/>
          <a:chOff x="6229350" y="1300613"/>
          <a:chExt cx="647700" cy="375787"/>
        </a:xfrm>
      </xdr:grpSpPr>
      <xdr:sp macro="" textlink="">
        <xdr:nvSpPr>
          <xdr:cNvPr id="64" name="Retângulo 63">
            <a:extLst>
              <a:ext uri="{FF2B5EF4-FFF2-40B4-BE49-F238E27FC236}">
                <a16:creationId xmlns:a16="http://schemas.microsoft.com/office/drawing/2014/main" id="{00000000-0008-0000-0300-000040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5" name="Gráfico 64" descr="Gráfico de barras">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11</xdr:col>
      <xdr:colOff>77410</xdr:colOff>
      <xdr:row>7</xdr:row>
      <xdr:rowOff>71777</xdr:rowOff>
    </xdr:from>
    <xdr:to>
      <xdr:col>12</xdr:col>
      <xdr:colOff>606389</xdr:colOff>
      <xdr:row>9</xdr:row>
      <xdr:rowOff>56753</xdr:rowOff>
    </xdr:to>
    <xdr:grpSp>
      <xdr:nvGrpSpPr>
        <xdr:cNvPr id="29" name="Agrupar 28">
          <a:hlinkClick xmlns:r="http://schemas.openxmlformats.org/officeDocument/2006/relationships" r:id="rId25"/>
          <a:extLst>
            <a:ext uri="{FF2B5EF4-FFF2-40B4-BE49-F238E27FC236}">
              <a16:creationId xmlns:a16="http://schemas.microsoft.com/office/drawing/2014/main" id="{00000000-0008-0000-0300-00001D000000}"/>
            </a:ext>
          </a:extLst>
        </xdr:cNvPr>
        <xdr:cNvGrpSpPr/>
      </xdr:nvGrpSpPr>
      <xdr:grpSpPr>
        <a:xfrm>
          <a:off x="5420935" y="1481477"/>
          <a:ext cx="643279" cy="365976"/>
          <a:chOff x="5420935" y="1481477"/>
          <a:chExt cx="643279" cy="365976"/>
        </a:xfrm>
      </xdr:grpSpPr>
      <xdr:sp macro="" textlink="">
        <xdr:nvSpPr>
          <xdr:cNvPr id="62" name="Retângulo 61">
            <a:extLst>
              <a:ext uri="{FF2B5EF4-FFF2-40B4-BE49-F238E27FC236}">
                <a16:creationId xmlns:a16="http://schemas.microsoft.com/office/drawing/2014/main" id="{00000000-0008-0000-0300-00003E000000}"/>
              </a:ext>
            </a:extLst>
          </xdr:cNvPr>
          <xdr:cNvSpPr/>
        </xdr:nvSpPr>
        <xdr:spPr>
          <a:xfrm>
            <a:off x="5420935" y="1481477"/>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9" name="Gráfico 38" descr="Lixo">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591175" y="1504950"/>
            <a:ext cx="304800" cy="30480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85725</xdr:colOff>
      <xdr:row>0</xdr:row>
      <xdr:rowOff>104775</xdr:rowOff>
    </xdr:from>
    <xdr:to>
      <xdr:col>22</xdr:col>
      <xdr:colOff>349250</xdr:colOff>
      <xdr:row>5</xdr:row>
      <xdr:rowOff>107949</xdr:rowOff>
    </xdr:to>
    <xdr:grpSp>
      <xdr:nvGrpSpPr>
        <xdr:cNvPr id="30" name="Agrupar 29">
          <a:extLst>
            <a:ext uri="{FF2B5EF4-FFF2-40B4-BE49-F238E27FC236}">
              <a16:creationId xmlns:a16="http://schemas.microsoft.com/office/drawing/2014/main" id="{00000000-0008-0000-0400-00001E000000}"/>
            </a:ext>
          </a:extLst>
        </xdr:cNvPr>
        <xdr:cNvGrpSpPr/>
      </xdr:nvGrpSpPr>
      <xdr:grpSpPr>
        <a:xfrm>
          <a:off x="200025" y="104775"/>
          <a:ext cx="11017250" cy="955674"/>
          <a:chOff x="152400" y="190500"/>
          <a:chExt cx="11017250" cy="955674"/>
        </a:xfrm>
      </xdr:grpSpPr>
      <xdr:grpSp>
        <xdr:nvGrpSpPr>
          <xdr:cNvPr id="2" name="Agrupar 1">
            <a:hlinkClick xmlns:r="http://schemas.openxmlformats.org/officeDocument/2006/relationships" r:id="rId1"/>
            <a:extLst>
              <a:ext uri="{FF2B5EF4-FFF2-40B4-BE49-F238E27FC236}">
                <a16:creationId xmlns:a16="http://schemas.microsoft.com/office/drawing/2014/main" id="{00000000-0008-0000-0400-000002000000}"/>
              </a:ext>
            </a:extLst>
          </xdr:cNvPr>
          <xdr:cNvGrpSpPr/>
        </xdr:nvGrpSpPr>
        <xdr:grpSpPr>
          <a:xfrm>
            <a:off x="152400" y="190500"/>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4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6" name="Agrupar 5">
            <a:hlinkClick xmlns:r="http://schemas.openxmlformats.org/officeDocument/2006/relationships" r:id="rId3"/>
            <a:extLst>
              <a:ext uri="{FF2B5EF4-FFF2-40B4-BE49-F238E27FC236}">
                <a16:creationId xmlns:a16="http://schemas.microsoft.com/office/drawing/2014/main" id="{00000000-0008-0000-0400-000006000000}"/>
              </a:ext>
            </a:extLst>
          </xdr:cNvPr>
          <xdr:cNvGrpSpPr/>
        </xdr:nvGrpSpPr>
        <xdr:grpSpPr>
          <a:xfrm>
            <a:off x="2638425" y="200025"/>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4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9" name="Agrupar 8">
            <a:extLst>
              <a:ext uri="{FF2B5EF4-FFF2-40B4-BE49-F238E27FC236}">
                <a16:creationId xmlns:a16="http://schemas.microsoft.com/office/drawing/2014/main" id="{00000000-0008-0000-0400-000009000000}"/>
              </a:ext>
            </a:extLst>
          </xdr:cNvPr>
          <xdr:cNvGrpSpPr/>
        </xdr:nvGrpSpPr>
        <xdr:grpSpPr>
          <a:xfrm>
            <a:off x="5153025" y="209550"/>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4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12" name="Agrupar 11">
            <a:hlinkClick xmlns:r="http://schemas.openxmlformats.org/officeDocument/2006/relationships" r:id="rId6"/>
            <a:extLst>
              <a:ext uri="{FF2B5EF4-FFF2-40B4-BE49-F238E27FC236}">
                <a16:creationId xmlns:a16="http://schemas.microsoft.com/office/drawing/2014/main" id="{00000000-0008-0000-0400-00000C000000}"/>
              </a:ext>
            </a:extLst>
          </xdr:cNvPr>
          <xdr:cNvGrpSpPr/>
        </xdr:nvGrpSpPr>
        <xdr:grpSpPr>
          <a:xfrm>
            <a:off x="1390650" y="190500"/>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4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15" name="Agrupar 14">
            <a:hlinkClick xmlns:r="http://schemas.openxmlformats.org/officeDocument/2006/relationships" r:id="rId8"/>
            <a:extLst>
              <a:ext uri="{FF2B5EF4-FFF2-40B4-BE49-F238E27FC236}">
                <a16:creationId xmlns:a16="http://schemas.microsoft.com/office/drawing/2014/main" id="{00000000-0008-0000-0400-00000F000000}"/>
              </a:ext>
            </a:extLst>
          </xdr:cNvPr>
          <xdr:cNvGrpSpPr/>
        </xdr:nvGrpSpPr>
        <xdr:grpSpPr>
          <a:xfrm>
            <a:off x="3895725" y="200025"/>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4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21" name="Agrupar 20">
            <a:hlinkClick xmlns:r="http://schemas.openxmlformats.org/officeDocument/2006/relationships" r:id="rId10"/>
            <a:extLst>
              <a:ext uri="{FF2B5EF4-FFF2-40B4-BE49-F238E27FC236}">
                <a16:creationId xmlns:a16="http://schemas.microsoft.com/office/drawing/2014/main" id="{00000000-0008-0000-0400-000015000000}"/>
              </a:ext>
            </a:extLst>
          </xdr:cNvPr>
          <xdr:cNvGrpSpPr/>
        </xdr:nvGrpSpPr>
        <xdr:grpSpPr>
          <a:xfrm>
            <a:off x="6400800" y="200025"/>
            <a:ext cx="1028700" cy="933449"/>
            <a:chOff x="6677025" y="209550"/>
            <a:chExt cx="1028700" cy="933449"/>
          </a:xfrm>
        </xdr:grpSpPr>
        <xdr:sp macro="" textlink="">
          <xdr:nvSpPr>
            <xdr:cNvPr id="5" name="Retângulo 4">
              <a:extLst>
                <a:ext uri="{FF2B5EF4-FFF2-40B4-BE49-F238E27FC236}">
                  <a16:creationId xmlns:a16="http://schemas.microsoft.com/office/drawing/2014/main" id="{00000000-0008-0000-0400-000005000000}"/>
                </a:ext>
              </a:extLst>
            </xdr:cNvPr>
            <xdr:cNvSpPr/>
          </xdr:nvSpPr>
          <xdr:spPr>
            <a:xfrm>
              <a:off x="66770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943725" y="361950"/>
              <a:ext cx="490591" cy="490591"/>
            </a:xfrm>
            <a:prstGeom prst="rect">
              <a:avLst/>
            </a:prstGeom>
          </xdr:spPr>
        </xdr:pic>
      </xdr:grpSp>
      <xdr:grpSp>
        <xdr:nvGrpSpPr>
          <xdr:cNvPr id="22" name="Agrupar 21">
            <a:hlinkClick xmlns:r="http://schemas.openxmlformats.org/officeDocument/2006/relationships" r:id="rId12"/>
            <a:extLst>
              <a:ext uri="{FF2B5EF4-FFF2-40B4-BE49-F238E27FC236}">
                <a16:creationId xmlns:a16="http://schemas.microsoft.com/office/drawing/2014/main" id="{00000000-0008-0000-0400-000016000000}"/>
              </a:ext>
            </a:extLst>
          </xdr:cNvPr>
          <xdr:cNvGrpSpPr/>
        </xdr:nvGrpSpPr>
        <xdr:grpSpPr>
          <a:xfrm>
            <a:off x="7648575" y="209550"/>
            <a:ext cx="1028700" cy="933449"/>
            <a:chOff x="8001000" y="190500"/>
            <a:chExt cx="1028700" cy="933449"/>
          </a:xfrm>
        </xdr:grpSpPr>
        <xdr:sp macro="" textlink="">
          <xdr:nvSpPr>
            <xdr:cNvPr id="18" name="Retângulo 17">
              <a:extLst>
                <a:ext uri="{FF2B5EF4-FFF2-40B4-BE49-F238E27FC236}">
                  <a16:creationId xmlns:a16="http://schemas.microsoft.com/office/drawing/2014/main" id="{00000000-0008-0000-0400-000012000000}"/>
                </a:ext>
              </a:extLst>
            </xdr:cNvPr>
            <xdr:cNvSpPr/>
          </xdr:nvSpPr>
          <xdr:spPr>
            <a:xfrm>
              <a:off x="800100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75679" y="212979"/>
              <a:ext cx="553996" cy="553996"/>
            </a:xfrm>
            <a:prstGeom prst="rect">
              <a:avLst/>
            </a:prstGeom>
          </xdr:spPr>
        </xdr:pic>
      </xdr:grpSp>
      <xdr:grpSp>
        <xdr:nvGrpSpPr>
          <xdr:cNvPr id="23" name="Agrupar 22">
            <a:hlinkClick xmlns:r="http://schemas.openxmlformats.org/officeDocument/2006/relationships" r:id="rId14"/>
            <a:extLst>
              <a:ext uri="{FF2B5EF4-FFF2-40B4-BE49-F238E27FC236}">
                <a16:creationId xmlns:a16="http://schemas.microsoft.com/office/drawing/2014/main" id="{00000000-0008-0000-0400-000017000000}"/>
              </a:ext>
            </a:extLst>
          </xdr:cNvPr>
          <xdr:cNvGrpSpPr/>
        </xdr:nvGrpSpPr>
        <xdr:grpSpPr>
          <a:xfrm>
            <a:off x="8896350" y="212725"/>
            <a:ext cx="1028700" cy="933449"/>
            <a:chOff x="9267825" y="190500"/>
            <a:chExt cx="1028700" cy="933449"/>
          </a:xfrm>
        </xdr:grpSpPr>
        <xdr:sp macro="" textlink="">
          <xdr:nvSpPr>
            <xdr:cNvPr id="24" name="Retângulo 23">
              <a:extLst>
                <a:ext uri="{FF2B5EF4-FFF2-40B4-BE49-F238E27FC236}">
                  <a16:creationId xmlns:a16="http://schemas.microsoft.com/office/drawing/2014/main" id="{00000000-0008-0000-0400-000018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5" name="Gráfico 24" descr="Ligar">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grpSp>
        <xdr:nvGrpSpPr>
          <xdr:cNvPr id="26" name="Agrupar 25">
            <a:hlinkClick xmlns:r="http://schemas.openxmlformats.org/officeDocument/2006/relationships" r:id="rId17"/>
            <a:extLst>
              <a:ext uri="{FF2B5EF4-FFF2-40B4-BE49-F238E27FC236}">
                <a16:creationId xmlns:a16="http://schemas.microsoft.com/office/drawing/2014/main" id="{00000000-0008-0000-0400-00001A000000}"/>
              </a:ext>
            </a:extLst>
          </xdr:cNvPr>
          <xdr:cNvGrpSpPr/>
        </xdr:nvGrpSpPr>
        <xdr:grpSpPr>
          <a:xfrm>
            <a:off x="10140950" y="200025"/>
            <a:ext cx="1028700" cy="933449"/>
            <a:chOff x="10531475" y="177800"/>
            <a:chExt cx="1028700" cy="933449"/>
          </a:xfrm>
        </xdr:grpSpPr>
        <xdr:sp macro="" textlink="">
          <xdr:nvSpPr>
            <xdr:cNvPr id="27" name="Retângulo 26">
              <a:extLst>
                <a:ext uri="{FF2B5EF4-FFF2-40B4-BE49-F238E27FC236}">
                  <a16:creationId xmlns:a16="http://schemas.microsoft.com/office/drawing/2014/main" id="{00000000-0008-0000-0400-00001B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8" name="Imagem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9</xdr:col>
      <xdr:colOff>123825</xdr:colOff>
      <xdr:row>7</xdr:row>
      <xdr:rowOff>47625</xdr:rowOff>
    </xdr:from>
    <xdr:to>
      <xdr:col>10</xdr:col>
      <xdr:colOff>128140</xdr:colOff>
      <xdr:row>9</xdr:row>
      <xdr:rowOff>52897</xdr:rowOff>
    </xdr:to>
    <xdr:grpSp>
      <xdr:nvGrpSpPr>
        <xdr:cNvPr id="61" name="Agrupar 60">
          <a:hlinkClick xmlns:r="http://schemas.openxmlformats.org/officeDocument/2006/relationships" r:id="rId19"/>
          <a:extLst>
            <a:ext uri="{FF2B5EF4-FFF2-40B4-BE49-F238E27FC236}">
              <a16:creationId xmlns:a16="http://schemas.microsoft.com/office/drawing/2014/main" id="{00000000-0008-0000-0400-00003D000000}"/>
            </a:ext>
          </a:extLst>
        </xdr:cNvPr>
        <xdr:cNvGrpSpPr/>
      </xdr:nvGrpSpPr>
      <xdr:grpSpPr>
        <a:xfrm>
          <a:off x="4124325" y="1457325"/>
          <a:ext cx="613915" cy="386272"/>
          <a:chOff x="5324476" y="1276350"/>
          <a:chExt cx="628650" cy="390525"/>
        </a:xfrm>
      </xdr:grpSpPr>
      <xdr:sp macro="" textlink="">
        <xdr:nvSpPr>
          <xdr:cNvPr id="68" name="Retângulo 67">
            <a:extLst>
              <a:ext uri="{FF2B5EF4-FFF2-40B4-BE49-F238E27FC236}">
                <a16:creationId xmlns:a16="http://schemas.microsoft.com/office/drawing/2014/main" id="{00000000-0008-0000-0400-000044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9" name="Gráfico 68" descr="Dinheiro">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10</xdr:col>
      <xdr:colOff>248274</xdr:colOff>
      <xdr:row>7</xdr:row>
      <xdr:rowOff>69871</xdr:rowOff>
    </xdr:from>
    <xdr:to>
      <xdr:col>12</xdr:col>
      <xdr:colOff>38618</xdr:colOff>
      <xdr:row>9</xdr:row>
      <xdr:rowOff>45277</xdr:rowOff>
    </xdr:to>
    <xdr:grpSp>
      <xdr:nvGrpSpPr>
        <xdr:cNvPr id="62" name="Agrupar 61">
          <a:hlinkClick xmlns:r="http://schemas.openxmlformats.org/officeDocument/2006/relationships" r:id="rId22"/>
          <a:extLst>
            <a:ext uri="{FF2B5EF4-FFF2-40B4-BE49-F238E27FC236}">
              <a16:creationId xmlns:a16="http://schemas.microsoft.com/office/drawing/2014/main" id="{00000000-0008-0000-0400-00003E000000}"/>
            </a:ext>
          </a:extLst>
        </xdr:cNvPr>
        <xdr:cNvGrpSpPr/>
      </xdr:nvGrpSpPr>
      <xdr:grpSpPr>
        <a:xfrm>
          <a:off x="4858374" y="1479571"/>
          <a:ext cx="619019" cy="356406"/>
          <a:chOff x="6229350" y="1300613"/>
          <a:chExt cx="647700" cy="375787"/>
        </a:xfrm>
      </xdr:grpSpPr>
      <xdr:sp macro="" textlink="">
        <xdr:nvSpPr>
          <xdr:cNvPr id="66" name="Retângulo 65">
            <a:extLst>
              <a:ext uri="{FF2B5EF4-FFF2-40B4-BE49-F238E27FC236}">
                <a16:creationId xmlns:a16="http://schemas.microsoft.com/office/drawing/2014/main" id="{00000000-0008-0000-0400-000042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7" name="Gráfico 66" descr="Gráfico de barras">
            <a:extLst>
              <a:ext uri="{FF2B5EF4-FFF2-40B4-BE49-F238E27FC236}">
                <a16:creationId xmlns:a16="http://schemas.microsoft.com/office/drawing/2014/main" id="{00000000-0008-0000-0400-000043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12</xdr:col>
      <xdr:colOff>153610</xdr:colOff>
      <xdr:row>7</xdr:row>
      <xdr:rowOff>62252</xdr:rowOff>
    </xdr:from>
    <xdr:to>
      <xdr:col>13</xdr:col>
      <xdr:colOff>187289</xdr:colOff>
      <xdr:row>9</xdr:row>
      <xdr:rowOff>47228</xdr:rowOff>
    </xdr:to>
    <xdr:grpSp>
      <xdr:nvGrpSpPr>
        <xdr:cNvPr id="29" name="Agrupar 28">
          <a:hlinkClick xmlns:r="http://schemas.openxmlformats.org/officeDocument/2006/relationships" r:id="rId25"/>
          <a:extLst>
            <a:ext uri="{FF2B5EF4-FFF2-40B4-BE49-F238E27FC236}">
              <a16:creationId xmlns:a16="http://schemas.microsoft.com/office/drawing/2014/main" id="{00000000-0008-0000-0400-00001D000000}"/>
            </a:ext>
          </a:extLst>
        </xdr:cNvPr>
        <xdr:cNvGrpSpPr/>
      </xdr:nvGrpSpPr>
      <xdr:grpSpPr>
        <a:xfrm>
          <a:off x="5592385" y="1471952"/>
          <a:ext cx="643279" cy="365976"/>
          <a:chOff x="5592385" y="1471952"/>
          <a:chExt cx="643279" cy="365976"/>
        </a:xfrm>
      </xdr:grpSpPr>
      <xdr:sp macro="" textlink="">
        <xdr:nvSpPr>
          <xdr:cNvPr id="64" name="Retângulo 63">
            <a:extLst>
              <a:ext uri="{FF2B5EF4-FFF2-40B4-BE49-F238E27FC236}">
                <a16:creationId xmlns:a16="http://schemas.microsoft.com/office/drawing/2014/main" id="{00000000-0008-0000-0400-000040000000}"/>
              </a:ext>
            </a:extLst>
          </xdr:cNvPr>
          <xdr:cNvSpPr/>
        </xdr:nvSpPr>
        <xdr:spPr>
          <a:xfrm>
            <a:off x="5592385" y="1471952"/>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2" name="Gráfico 41" descr="Lixo">
            <a:extLst>
              <a:ext uri="{FF2B5EF4-FFF2-40B4-BE49-F238E27FC236}">
                <a16:creationId xmlns:a16="http://schemas.microsoft.com/office/drawing/2014/main" id="{00000000-0008-0000-0400-00002A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772150" y="1495425"/>
            <a:ext cx="304800" cy="30480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0</xdr:row>
      <xdr:rowOff>114300</xdr:rowOff>
    </xdr:from>
    <xdr:to>
      <xdr:col>2</xdr:col>
      <xdr:colOff>371475</xdr:colOff>
      <xdr:row>5</xdr:row>
      <xdr:rowOff>95249</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0500-000002000000}"/>
            </a:ext>
          </a:extLst>
        </xdr:cNvPr>
        <xdr:cNvGrpSpPr/>
      </xdr:nvGrpSpPr>
      <xdr:grpSpPr>
        <a:xfrm>
          <a:off x="66675" y="114300"/>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5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clientData/>
  </xdr:twoCellAnchor>
  <xdr:twoCellAnchor>
    <xdr:from>
      <xdr:col>5</xdr:col>
      <xdr:colOff>295275</xdr:colOff>
      <xdr:row>0</xdr:row>
      <xdr:rowOff>114300</xdr:rowOff>
    </xdr:from>
    <xdr:to>
      <xdr:col>7</xdr:col>
      <xdr:colOff>104775</xdr:colOff>
      <xdr:row>5</xdr:row>
      <xdr:rowOff>95249</xdr:rowOff>
    </xdr:to>
    <xdr:grpSp>
      <xdr:nvGrpSpPr>
        <xdr:cNvPr id="6" name="Agrupar 5">
          <a:hlinkClick xmlns:r="http://schemas.openxmlformats.org/officeDocument/2006/relationships" r:id="rId3"/>
          <a:extLst>
            <a:ext uri="{FF2B5EF4-FFF2-40B4-BE49-F238E27FC236}">
              <a16:creationId xmlns:a16="http://schemas.microsoft.com/office/drawing/2014/main" id="{00000000-0008-0000-0500-000006000000}"/>
            </a:ext>
          </a:extLst>
        </xdr:cNvPr>
        <xdr:cNvGrpSpPr/>
      </xdr:nvGrpSpPr>
      <xdr:grpSpPr>
        <a:xfrm>
          <a:off x="2352675" y="114300"/>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5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clientData/>
  </xdr:twoCellAnchor>
  <xdr:twoCellAnchor>
    <xdr:from>
      <xdr:col>10</xdr:col>
      <xdr:colOff>95250</xdr:colOff>
      <xdr:row>0</xdr:row>
      <xdr:rowOff>114300</xdr:rowOff>
    </xdr:from>
    <xdr:to>
      <xdr:col>13</xdr:col>
      <xdr:colOff>57150</xdr:colOff>
      <xdr:row>5</xdr:row>
      <xdr:rowOff>95249</xdr:rowOff>
    </xdr:to>
    <xdr:grpSp>
      <xdr:nvGrpSpPr>
        <xdr:cNvPr id="9" name="Agrupar 8">
          <a:hlinkClick xmlns:r="http://schemas.openxmlformats.org/officeDocument/2006/relationships" r:id="rId5"/>
          <a:extLst>
            <a:ext uri="{FF2B5EF4-FFF2-40B4-BE49-F238E27FC236}">
              <a16:creationId xmlns:a16="http://schemas.microsoft.com/office/drawing/2014/main" id="{00000000-0008-0000-0500-000009000000}"/>
            </a:ext>
          </a:extLst>
        </xdr:cNvPr>
        <xdr:cNvGrpSpPr/>
      </xdr:nvGrpSpPr>
      <xdr:grpSpPr>
        <a:xfrm>
          <a:off x="4705350" y="114300"/>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5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clientData/>
  </xdr:twoCellAnchor>
  <xdr:twoCellAnchor>
    <xdr:from>
      <xdr:col>2</xdr:col>
      <xdr:colOff>485775</xdr:colOff>
      <xdr:row>0</xdr:row>
      <xdr:rowOff>114300</xdr:rowOff>
    </xdr:from>
    <xdr:to>
      <xdr:col>5</xdr:col>
      <xdr:colOff>180975</xdr:colOff>
      <xdr:row>5</xdr:row>
      <xdr:rowOff>95249</xdr:rowOff>
    </xdr:to>
    <xdr:grpSp>
      <xdr:nvGrpSpPr>
        <xdr:cNvPr id="12" name="Agrupar 11">
          <a:hlinkClick xmlns:r="http://schemas.openxmlformats.org/officeDocument/2006/relationships" r:id="rId7"/>
          <a:extLst>
            <a:ext uri="{FF2B5EF4-FFF2-40B4-BE49-F238E27FC236}">
              <a16:creationId xmlns:a16="http://schemas.microsoft.com/office/drawing/2014/main" id="{00000000-0008-0000-0500-00000C000000}"/>
            </a:ext>
          </a:extLst>
        </xdr:cNvPr>
        <xdr:cNvGrpSpPr/>
      </xdr:nvGrpSpPr>
      <xdr:grpSpPr>
        <a:xfrm>
          <a:off x="1209675" y="114300"/>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5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clientData/>
  </xdr:twoCellAnchor>
  <xdr:twoCellAnchor>
    <xdr:from>
      <xdr:col>8</xdr:col>
      <xdr:colOff>142875</xdr:colOff>
      <xdr:row>0</xdr:row>
      <xdr:rowOff>114300</xdr:rowOff>
    </xdr:from>
    <xdr:to>
      <xdr:col>9</xdr:col>
      <xdr:colOff>561975</xdr:colOff>
      <xdr:row>5</xdr:row>
      <xdr:rowOff>95249</xdr:rowOff>
    </xdr:to>
    <xdr:grpSp>
      <xdr:nvGrpSpPr>
        <xdr:cNvPr id="15" name="Agrupar 14">
          <a:hlinkClick xmlns:r="http://schemas.openxmlformats.org/officeDocument/2006/relationships" r:id="rId9"/>
          <a:extLst>
            <a:ext uri="{FF2B5EF4-FFF2-40B4-BE49-F238E27FC236}">
              <a16:creationId xmlns:a16="http://schemas.microsoft.com/office/drawing/2014/main" id="{00000000-0008-0000-0500-00000F000000}"/>
            </a:ext>
          </a:extLst>
        </xdr:cNvPr>
        <xdr:cNvGrpSpPr/>
      </xdr:nvGrpSpPr>
      <xdr:grpSpPr>
        <a:xfrm>
          <a:off x="3533775" y="114300"/>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5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clientData/>
  </xdr:twoCellAnchor>
  <xdr:twoCellAnchor>
    <xdr:from>
      <xdr:col>13</xdr:col>
      <xdr:colOff>180975</xdr:colOff>
      <xdr:row>0</xdr:row>
      <xdr:rowOff>114300</xdr:rowOff>
    </xdr:from>
    <xdr:to>
      <xdr:col>14</xdr:col>
      <xdr:colOff>600075</xdr:colOff>
      <xdr:row>5</xdr:row>
      <xdr:rowOff>95249</xdr:rowOff>
    </xdr:to>
    <xdr:grpSp>
      <xdr:nvGrpSpPr>
        <xdr:cNvPr id="22" name="Agrupar 21">
          <a:extLst>
            <a:ext uri="{FF2B5EF4-FFF2-40B4-BE49-F238E27FC236}">
              <a16:creationId xmlns:a16="http://schemas.microsoft.com/office/drawing/2014/main" id="{00000000-0008-0000-0500-000016000000}"/>
            </a:ext>
          </a:extLst>
        </xdr:cNvPr>
        <xdr:cNvGrpSpPr/>
      </xdr:nvGrpSpPr>
      <xdr:grpSpPr>
        <a:xfrm>
          <a:off x="5857875" y="114300"/>
          <a:ext cx="1028700" cy="933449"/>
          <a:chOff x="6677025" y="209550"/>
          <a:chExt cx="1028700" cy="933449"/>
        </a:xfrm>
      </xdr:grpSpPr>
      <xdr:sp macro="" textlink="">
        <xdr:nvSpPr>
          <xdr:cNvPr id="5" name="Retângulo 4">
            <a:extLst>
              <a:ext uri="{FF2B5EF4-FFF2-40B4-BE49-F238E27FC236}">
                <a16:creationId xmlns:a16="http://schemas.microsoft.com/office/drawing/2014/main" id="{00000000-0008-0000-0500-000005000000}"/>
              </a:ext>
            </a:extLst>
          </xdr:cNvPr>
          <xdr:cNvSpPr/>
        </xdr:nvSpPr>
        <xdr:spPr>
          <a:xfrm>
            <a:off x="66770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943725" y="390525"/>
            <a:ext cx="490591" cy="490591"/>
          </a:xfrm>
          <a:prstGeom prst="rect">
            <a:avLst/>
          </a:prstGeom>
        </xdr:spPr>
      </xdr:pic>
    </xdr:grpSp>
    <xdr:clientData/>
  </xdr:twoCellAnchor>
  <xdr:twoCellAnchor>
    <xdr:from>
      <xdr:col>14</xdr:col>
      <xdr:colOff>733425</xdr:colOff>
      <xdr:row>0</xdr:row>
      <xdr:rowOff>133350</xdr:rowOff>
    </xdr:from>
    <xdr:to>
      <xdr:col>17</xdr:col>
      <xdr:colOff>76200</xdr:colOff>
      <xdr:row>5</xdr:row>
      <xdr:rowOff>114299</xdr:rowOff>
    </xdr:to>
    <xdr:grpSp>
      <xdr:nvGrpSpPr>
        <xdr:cNvPr id="21" name="Agrupar 20">
          <a:hlinkClick xmlns:r="http://schemas.openxmlformats.org/officeDocument/2006/relationships" r:id="rId12"/>
          <a:extLst>
            <a:ext uri="{FF2B5EF4-FFF2-40B4-BE49-F238E27FC236}">
              <a16:creationId xmlns:a16="http://schemas.microsoft.com/office/drawing/2014/main" id="{00000000-0008-0000-0500-000015000000}"/>
            </a:ext>
          </a:extLst>
        </xdr:cNvPr>
        <xdr:cNvGrpSpPr/>
      </xdr:nvGrpSpPr>
      <xdr:grpSpPr>
        <a:xfrm>
          <a:off x="7019925" y="133350"/>
          <a:ext cx="1028700" cy="933449"/>
          <a:chOff x="8001000" y="190500"/>
          <a:chExt cx="1028700" cy="933449"/>
        </a:xfrm>
      </xdr:grpSpPr>
      <xdr:sp macro="" textlink="">
        <xdr:nvSpPr>
          <xdr:cNvPr id="18" name="Retângulo 17">
            <a:extLst>
              <a:ext uri="{FF2B5EF4-FFF2-40B4-BE49-F238E27FC236}">
                <a16:creationId xmlns:a16="http://schemas.microsoft.com/office/drawing/2014/main" id="{00000000-0008-0000-0500-000012000000}"/>
              </a:ext>
            </a:extLst>
          </xdr:cNvPr>
          <xdr:cNvSpPr/>
        </xdr:nvSpPr>
        <xdr:spPr>
          <a:xfrm>
            <a:off x="800100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75679" y="212979"/>
            <a:ext cx="553996" cy="553996"/>
          </a:xfrm>
          <a:prstGeom prst="rect">
            <a:avLst/>
          </a:prstGeom>
        </xdr:spPr>
      </xdr:pic>
    </xdr:grpSp>
    <xdr:clientData/>
  </xdr:twoCellAnchor>
  <xdr:twoCellAnchor>
    <xdr:from>
      <xdr:col>17</xdr:col>
      <xdr:colOff>238125</xdr:colOff>
      <xdr:row>0</xdr:row>
      <xdr:rowOff>136525</xdr:rowOff>
    </xdr:from>
    <xdr:to>
      <xdr:col>20</xdr:col>
      <xdr:colOff>266700</xdr:colOff>
      <xdr:row>5</xdr:row>
      <xdr:rowOff>117474</xdr:rowOff>
    </xdr:to>
    <xdr:grpSp>
      <xdr:nvGrpSpPr>
        <xdr:cNvPr id="28" name="Agrupar 27">
          <a:hlinkClick xmlns:r="http://schemas.openxmlformats.org/officeDocument/2006/relationships" r:id="rId14"/>
          <a:extLst>
            <a:ext uri="{FF2B5EF4-FFF2-40B4-BE49-F238E27FC236}">
              <a16:creationId xmlns:a16="http://schemas.microsoft.com/office/drawing/2014/main" id="{00000000-0008-0000-0500-00001C000000}"/>
            </a:ext>
          </a:extLst>
        </xdr:cNvPr>
        <xdr:cNvGrpSpPr/>
      </xdr:nvGrpSpPr>
      <xdr:grpSpPr>
        <a:xfrm>
          <a:off x="8210550" y="136525"/>
          <a:ext cx="1028700" cy="933449"/>
          <a:chOff x="9267825" y="190500"/>
          <a:chExt cx="1028700" cy="933449"/>
        </a:xfrm>
      </xdr:grpSpPr>
      <xdr:sp macro="" textlink="">
        <xdr:nvSpPr>
          <xdr:cNvPr id="29" name="Retângulo 28">
            <a:extLst>
              <a:ext uri="{FF2B5EF4-FFF2-40B4-BE49-F238E27FC236}">
                <a16:creationId xmlns:a16="http://schemas.microsoft.com/office/drawing/2014/main" id="{00000000-0008-0000-0500-00001D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30" name="Gráfico 29" descr="Ligar">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clientData/>
  </xdr:twoCellAnchor>
  <xdr:twoCellAnchor>
    <xdr:from>
      <xdr:col>20</xdr:col>
      <xdr:colOff>406400</xdr:colOff>
      <xdr:row>0</xdr:row>
      <xdr:rowOff>133350</xdr:rowOff>
    </xdr:from>
    <xdr:to>
      <xdr:col>22</xdr:col>
      <xdr:colOff>215900</xdr:colOff>
      <xdr:row>5</xdr:row>
      <xdr:rowOff>114299</xdr:rowOff>
    </xdr:to>
    <xdr:grpSp>
      <xdr:nvGrpSpPr>
        <xdr:cNvPr id="31" name="Agrupar 30">
          <a:hlinkClick xmlns:r="http://schemas.openxmlformats.org/officeDocument/2006/relationships" r:id="rId17"/>
          <a:extLst>
            <a:ext uri="{FF2B5EF4-FFF2-40B4-BE49-F238E27FC236}">
              <a16:creationId xmlns:a16="http://schemas.microsoft.com/office/drawing/2014/main" id="{00000000-0008-0000-0500-00001F000000}"/>
            </a:ext>
          </a:extLst>
        </xdr:cNvPr>
        <xdr:cNvGrpSpPr/>
      </xdr:nvGrpSpPr>
      <xdr:grpSpPr>
        <a:xfrm>
          <a:off x="9378950" y="133350"/>
          <a:ext cx="1028700" cy="933449"/>
          <a:chOff x="10531475" y="177800"/>
          <a:chExt cx="1028700" cy="933449"/>
        </a:xfrm>
      </xdr:grpSpPr>
      <xdr:sp macro="" textlink="">
        <xdr:nvSpPr>
          <xdr:cNvPr id="32" name="Retângulo 31">
            <a:extLst>
              <a:ext uri="{FF2B5EF4-FFF2-40B4-BE49-F238E27FC236}">
                <a16:creationId xmlns:a16="http://schemas.microsoft.com/office/drawing/2014/main" id="{00000000-0008-0000-0500-000020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33" name="Imagem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clientData/>
  </xdr:twoCellAnchor>
  <xdr:twoCellAnchor>
    <xdr:from>
      <xdr:col>8</xdr:col>
      <xdr:colOff>228600</xdr:colOff>
      <xdr:row>7</xdr:row>
      <xdr:rowOff>76200</xdr:rowOff>
    </xdr:from>
    <xdr:to>
      <xdr:col>9</xdr:col>
      <xdr:colOff>232915</xdr:colOff>
      <xdr:row>9</xdr:row>
      <xdr:rowOff>81472</xdr:rowOff>
    </xdr:to>
    <xdr:grpSp>
      <xdr:nvGrpSpPr>
        <xdr:cNvPr id="50" name="Agrupar 49">
          <a:hlinkClick xmlns:r="http://schemas.openxmlformats.org/officeDocument/2006/relationships" r:id="rId19"/>
          <a:extLst>
            <a:ext uri="{FF2B5EF4-FFF2-40B4-BE49-F238E27FC236}">
              <a16:creationId xmlns:a16="http://schemas.microsoft.com/office/drawing/2014/main" id="{00000000-0008-0000-0500-000032000000}"/>
            </a:ext>
          </a:extLst>
        </xdr:cNvPr>
        <xdr:cNvGrpSpPr/>
      </xdr:nvGrpSpPr>
      <xdr:grpSpPr>
        <a:xfrm>
          <a:off x="3619500" y="1485900"/>
          <a:ext cx="613915" cy="386272"/>
          <a:chOff x="5324476" y="1276350"/>
          <a:chExt cx="628650" cy="390525"/>
        </a:xfrm>
      </xdr:grpSpPr>
      <xdr:sp macro="" textlink="">
        <xdr:nvSpPr>
          <xdr:cNvPr id="63" name="Retângulo 62">
            <a:extLst>
              <a:ext uri="{FF2B5EF4-FFF2-40B4-BE49-F238E27FC236}">
                <a16:creationId xmlns:a16="http://schemas.microsoft.com/office/drawing/2014/main" id="{00000000-0008-0000-0500-00003F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4" name="Gráfico 63" descr="Dinheiro">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9</xdr:col>
      <xdr:colOff>353049</xdr:colOff>
      <xdr:row>7</xdr:row>
      <xdr:rowOff>98446</xdr:rowOff>
    </xdr:from>
    <xdr:to>
      <xdr:col>11</xdr:col>
      <xdr:colOff>19568</xdr:colOff>
      <xdr:row>9</xdr:row>
      <xdr:rowOff>73852</xdr:rowOff>
    </xdr:to>
    <xdr:grpSp>
      <xdr:nvGrpSpPr>
        <xdr:cNvPr id="51" name="Agrupar 50">
          <a:hlinkClick xmlns:r="http://schemas.openxmlformats.org/officeDocument/2006/relationships" r:id="rId22"/>
          <a:extLst>
            <a:ext uri="{FF2B5EF4-FFF2-40B4-BE49-F238E27FC236}">
              <a16:creationId xmlns:a16="http://schemas.microsoft.com/office/drawing/2014/main" id="{00000000-0008-0000-0500-000033000000}"/>
            </a:ext>
          </a:extLst>
        </xdr:cNvPr>
        <xdr:cNvGrpSpPr/>
      </xdr:nvGrpSpPr>
      <xdr:grpSpPr>
        <a:xfrm>
          <a:off x="4353549" y="1508146"/>
          <a:ext cx="619019" cy="356406"/>
          <a:chOff x="6229350" y="1300613"/>
          <a:chExt cx="647700" cy="375787"/>
        </a:xfrm>
      </xdr:grpSpPr>
      <xdr:sp macro="" textlink="">
        <xdr:nvSpPr>
          <xdr:cNvPr id="55" name="Retângulo 54">
            <a:extLst>
              <a:ext uri="{FF2B5EF4-FFF2-40B4-BE49-F238E27FC236}">
                <a16:creationId xmlns:a16="http://schemas.microsoft.com/office/drawing/2014/main" id="{00000000-0008-0000-0500-000037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2" name="Gráfico 61" descr="Gráfico de barras">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12</xdr:col>
      <xdr:colOff>20260</xdr:colOff>
      <xdr:row>7</xdr:row>
      <xdr:rowOff>90827</xdr:rowOff>
    </xdr:from>
    <xdr:to>
      <xdr:col>13</xdr:col>
      <xdr:colOff>53939</xdr:colOff>
      <xdr:row>9</xdr:row>
      <xdr:rowOff>75803</xdr:rowOff>
    </xdr:to>
    <xdr:grpSp>
      <xdr:nvGrpSpPr>
        <xdr:cNvPr id="23" name="Agrupar 22">
          <a:hlinkClick xmlns:r="http://schemas.openxmlformats.org/officeDocument/2006/relationships" r:id="rId25"/>
          <a:extLst>
            <a:ext uri="{FF2B5EF4-FFF2-40B4-BE49-F238E27FC236}">
              <a16:creationId xmlns:a16="http://schemas.microsoft.com/office/drawing/2014/main" id="{00000000-0008-0000-0500-000017000000}"/>
            </a:ext>
          </a:extLst>
        </xdr:cNvPr>
        <xdr:cNvGrpSpPr/>
      </xdr:nvGrpSpPr>
      <xdr:grpSpPr>
        <a:xfrm>
          <a:off x="5087560" y="1500527"/>
          <a:ext cx="643279" cy="365976"/>
          <a:chOff x="5087560" y="1500527"/>
          <a:chExt cx="643279" cy="365976"/>
        </a:xfrm>
      </xdr:grpSpPr>
      <xdr:sp macro="" textlink="">
        <xdr:nvSpPr>
          <xdr:cNvPr id="53" name="Retângulo 52">
            <a:extLst>
              <a:ext uri="{FF2B5EF4-FFF2-40B4-BE49-F238E27FC236}">
                <a16:creationId xmlns:a16="http://schemas.microsoft.com/office/drawing/2014/main" id="{00000000-0008-0000-0500-000035000000}"/>
              </a:ext>
            </a:extLst>
          </xdr:cNvPr>
          <xdr:cNvSpPr/>
        </xdr:nvSpPr>
        <xdr:spPr>
          <a:xfrm>
            <a:off x="5087560" y="1500527"/>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8" name="Gráfico 37" descr="Lixo">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257800" y="1524000"/>
            <a:ext cx="304800" cy="30480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0</xdr:row>
      <xdr:rowOff>142875</xdr:rowOff>
    </xdr:from>
    <xdr:to>
      <xdr:col>2</xdr:col>
      <xdr:colOff>361950</xdr:colOff>
      <xdr:row>5</xdr:row>
      <xdr:rowOff>123824</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0600-000002000000}"/>
            </a:ext>
          </a:extLst>
        </xdr:cNvPr>
        <xdr:cNvGrpSpPr/>
      </xdr:nvGrpSpPr>
      <xdr:grpSpPr>
        <a:xfrm>
          <a:off x="57150" y="142875"/>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6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clientData/>
  </xdr:twoCellAnchor>
  <xdr:twoCellAnchor>
    <xdr:from>
      <xdr:col>5</xdr:col>
      <xdr:colOff>295275</xdr:colOff>
      <xdr:row>0</xdr:row>
      <xdr:rowOff>152400</xdr:rowOff>
    </xdr:from>
    <xdr:to>
      <xdr:col>8</xdr:col>
      <xdr:colOff>171450</xdr:colOff>
      <xdr:row>5</xdr:row>
      <xdr:rowOff>133349</xdr:rowOff>
    </xdr:to>
    <xdr:grpSp>
      <xdr:nvGrpSpPr>
        <xdr:cNvPr id="6" name="Agrupar 5">
          <a:hlinkClick xmlns:r="http://schemas.openxmlformats.org/officeDocument/2006/relationships" r:id="rId3"/>
          <a:extLst>
            <a:ext uri="{FF2B5EF4-FFF2-40B4-BE49-F238E27FC236}">
              <a16:creationId xmlns:a16="http://schemas.microsoft.com/office/drawing/2014/main" id="{00000000-0008-0000-0600-000006000000}"/>
            </a:ext>
          </a:extLst>
        </xdr:cNvPr>
        <xdr:cNvGrpSpPr/>
      </xdr:nvGrpSpPr>
      <xdr:grpSpPr>
        <a:xfrm>
          <a:off x="2352675" y="152400"/>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6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clientData/>
  </xdr:twoCellAnchor>
  <xdr:twoCellAnchor>
    <xdr:from>
      <xdr:col>11</xdr:col>
      <xdr:colOff>9525</xdr:colOff>
      <xdr:row>0</xdr:row>
      <xdr:rowOff>152400</xdr:rowOff>
    </xdr:from>
    <xdr:to>
      <xdr:col>13</xdr:col>
      <xdr:colOff>314325</xdr:colOff>
      <xdr:row>5</xdr:row>
      <xdr:rowOff>133349</xdr:rowOff>
    </xdr:to>
    <xdr:grpSp>
      <xdr:nvGrpSpPr>
        <xdr:cNvPr id="9" name="Agrupar 8">
          <a:hlinkClick xmlns:r="http://schemas.openxmlformats.org/officeDocument/2006/relationships" r:id="rId5"/>
          <a:extLst>
            <a:ext uri="{FF2B5EF4-FFF2-40B4-BE49-F238E27FC236}">
              <a16:creationId xmlns:a16="http://schemas.microsoft.com/office/drawing/2014/main" id="{00000000-0008-0000-0600-000009000000}"/>
            </a:ext>
          </a:extLst>
        </xdr:cNvPr>
        <xdr:cNvGrpSpPr/>
      </xdr:nvGrpSpPr>
      <xdr:grpSpPr>
        <a:xfrm>
          <a:off x="4676775" y="152400"/>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6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clientData/>
  </xdr:twoCellAnchor>
  <xdr:twoCellAnchor>
    <xdr:from>
      <xdr:col>2</xdr:col>
      <xdr:colOff>466725</xdr:colOff>
      <xdr:row>0</xdr:row>
      <xdr:rowOff>152400</xdr:rowOff>
    </xdr:from>
    <xdr:to>
      <xdr:col>5</xdr:col>
      <xdr:colOff>161925</xdr:colOff>
      <xdr:row>5</xdr:row>
      <xdr:rowOff>133349</xdr:rowOff>
    </xdr:to>
    <xdr:grpSp>
      <xdr:nvGrpSpPr>
        <xdr:cNvPr id="12" name="Agrupar 11">
          <a:hlinkClick xmlns:r="http://schemas.openxmlformats.org/officeDocument/2006/relationships" r:id="rId7"/>
          <a:extLst>
            <a:ext uri="{FF2B5EF4-FFF2-40B4-BE49-F238E27FC236}">
              <a16:creationId xmlns:a16="http://schemas.microsoft.com/office/drawing/2014/main" id="{00000000-0008-0000-0600-00000C000000}"/>
            </a:ext>
          </a:extLst>
        </xdr:cNvPr>
        <xdr:cNvGrpSpPr/>
      </xdr:nvGrpSpPr>
      <xdr:grpSpPr>
        <a:xfrm>
          <a:off x="1190625" y="152400"/>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6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clientData/>
  </xdr:twoCellAnchor>
  <xdr:twoCellAnchor>
    <xdr:from>
      <xdr:col>8</xdr:col>
      <xdr:colOff>295275</xdr:colOff>
      <xdr:row>0</xdr:row>
      <xdr:rowOff>152400</xdr:rowOff>
    </xdr:from>
    <xdr:to>
      <xdr:col>10</xdr:col>
      <xdr:colOff>104775</xdr:colOff>
      <xdr:row>5</xdr:row>
      <xdr:rowOff>133349</xdr:rowOff>
    </xdr:to>
    <xdr:grpSp>
      <xdr:nvGrpSpPr>
        <xdr:cNvPr id="15" name="Agrupar 14">
          <a:hlinkClick xmlns:r="http://schemas.openxmlformats.org/officeDocument/2006/relationships" r:id="rId9"/>
          <a:extLst>
            <a:ext uri="{FF2B5EF4-FFF2-40B4-BE49-F238E27FC236}">
              <a16:creationId xmlns:a16="http://schemas.microsoft.com/office/drawing/2014/main" id="{00000000-0008-0000-0600-00000F000000}"/>
            </a:ext>
          </a:extLst>
        </xdr:cNvPr>
        <xdr:cNvGrpSpPr/>
      </xdr:nvGrpSpPr>
      <xdr:grpSpPr>
        <a:xfrm>
          <a:off x="3505200" y="152400"/>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6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clientData/>
  </xdr:twoCellAnchor>
  <xdr:twoCellAnchor>
    <xdr:from>
      <xdr:col>13</xdr:col>
      <xdr:colOff>447675</xdr:colOff>
      <xdr:row>0</xdr:row>
      <xdr:rowOff>152400</xdr:rowOff>
    </xdr:from>
    <xdr:to>
      <xdr:col>15</xdr:col>
      <xdr:colOff>104775</xdr:colOff>
      <xdr:row>5</xdr:row>
      <xdr:rowOff>133349</xdr:rowOff>
    </xdr:to>
    <xdr:grpSp>
      <xdr:nvGrpSpPr>
        <xdr:cNvPr id="22" name="Agrupar 21">
          <a:hlinkClick xmlns:r="http://schemas.openxmlformats.org/officeDocument/2006/relationships" r:id="rId11"/>
          <a:extLst>
            <a:ext uri="{FF2B5EF4-FFF2-40B4-BE49-F238E27FC236}">
              <a16:creationId xmlns:a16="http://schemas.microsoft.com/office/drawing/2014/main" id="{00000000-0008-0000-0600-000016000000}"/>
            </a:ext>
          </a:extLst>
        </xdr:cNvPr>
        <xdr:cNvGrpSpPr/>
      </xdr:nvGrpSpPr>
      <xdr:grpSpPr>
        <a:xfrm>
          <a:off x="5838825" y="152400"/>
          <a:ext cx="1028700" cy="933449"/>
          <a:chOff x="6591300" y="209550"/>
          <a:chExt cx="1028700" cy="933449"/>
        </a:xfrm>
      </xdr:grpSpPr>
      <xdr:sp macro="" textlink="">
        <xdr:nvSpPr>
          <xdr:cNvPr id="5" name="Retângulo 4">
            <a:extLst>
              <a:ext uri="{FF2B5EF4-FFF2-40B4-BE49-F238E27FC236}">
                <a16:creationId xmlns:a16="http://schemas.microsoft.com/office/drawing/2014/main" id="{00000000-0008-0000-0600-000005000000}"/>
              </a:ext>
            </a:extLst>
          </xdr:cNvPr>
          <xdr:cNvSpPr/>
        </xdr:nvSpPr>
        <xdr:spPr>
          <a:xfrm>
            <a:off x="6591300"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clientData/>
  </xdr:twoCellAnchor>
  <xdr:twoCellAnchor>
    <xdr:from>
      <xdr:col>16</xdr:col>
      <xdr:colOff>104775</xdr:colOff>
      <xdr:row>0</xdr:row>
      <xdr:rowOff>161925</xdr:rowOff>
    </xdr:from>
    <xdr:to>
      <xdr:col>17</xdr:col>
      <xdr:colOff>523875</xdr:colOff>
      <xdr:row>5</xdr:row>
      <xdr:rowOff>142874</xdr:rowOff>
    </xdr:to>
    <xdr:grpSp>
      <xdr:nvGrpSpPr>
        <xdr:cNvPr id="21" name="Agrupar 20">
          <a:extLst>
            <a:ext uri="{FF2B5EF4-FFF2-40B4-BE49-F238E27FC236}">
              <a16:creationId xmlns:a16="http://schemas.microsoft.com/office/drawing/2014/main" id="{00000000-0008-0000-0600-000015000000}"/>
            </a:ext>
          </a:extLst>
        </xdr:cNvPr>
        <xdr:cNvGrpSpPr/>
      </xdr:nvGrpSpPr>
      <xdr:grpSpPr>
        <a:xfrm>
          <a:off x="6981825" y="161925"/>
          <a:ext cx="1028700" cy="933449"/>
          <a:chOff x="7905750" y="190500"/>
          <a:chExt cx="1028700" cy="933449"/>
        </a:xfrm>
      </xdr:grpSpPr>
      <xdr:sp macro="" textlink="">
        <xdr:nvSpPr>
          <xdr:cNvPr id="18" name="Retângulo 17">
            <a:extLst>
              <a:ext uri="{FF2B5EF4-FFF2-40B4-BE49-F238E27FC236}">
                <a16:creationId xmlns:a16="http://schemas.microsoft.com/office/drawing/2014/main" id="{00000000-0008-0000-0600-000012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56629" y="241554"/>
            <a:ext cx="553996" cy="553996"/>
          </a:xfrm>
          <a:prstGeom prst="rect">
            <a:avLst/>
          </a:prstGeom>
        </xdr:spPr>
      </xdr:pic>
    </xdr:grpSp>
    <xdr:clientData/>
  </xdr:twoCellAnchor>
  <xdr:twoCellAnchor>
    <xdr:from>
      <xdr:col>18</xdr:col>
      <xdr:colOff>47625</xdr:colOff>
      <xdr:row>0</xdr:row>
      <xdr:rowOff>155575</xdr:rowOff>
    </xdr:from>
    <xdr:to>
      <xdr:col>21</xdr:col>
      <xdr:colOff>114300</xdr:colOff>
      <xdr:row>5</xdr:row>
      <xdr:rowOff>136524</xdr:rowOff>
    </xdr:to>
    <xdr:grpSp>
      <xdr:nvGrpSpPr>
        <xdr:cNvPr id="27" name="Agrupar 26">
          <a:hlinkClick xmlns:r="http://schemas.openxmlformats.org/officeDocument/2006/relationships" r:id="rId14"/>
          <a:extLst>
            <a:ext uri="{FF2B5EF4-FFF2-40B4-BE49-F238E27FC236}">
              <a16:creationId xmlns:a16="http://schemas.microsoft.com/office/drawing/2014/main" id="{00000000-0008-0000-0600-00001B000000}"/>
            </a:ext>
          </a:extLst>
        </xdr:cNvPr>
        <xdr:cNvGrpSpPr/>
      </xdr:nvGrpSpPr>
      <xdr:grpSpPr>
        <a:xfrm>
          <a:off x="8143875" y="155575"/>
          <a:ext cx="1028700" cy="933449"/>
          <a:chOff x="9267825" y="190500"/>
          <a:chExt cx="1028700" cy="933449"/>
        </a:xfrm>
      </xdr:grpSpPr>
      <xdr:sp macro="" textlink="">
        <xdr:nvSpPr>
          <xdr:cNvPr id="28" name="Retângulo 27">
            <a:extLst>
              <a:ext uri="{FF2B5EF4-FFF2-40B4-BE49-F238E27FC236}">
                <a16:creationId xmlns:a16="http://schemas.microsoft.com/office/drawing/2014/main" id="{00000000-0008-0000-0600-00001C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9" name="Gráfico 28" descr="Ligar">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clientData/>
  </xdr:twoCellAnchor>
  <xdr:twoCellAnchor>
    <xdr:from>
      <xdr:col>21</xdr:col>
      <xdr:colOff>244475</xdr:colOff>
      <xdr:row>0</xdr:row>
      <xdr:rowOff>152400</xdr:rowOff>
    </xdr:from>
    <xdr:to>
      <xdr:col>22</xdr:col>
      <xdr:colOff>663575</xdr:colOff>
      <xdr:row>5</xdr:row>
      <xdr:rowOff>133349</xdr:rowOff>
    </xdr:to>
    <xdr:grpSp>
      <xdr:nvGrpSpPr>
        <xdr:cNvPr id="30" name="Agrupar 29">
          <a:hlinkClick xmlns:r="http://schemas.openxmlformats.org/officeDocument/2006/relationships" r:id="rId17"/>
          <a:extLst>
            <a:ext uri="{FF2B5EF4-FFF2-40B4-BE49-F238E27FC236}">
              <a16:creationId xmlns:a16="http://schemas.microsoft.com/office/drawing/2014/main" id="{00000000-0008-0000-0600-00001E000000}"/>
            </a:ext>
          </a:extLst>
        </xdr:cNvPr>
        <xdr:cNvGrpSpPr/>
      </xdr:nvGrpSpPr>
      <xdr:grpSpPr>
        <a:xfrm>
          <a:off x="9302750" y="152400"/>
          <a:ext cx="1028700" cy="933449"/>
          <a:chOff x="10531475" y="177800"/>
          <a:chExt cx="1028700" cy="933449"/>
        </a:xfrm>
      </xdr:grpSpPr>
      <xdr:sp macro="" textlink="">
        <xdr:nvSpPr>
          <xdr:cNvPr id="31" name="Retângulo 30">
            <a:extLst>
              <a:ext uri="{FF2B5EF4-FFF2-40B4-BE49-F238E27FC236}">
                <a16:creationId xmlns:a16="http://schemas.microsoft.com/office/drawing/2014/main" id="{00000000-0008-0000-0600-00001F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32" name="Imagem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clientData/>
  </xdr:twoCellAnchor>
  <xdr:twoCellAnchor>
    <xdr:from>
      <xdr:col>9</xdr:col>
      <xdr:colOff>0</xdr:colOff>
      <xdr:row>7</xdr:row>
      <xdr:rowOff>66675</xdr:rowOff>
    </xdr:from>
    <xdr:to>
      <xdr:col>10</xdr:col>
      <xdr:colOff>4315</xdr:colOff>
      <xdr:row>9</xdr:row>
      <xdr:rowOff>71947</xdr:rowOff>
    </xdr:to>
    <xdr:grpSp>
      <xdr:nvGrpSpPr>
        <xdr:cNvPr id="40" name="Agrupar 39">
          <a:hlinkClick xmlns:r="http://schemas.openxmlformats.org/officeDocument/2006/relationships" r:id="rId19"/>
          <a:extLst>
            <a:ext uri="{FF2B5EF4-FFF2-40B4-BE49-F238E27FC236}">
              <a16:creationId xmlns:a16="http://schemas.microsoft.com/office/drawing/2014/main" id="{00000000-0008-0000-0600-000028000000}"/>
            </a:ext>
          </a:extLst>
        </xdr:cNvPr>
        <xdr:cNvGrpSpPr/>
      </xdr:nvGrpSpPr>
      <xdr:grpSpPr>
        <a:xfrm>
          <a:off x="3819525" y="1476375"/>
          <a:ext cx="613915" cy="386272"/>
          <a:chOff x="5324476" y="1276350"/>
          <a:chExt cx="628650" cy="390525"/>
        </a:xfrm>
      </xdr:grpSpPr>
      <xdr:sp macro="" textlink="">
        <xdr:nvSpPr>
          <xdr:cNvPr id="47" name="Retângulo 46">
            <a:extLst>
              <a:ext uri="{FF2B5EF4-FFF2-40B4-BE49-F238E27FC236}">
                <a16:creationId xmlns:a16="http://schemas.microsoft.com/office/drawing/2014/main" id="{00000000-0008-0000-0600-00002F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8" name="Gráfico 47" descr="Dinheiro">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10</xdr:col>
      <xdr:colOff>124449</xdr:colOff>
      <xdr:row>7</xdr:row>
      <xdr:rowOff>88921</xdr:rowOff>
    </xdr:from>
    <xdr:to>
      <xdr:col>12</xdr:col>
      <xdr:colOff>391043</xdr:colOff>
      <xdr:row>9</xdr:row>
      <xdr:rowOff>64327</xdr:rowOff>
    </xdr:to>
    <xdr:grpSp>
      <xdr:nvGrpSpPr>
        <xdr:cNvPr id="41" name="Agrupar 40">
          <a:hlinkClick xmlns:r="http://schemas.openxmlformats.org/officeDocument/2006/relationships" r:id="rId22"/>
          <a:extLst>
            <a:ext uri="{FF2B5EF4-FFF2-40B4-BE49-F238E27FC236}">
              <a16:creationId xmlns:a16="http://schemas.microsoft.com/office/drawing/2014/main" id="{00000000-0008-0000-0600-000029000000}"/>
            </a:ext>
          </a:extLst>
        </xdr:cNvPr>
        <xdr:cNvGrpSpPr/>
      </xdr:nvGrpSpPr>
      <xdr:grpSpPr>
        <a:xfrm>
          <a:off x="4553574" y="1498621"/>
          <a:ext cx="619019" cy="356406"/>
          <a:chOff x="6229350" y="1300613"/>
          <a:chExt cx="647700" cy="375787"/>
        </a:xfrm>
      </xdr:grpSpPr>
      <xdr:sp macro="" textlink="">
        <xdr:nvSpPr>
          <xdr:cNvPr id="45" name="Retângulo 44">
            <a:extLst>
              <a:ext uri="{FF2B5EF4-FFF2-40B4-BE49-F238E27FC236}">
                <a16:creationId xmlns:a16="http://schemas.microsoft.com/office/drawing/2014/main" id="{00000000-0008-0000-0600-00002D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6" name="Gráfico 45" descr="Gráfico de barras">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12</xdr:col>
      <xdr:colOff>506035</xdr:colOff>
      <xdr:row>7</xdr:row>
      <xdr:rowOff>81302</xdr:rowOff>
    </xdr:from>
    <xdr:to>
      <xdr:col>13</xdr:col>
      <xdr:colOff>539714</xdr:colOff>
      <xdr:row>9</xdr:row>
      <xdr:rowOff>66278</xdr:rowOff>
    </xdr:to>
    <xdr:grpSp>
      <xdr:nvGrpSpPr>
        <xdr:cNvPr id="23" name="Agrupar 22">
          <a:hlinkClick xmlns:r="http://schemas.openxmlformats.org/officeDocument/2006/relationships" r:id="rId25"/>
          <a:extLst>
            <a:ext uri="{FF2B5EF4-FFF2-40B4-BE49-F238E27FC236}">
              <a16:creationId xmlns:a16="http://schemas.microsoft.com/office/drawing/2014/main" id="{00000000-0008-0000-0600-000017000000}"/>
            </a:ext>
          </a:extLst>
        </xdr:cNvPr>
        <xdr:cNvGrpSpPr/>
      </xdr:nvGrpSpPr>
      <xdr:grpSpPr>
        <a:xfrm>
          <a:off x="5287585" y="1491002"/>
          <a:ext cx="643279" cy="365976"/>
          <a:chOff x="5287585" y="1491002"/>
          <a:chExt cx="643279" cy="365976"/>
        </a:xfrm>
      </xdr:grpSpPr>
      <xdr:sp macro="" textlink="">
        <xdr:nvSpPr>
          <xdr:cNvPr id="43" name="Retângulo 42">
            <a:extLst>
              <a:ext uri="{FF2B5EF4-FFF2-40B4-BE49-F238E27FC236}">
                <a16:creationId xmlns:a16="http://schemas.microsoft.com/office/drawing/2014/main" id="{00000000-0008-0000-0600-00002B000000}"/>
              </a:ext>
            </a:extLst>
          </xdr:cNvPr>
          <xdr:cNvSpPr/>
        </xdr:nvSpPr>
        <xdr:spPr>
          <a:xfrm>
            <a:off x="5287585" y="1491002"/>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8" name="Gráfico 37" descr="Lixo">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448300" y="1504950"/>
            <a:ext cx="304800" cy="30480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133350</xdr:rowOff>
    </xdr:from>
    <xdr:to>
      <xdr:col>2</xdr:col>
      <xdr:colOff>267414</xdr:colOff>
      <xdr:row>5</xdr:row>
      <xdr:rowOff>114299</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0700-000002000000}"/>
            </a:ext>
          </a:extLst>
        </xdr:cNvPr>
        <xdr:cNvGrpSpPr/>
      </xdr:nvGrpSpPr>
      <xdr:grpSpPr>
        <a:xfrm>
          <a:off x="0" y="133350"/>
          <a:ext cx="991314"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7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clientData/>
  </xdr:twoCellAnchor>
  <xdr:twoCellAnchor>
    <xdr:from>
      <xdr:col>5</xdr:col>
      <xdr:colOff>349532</xdr:colOff>
      <xdr:row>0</xdr:row>
      <xdr:rowOff>142875</xdr:rowOff>
    </xdr:from>
    <xdr:to>
      <xdr:col>8</xdr:col>
      <xdr:colOff>359771</xdr:colOff>
      <xdr:row>5</xdr:row>
      <xdr:rowOff>123824</xdr:rowOff>
    </xdr:to>
    <xdr:grpSp>
      <xdr:nvGrpSpPr>
        <xdr:cNvPr id="6" name="Agrupar 5">
          <a:hlinkClick xmlns:r="http://schemas.openxmlformats.org/officeDocument/2006/relationships" r:id="rId3"/>
          <a:extLst>
            <a:ext uri="{FF2B5EF4-FFF2-40B4-BE49-F238E27FC236}">
              <a16:creationId xmlns:a16="http://schemas.microsoft.com/office/drawing/2014/main" id="{00000000-0008-0000-0700-000006000000}"/>
            </a:ext>
          </a:extLst>
        </xdr:cNvPr>
        <xdr:cNvGrpSpPr/>
      </xdr:nvGrpSpPr>
      <xdr:grpSpPr>
        <a:xfrm>
          <a:off x="2197382" y="142875"/>
          <a:ext cx="991314"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7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clientData/>
  </xdr:twoCellAnchor>
  <xdr:twoCellAnchor>
    <xdr:from>
      <xdr:col>12</xdr:col>
      <xdr:colOff>20366</xdr:colOff>
      <xdr:row>0</xdr:row>
      <xdr:rowOff>142875</xdr:rowOff>
    </xdr:from>
    <xdr:to>
      <xdr:col>13</xdr:col>
      <xdr:colOff>402080</xdr:colOff>
      <xdr:row>5</xdr:row>
      <xdr:rowOff>123824</xdr:rowOff>
    </xdr:to>
    <xdr:grpSp>
      <xdr:nvGrpSpPr>
        <xdr:cNvPr id="9" name="Agrupar 8">
          <a:hlinkClick xmlns:r="http://schemas.openxmlformats.org/officeDocument/2006/relationships" r:id="rId5"/>
          <a:extLst>
            <a:ext uri="{FF2B5EF4-FFF2-40B4-BE49-F238E27FC236}">
              <a16:creationId xmlns:a16="http://schemas.microsoft.com/office/drawing/2014/main" id="{00000000-0008-0000-0700-000009000000}"/>
            </a:ext>
          </a:extLst>
        </xdr:cNvPr>
        <xdr:cNvGrpSpPr/>
      </xdr:nvGrpSpPr>
      <xdr:grpSpPr>
        <a:xfrm>
          <a:off x="4401866" y="142875"/>
          <a:ext cx="991314"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7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clientData/>
  </xdr:twoCellAnchor>
  <xdr:twoCellAnchor>
    <xdr:from>
      <xdr:col>2</xdr:col>
      <xdr:colOff>374791</xdr:colOff>
      <xdr:row>0</xdr:row>
      <xdr:rowOff>142875</xdr:rowOff>
    </xdr:from>
    <xdr:to>
      <xdr:col>5</xdr:col>
      <xdr:colOff>242155</xdr:colOff>
      <xdr:row>5</xdr:row>
      <xdr:rowOff>123824</xdr:rowOff>
    </xdr:to>
    <xdr:grpSp>
      <xdr:nvGrpSpPr>
        <xdr:cNvPr id="12" name="Agrupar 11">
          <a:hlinkClick xmlns:r="http://schemas.openxmlformats.org/officeDocument/2006/relationships" r:id="rId7"/>
          <a:extLst>
            <a:ext uri="{FF2B5EF4-FFF2-40B4-BE49-F238E27FC236}">
              <a16:creationId xmlns:a16="http://schemas.microsoft.com/office/drawing/2014/main" id="{00000000-0008-0000-0700-00000C000000}"/>
            </a:ext>
          </a:extLst>
        </xdr:cNvPr>
        <xdr:cNvGrpSpPr/>
      </xdr:nvGrpSpPr>
      <xdr:grpSpPr>
        <a:xfrm>
          <a:off x="1098691" y="142875"/>
          <a:ext cx="991314"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7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clientData/>
  </xdr:twoCellAnchor>
  <xdr:twoCellAnchor>
    <xdr:from>
      <xdr:col>8</xdr:col>
      <xdr:colOff>466456</xdr:colOff>
      <xdr:row>0</xdr:row>
      <xdr:rowOff>142875</xdr:rowOff>
    </xdr:from>
    <xdr:to>
      <xdr:col>11</xdr:col>
      <xdr:colOff>57150</xdr:colOff>
      <xdr:row>5</xdr:row>
      <xdr:rowOff>114300</xdr:rowOff>
    </xdr:to>
    <xdr:grpSp>
      <xdr:nvGrpSpPr>
        <xdr:cNvPr id="15" name="Agrupar 14">
          <a:hlinkClick xmlns:r="http://schemas.openxmlformats.org/officeDocument/2006/relationships" r:id="rId9"/>
          <a:extLst>
            <a:ext uri="{FF2B5EF4-FFF2-40B4-BE49-F238E27FC236}">
              <a16:creationId xmlns:a16="http://schemas.microsoft.com/office/drawing/2014/main" id="{00000000-0008-0000-0700-00000F000000}"/>
            </a:ext>
          </a:extLst>
        </xdr:cNvPr>
        <xdr:cNvGrpSpPr/>
      </xdr:nvGrpSpPr>
      <xdr:grpSpPr>
        <a:xfrm>
          <a:off x="3295381" y="142875"/>
          <a:ext cx="1028969" cy="923925"/>
          <a:chOff x="6095999" y="2286000"/>
          <a:chExt cx="1067775" cy="923925"/>
        </a:xfrm>
        <a:solidFill>
          <a:srgbClr val="00B0F0"/>
        </a:solidFill>
      </xdr:grpSpPr>
      <xdr:sp macro="" textlink="">
        <xdr:nvSpPr>
          <xdr:cNvPr id="16" name="Retângulo 15">
            <a:extLst>
              <a:ext uri="{FF2B5EF4-FFF2-40B4-BE49-F238E27FC236}">
                <a16:creationId xmlns:a16="http://schemas.microsoft.com/office/drawing/2014/main" id="{00000000-0008-0000-0700-000010000000}"/>
              </a:ext>
            </a:extLst>
          </xdr:cNvPr>
          <xdr:cNvSpPr/>
        </xdr:nvSpPr>
        <xdr:spPr>
          <a:xfrm>
            <a:off x="6095999" y="2286000"/>
            <a:ext cx="1067775" cy="923925"/>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6" y="2371725"/>
            <a:ext cx="608991" cy="608990"/>
          </a:xfrm>
          <a:prstGeom prst="rect">
            <a:avLst/>
          </a:prstGeom>
          <a:grpFill/>
        </xdr:spPr>
      </xdr:pic>
    </xdr:grpSp>
    <xdr:clientData/>
  </xdr:twoCellAnchor>
  <xdr:twoCellAnchor>
    <xdr:from>
      <xdr:col>13</xdr:col>
      <xdr:colOff>545826</xdr:colOff>
      <xdr:row>0</xdr:row>
      <xdr:rowOff>142875</xdr:rowOff>
    </xdr:from>
    <xdr:to>
      <xdr:col>17</xdr:col>
      <xdr:colOff>41715</xdr:colOff>
      <xdr:row>5</xdr:row>
      <xdr:rowOff>123824</xdr:rowOff>
    </xdr:to>
    <xdr:grpSp>
      <xdr:nvGrpSpPr>
        <xdr:cNvPr id="28" name="Agrupar 27">
          <a:hlinkClick xmlns:r="http://schemas.openxmlformats.org/officeDocument/2006/relationships" r:id="rId11"/>
          <a:extLst>
            <a:ext uri="{FF2B5EF4-FFF2-40B4-BE49-F238E27FC236}">
              <a16:creationId xmlns:a16="http://schemas.microsoft.com/office/drawing/2014/main" id="{00000000-0008-0000-0700-00001C000000}"/>
            </a:ext>
          </a:extLst>
        </xdr:cNvPr>
        <xdr:cNvGrpSpPr/>
      </xdr:nvGrpSpPr>
      <xdr:grpSpPr>
        <a:xfrm>
          <a:off x="5536926" y="142875"/>
          <a:ext cx="991314" cy="933449"/>
          <a:chOff x="6562725" y="209550"/>
          <a:chExt cx="1028700" cy="933449"/>
        </a:xfrm>
      </xdr:grpSpPr>
      <xdr:sp macro="" textlink="">
        <xdr:nvSpPr>
          <xdr:cNvPr id="5" name="Retângulo 4">
            <a:extLst>
              <a:ext uri="{FF2B5EF4-FFF2-40B4-BE49-F238E27FC236}">
                <a16:creationId xmlns:a16="http://schemas.microsoft.com/office/drawing/2014/main" id="{00000000-0008-0000-0700-000005000000}"/>
              </a:ext>
            </a:extLst>
          </xdr:cNvPr>
          <xdr:cNvSpPr/>
        </xdr:nvSpPr>
        <xdr:spPr>
          <a:xfrm>
            <a:off x="656272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clientData/>
  </xdr:twoCellAnchor>
  <xdr:twoCellAnchor>
    <xdr:from>
      <xdr:col>17</xdr:col>
      <xdr:colOff>195679</xdr:colOff>
      <xdr:row>0</xdr:row>
      <xdr:rowOff>152400</xdr:rowOff>
    </xdr:from>
    <xdr:to>
      <xdr:col>20</xdr:col>
      <xdr:colOff>244018</xdr:colOff>
      <xdr:row>5</xdr:row>
      <xdr:rowOff>133349</xdr:rowOff>
    </xdr:to>
    <xdr:grpSp>
      <xdr:nvGrpSpPr>
        <xdr:cNvPr id="27" name="Agrupar 26">
          <a:hlinkClick xmlns:r="http://schemas.openxmlformats.org/officeDocument/2006/relationships" r:id="rId13"/>
          <a:extLst>
            <a:ext uri="{FF2B5EF4-FFF2-40B4-BE49-F238E27FC236}">
              <a16:creationId xmlns:a16="http://schemas.microsoft.com/office/drawing/2014/main" id="{00000000-0008-0000-0700-00001B000000}"/>
            </a:ext>
          </a:extLst>
        </xdr:cNvPr>
        <xdr:cNvGrpSpPr/>
      </xdr:nvGrpSpPr>
      <xdr:grpSpPr>
        <a:xfrm>
          <a:off x="6682204" y="152400"/>
          <a:ext cx="991314" cy="933449"/>
          <a:chOff x="7905750" y="190500"/>
          <a:chExt cx="1028700" cy="933449"/>
        </a:xfrm>
      </xdr:grpSpPr>
      <xdr:sp macro="" textlink="">
        <xdr:nvSpPr>
          <xdr:cNvPr id="18" name="Retângulo 17">
            <a:extLst>
              <a:ext uri="{FF2B5EF4-FFF2-40B4-BE49-F238E27FC236}">
                <a16:creationId xmlns:a16="http://schemas.microsoft.com/office/drawing/2014/main" id="{00000000-0008-0000-0700-000012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clientData/>
  </xdr:twoCellAnchor>
  <xdr:twoCellAnchor>
    <xdr:from>
      <xdr:col>20</xdr:col>
      <xdr:colOff>378931</xdr:colOff>
      <xdr:row>0</xdr:row>
      <xdr:rowOff>146050</xdr:rowOff>
    </xdr:from>
    <xdr:to>
      <xdr:col>23</xdr:col>
      <xdr:colOff>8170</xdr:colOff>
      <xdr:row>5</xdr:row>
      <xdr:rowOff>126999</xdr:rowOff>
    </xdr:to>
    <xdr:grpSp>
      <xdr:nvGrpSpPr>
        <xdr:cNvPr id="21" name="Agrupar 20">
          <a:extLst>
            <a:ext uri="{FF2B5EF4-FFF2-40B4-BE49-F238E27FC236}">
              <a16:creationId xmlns:a16="http://schemas.microsoft.com/office/drawing/2014/main" id="{00000000-0008-0000-0700-000015000000}"/>
            </a:ext>
          </a:extLst>
        </xdr:cNvPr>
        <xdr:cNvGrpSpPr/>
      </xdr:nvGrpSpPr>
      <xdr:grpSpPr>
        <a:xfrm>
          <a:off x="7808431" y="146050"/>
          <a:ext cx="991314" cy="933449"/>
          <a:chOff x="9267825" y="190500"/>
          <a:chExt cx="1028700" cy="933449"/>
        </a:xfrm>
      </xdr:grpSpPr>
      <xdr:sp macro="" textlink="">
        <xdr:nvSpPr>
          <xdr:cNvPr id="22" name="Retângulo 21">
            <a:extLst>
              <a:ext uri="{FF2B5EF4-FFF2-40B4-BE49-F238E27FC236}">
                <a16:creationId xmlns:a16="http://schemas.microsoft.com/office/drawing/2014/main" id="{00000000-0008-0000-0700-000016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3" name="Gráfico 22" descr="Ligar">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9474200" y="264021"/>
            <a:ext cx="650875" cy="650183"/>
          </a:xfrm>
          <a:prstGeom prst="rect">
            <a:avLst/>
          </a:prstGeom>
        </xdr:spPr>
      </xdr:pic>
    </xdr:grpSp>
    <xdr:clientData/>
  </xdr:twoCellAnchor>
  <xdr:twoCellAnchor>
    <xdr:from>
      <xdr:col>24</xdr:col>
      <xdr:colOff>53261</xdr:colOff>
      <xdr:row>0</xdr:row>
      <xdr:rowOff>142875</xdr:rowOff>
    </xdr:from>
    <xdr:to>
      <xdr:col>25</xdr:col>
      <xdr:colOff>434975</xdr:colOff>
      <xdr:row>5</xdr:row>
      <xdr:rowOff>123824</xdr:rowOff>
    </xdr:to>
    <xdr:grpSp>
      <xdr:nvGrpSpPr>
        <xdr:cNvPr id="24" name="Agrupar 23">
          <a:hlinkClick xmlns:r="http://schemas.openxmlformats.org/officeDocument/2006/relationships" r:id="rId17"/>
          <a:extLst>
            <a:ext uri="{FF2B5EF4-FFF2-40B4-BE49-F238E27FC236}">
              <a16:creationId xmlns:a16="http://schemas.microsoft.com/office/drawing/2014/main" id="{00000000-0008-0000-0700-000018000000}"/>
            </a:ext>
          </a:extLst>
        </xdr:cNvPr>
        <xdr:cNvGrpSpPr/>
      </xdr:nvGrpSpPr>
      <xdr:grpSpPr>
        <a:xfrm>
          <a:off x="8959136" y="142875"/>
          <a:ext cx="991314" cy="933449"/>
          <a:chOff x="10531475" y="177800"/>
          <a:chExt cx="1028700" cy="933449"/>
        </a:xfrm>
      </xdr:grpSpPr>
      <xdr:sp macro="" textlink="">
        <xdr:nvSpPr>
          <xdr:cNvPr id="25" name="Retângulo 24">
            <a:extLst>
              <a:ext uri="{FF2B5EF4-FFF2-40B4-BE49-F238E27FC236}">
                <a16:creationId xmlns:a16="http://schemas.microsoft.com/office/drawing/2014/main" id="{00000000-0008-0000-0700-000019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6" name="Imagem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clientData/>
  </xdr:twoCellAnchor>
  <xdr:twoCellAnchor>
    <xdr:from>
      <xdr:col>9</xdr:col>
      <xdr:colOff>38100</xdr:colOff>
      <xdr:row>7</xdr:row>
      <xdr:rowOff>66675</xdr:rowOff>
    </xdr:from>
    <xdr:to>
      <xdr:col>10</xdr:col>
      <xdr:colOff>42415</xdr:colOff>
      <xdr:row>9</xdr:row>
      <xdr:rowOff>71947</xdr:rowOff>
    </xdr:to>
    <xdr:grpSp>
      <xdr:nvGrpSpPr>
        <xdr:cNvPr id="59" name="Agrupar 58">
          <a:hlinkClick xmlns:r="http://schemas.openxmlformats.org/officeDocument/2006/relationships" r:id="rId19"/>
          <a:extLst>
            <a:ext uri="{FF2B5EF4-FFF2-40B4-BE49-F238E27FC236}">
              <a16:creationId xmlns:a16="http://schemas.microsoft.com/office/drawing/2014/main" id="{00000000-0008-0000-0700-00003B000000}"/>
            </a:ext>
          </a:extLst>
        </xdr:cNvPr>
        <xdr:cNvGrpSpPr/>
      </xdr:nvGrpSpPr>
      <xdr:grpSpPr>
        <a:xfrm>
          <a:off x="3476625" y="1476375"/>
          <a:ext cx="613915" cy="386272"/>
          <a:chOff x="5324476" y="1276350"/>
          <a:chExt cx="628650" cy="390525"/>
        </a:xfrm>
      </xdr:grpSpPr>
      <xdr:sp macro="" textlink="">
        <xdr:nvSpPr>
          <xdr:cNvPr id="66" name="Retângulo 65">
            <a:extLst>
              <a:ext uri="{FF2B5EF4-FFF2-40B4-BE49-F238E27FC236}">
                <a16:creationId xmlns:a16="http://schemas.microsoft.com/office/drawing/2014/main" id="{00000000-0008-0000-0700-000042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7" name="Gráfico 66" descr="Dinheiro">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10</xdr:col>
      <xdr:colOff>162549</xdr:colOff>
      <xdr:row>7</xdr:row>
      <xdr:rowOff>88921</xdr:rowOff>
    </xdr:from>
    <xdr:to>
      <xdr:col>12</xdr:col>
      <xdr:colOff>448193</xdr:colOff>
      <xdr:row>9</xdr:row>
      <xdr:rowOff>64327</xdr:rowOff>
    </xdr:to>
    <xdr:grpSp>
      <xdr:nvGrpSpPr>
        <xdr:cNvPr id="60" name="Agrupar 59">
          <a:hlinkClick xmlns:r="http://schemas.openxmlformats.org/officeDocument/2006/relationships" r:id="rId22"/>
          <a:extLst>
            <a:ext uri="{FF2B5EF4-FFF2-40B4-BE49-F238E27FC236}">
              <a16:creationId xmlns:a16="http://schemas.microsoft.com/office/drawing/2014/main" id="{00000000-0008-0000-0700-00003C000000}"/>
            </a:ext>
          </a:extLst>
        </xdr:cNvPr>
        <xdr:cNvGrpSpPr/>
      </xdr:nvGrpSpPr>
      <xdr:grpSpPr>
        <a:xfrm>
          <a:off x="4210674" y="1498621"/>
          <a:ext cx="619019" cy="356406"/>
          <a:chOff x="6229350" y="1300613"/>
          <a:chExt cx="647700" cy="375787"/>
        </a:xfrm>
      </xdr:grpSpPr>
      <xdr:sp macro="" textlink="">
        <xdr:nvSpPr>
          <xdr:cNvPr id="64" name="Retângulo 63">
            <a:extLst>
              <a:ext uri="{FF2B5EF4-FFF2-40B4-BE49-F238E27FC236}">
                <a16:creationId xmlns:a16="http://schemas.microsoft.com/office/drawing/2014/main" id="{00000000-0008-0000-0700-000040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65" name="Gráfico 64" descr="Gráfico de barras">
            <a:extLst>
              <a:ext uri="{FF2B5EF4-FFF2-40B4-BE49-F238E27FC236}">
                <a16:creationId xmlns:a16="http://schemas.microsoft.com/office/drawing/2014/main" id="{00000000-0008-0000-0700-000041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12</xdr:col>
      <xdr:colOff>563185</xdr:colOff>
      <xdr:row>7</xdr:row>
      <xdr:rowOff>81302</xdr:rowOff>
    </xdr:from>
    <xdr:to>
      <xdr:col>13</xdr:col>
      <xdr:colOff>596864</xdr:colOff>
      <xdr:row>9</xdr:row>
      <xdr:rowOff>66278</xdr:rowOff>
    </xdr:to>
    <xdr:grpSp>
      <xdr:nvGrpSpPr>
        <xdr:cNvPr id="29" name="Agrupar 28">
          <a:hlinkClick xmlns:r="http://schemas.openxmlformats.org/officeDocument/2006/relationships" r:id="rId25"/>
          <a:extLst>
            <a:ext uri="{FF2B5EF4-FFF2-40B4-BE49-F238E27FC236}">
              <a16:creationId xmlns:a16="http://schemas.microsoft.com/office/drawing/2014/main" id="{00000000-0008-0000-0700-00001D000000}"/>
            </a:ext>
          </a:extLst>
        </xdr:cNvPr>
        <xdr:cNvGrpSpPr/>
      </xdr:nvGrpSpPr>
      <xdr:grpSpPr>
        <a:xfrm>
          <a:off x="4944685" y="1491002"/>
          <a:ext cx="643279" cy="365976"/>
          <a:chOff x="4944685" y="1491002"/>
          <a:chExt cx="643279" cy="365976"/>
        </a:xfrm>
      </xdr:grpSpPr>
      <xdr:sp macro="" textlink="">
        <xdr:nvSpPr>
          <xdr:cNvPr id="62" name="Retângulo 61">
            <a:extLst>
              <a:ext uri="{FF2B5EF4-FFF2-40B4-BE49-F238E27FC236}">
                <a16:creationId xmlns:a16="http://schemas.microsoft.com/office/drawing/2014/main" id="{00000000-0008-0000-0700-00003E000000}"/>
              </a:ext>
            </a:extLst>
          </xdr:cNvPr>
          <xdr:cNvSpPr/>
        </xdr:nvSpPr>
        <xdr:spPr>
          <a:xfrm>
            <a:off x="4944685" y="1491002"/>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8" name="Gráfico 37" descr="Lixo">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5114925" y="1514475"/>
            <a:ext cx="304800" cy="30480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38100</xdr:colOff>
      <xdr:row>0</xdr:row>
      <xdr:rowOff>152400</xdr:rowOff>
    </xdr:from>
    <xdr:to>
      <xdr:col>21</xdr:col>
      <xdr:colOff>196850</xdr:colOff>
      <xdr:row>5</xdr:row>
      <xdr:rowOff>161924</xdr:rowOff>
    </xdr:to>
    <xdr:grpSp>
      <xdr:nvGrpSpPr>
        <xdr:cNvPr id="30" name="Agrupar 29">
          <a:extLst>
            <a:ext uri="{FF2B5EF4-FFF2-40B4-BE49-F238E27FC236}">
              <a16:creationId xmlns:a16="http://schemas.microsoft.com/office/drawing/2014/main" id="{00000000-0008-0000-0800-00001E000000}"/>
            </a:ext>
          </a:extLst>
        </xdr:cNvPr>
        <xdr:cNvGrpSpPr/>
      </xdr:nvGrpSpPr>
      <xdr:grpSpPr>
        <a:xfrm>
          <a:off x="38100" y="152400"/>
          <a:ext cx="10188575" cy="962024"/>
          <a:chOff x="38100" y="152400"/>
          <a:chExt cx="10188575" cy="962024"/>
        </a:xfrm>
      </xdr:grpSpPr>
      <xdr:grpSp>
        <xdr:nvGrpSpPr>
          <xdr:cNvPr id="2" name="Agrupar 1">
            <a:hlinkClick xmlns:r="http://schemas.openxmlformats.org/officeDocument/2006/relationships" r:id="rId1"/>
            <a:extLst>
              <a:ext uri="{FF2B5EF4-FFF2-40B4-BE49-F238E27FC236}">
                <a16:creationId xmlns:a16="http://schemas.microsoft.com/office/drawing/2014/main" id="{00000000-0008-0000-0800-000002000000}"/>
              </a:ext>
            </a:extLst>
          </xdr:cNvPr>
          <xdr:cNvGrpSpPr/>
        </xdr:nvGrpSpPr>
        <xdr:grpSpPr>
          <a:xfrm>
            <a:off x="38100" y="161925"/>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8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6" name="Agrupar 5">
            <a:hlinkClick xmlns:r="http://schemas.openxmlformats.org/officeDocument/2006/relationships" r:id="rId3"/>
            <a:extLst>
              <a:ext uri="{FF2B5EF4-FFF2-40B4-BE49-F238E27FC236}">
                <a16:creationId xmlns:a16="http://schemas.microsoft.com/office/drawing/2014/main" id="{00000000-0008-0000-0800-000006000000}"/>
              </a:ext>
            </a:extLst>
          </xdr:cNvPr>
          <xdr:cNvGrpSpPr/>
        </xdr:nvGrpSpPr>
        <xdr:grpSpPr>
          <a:xfrm>
            <a:off x="2314575" y="171450"/>
            <a:ext cx="1028700" cy="933449"/>
            <a:chOff x="6705600" y="952500"/>
            <a:chExt cx="1028700" cy="933449"/>
          </a:xfrm>
          <a:solidFill>
            <a:srgbClr val="F3673B"/>
          </a:solidFill>
        </xdr:grpSpPr>
        <xdr:sp macro="" textlink="">
          <xdr:nvSpPr>
            <xdr:cNvPr id="7" name="Retângulo 6">
              <a:extLst>
                <a:ext uri="{FF2B5EF4-FFF2-40B4-BE49-F238E27FC236}">
                  <a16:creationId xmlns:a16="http://schemas.microsoft.com/office/drawing/2014/main" id="{00000000-0008-0000-0800-000007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8" name="Imagem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9" name="Agrupar 8">
            <a:hlinkClick xmlns:r="http://schemas.openxmlformats.org/officeDocument/2006/relationships" r:id="rId5"/>
            <a:extLst>
              <a:ext uri="{FF2B5EF4-FFF2-40B4-BE49-F238E27FC236}">
                <a16:creationId xmlns:a16="http://schemas.microsoft.com/office/drawing/2014/main" id="{00000000-0008-0000-0800-000009000000}"/>
              </a:ext>
            </a:extLst>
          </xdr:cNvPr>
          <xdr:cNvGrpSpPr/>
        </xdr:nvGrpSpPr>
        <xdr:grpSpPr>
          <a:xfrm>
            <a:off x="4619625" y="180975"/>
            <a:ext cx="1028700" cy="933449"/>
            <a:chOff x="8534400" y="952500"/>
            <a:chExt cx="1028700" cy="933449"/>
          </a:xfrm>
          <a:solidFill>
            <a:srgbClr val="FF33CC"/>
          </a:solidFill>
        </xdr:grpSpPr>
        <xdr:sp macro="" textlink="">
          <xdr:nvSpPr>
            <xdr:cNvPr id="10" name="Retângulo 9">
              <a:extLst>
                <a:ext uri="{FF2B5EF4-FFF2-40B4-BE49-F238E27FC236}">
                  <a16:creationId xmlns:a16="http://schemas.microsoft.com/office/drawing/2014/main" id="{00000000-0008-0000-0800-00000A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1" name="Imagem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12" name="Agrupar 11">
            <a:hlinkClick xmlns:r="http://schemas.openxmlformats.org/officeDocument/2006/relationships" r:id="rId7"/>
            <a:extLst>
              <a:ext uri="{FF2B5EF4-FFF2-40B4-BE49-F238E27FC236}">
                <a16:creationId xmlns:a16="http://schemas.microsoft.com/office/drawing/2014/main" id="{00000000-0008-0000-0800-00000C000000}"/>
              </a:ext>
            </a:extLst>
          </xdr:cNvPr>
          <xdr:cNvGrpSpPr/>
        </xdr:nvGrpSpPr>
        <xdr:grpSpPr>
          <a:xfrm>
            <a:off x="1171575" y="161925"/>
            <a:ext cx="1028700" cy="933449"/>
            <a:chOff x="4629150" y="2295525"/>
            <a:chExt cx="1028700" cy="933449"/>
          </a:xfrm>
          <a:solidFill>
            <a:srgbClr val="00A8A4"/>
          </a:solidFill>
        </xdr:grpSpPr>
        <xdr:sp macro="" textlink="">
          <xdr:nvSpPr>
            <xdr:cNvPr id="13" name="Retângulo 12">
              <a:extLst>
                <a:ext uri="{FF2B5EF4-FFF2-40B4-BE49-F238E27FC236}">
                  <a16:creationId xmlns:a16="http://schemas.microsoft.com/office/drawing/2014/main" id="{00000000-0008-0000-0800-00000D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4" name="Imagem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15" name="Agrupar 14">
            <a:hlinkClick xmlns:r="http://schemas.openxmlformats.org/officeDocument/2006/relationships" r:id="rId9"/>
            <a:extLst>
              <a:ext uri="{FF2B5EF4-FFF2-40B4-BE49-F238E27FC236}">
                <a16:creationId xmlns:a16="http://schemas.microsoft.com/office/drawing/2014/main" id="{00000000-0008-0000-0800-00000F000000}"/>
              </a:ext>
            </a:extLst>
          </xdr:cNvPr>
          <xdr:cNvGrpSpPr/>
        </xdr:nvGrpSpPr>
        <xdr:grpSpPr>
          <a:xfrm>
            <a:off x="3476625" y="180975"/>
            <a:ext cx="1028700" cy="933449"/>
            <a:chOff x="6096000" y="2286000"/>
            <a:chExt cx="1028700" cy="933449"/>
          </a:xfrm>
          <a:solidFill>
            <a:srgbClr val="00B0F0"/>
          </a:solidFill>
        </xdr:grpSpPr>
        <xdr:sp macro="" textlink="">
          <xdr:nvSpPr>
            <xdr:cNvPr id="16" name="Retângulo 15">
              <a:extLst>
                <a:ext uri="{FF2B5EF4-FFF2-40B4-BE49-F238E27FC236}">
                  <a16:creationId xmlns:a16="http://schemas.microsoft.com/office/drawing/2014/main" id="{00000000-0008-0000-0800-000010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7" name="Imagem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27" name="Agrupar 26">
            <a:hlinkClick xmlns:r="http://schemas.openxmlformats.org/officeDocument/2006/relationships" r:id="rId11"/>
            <a:extLst>
              <a:ext uri="{FF2B5EF4-FFF2-40B4-BE49-F238E27FC236}">
                <a16:creationId xmlns:a16="http://schemas.microsoft.com/office/drawing/2014/main" id="{00000000-0008-0000-0800-00001B000000}"/>
              </a:ext>
            </a:extLst>
          </xdr:cNvPr>
          <xdr:cNvGrpSpPr/>
        </xdr:nvGrpSpPr>
        <xdr:grpSpPr>
          <a:xfrm>
            <a:off x="5772150" y="180975"/>
            <a:ext cx="1028700" cy="933449"/>
            <a:chOff x="6581775" y="209550"/>
            <a:chExt cx="1028700" cy="933449"/>
          </a:xfrm>
        </xdr:grpSpPr>
        <xdr:sp macro="" textlink="">
          <xdr:nvSpPr>
            <xdr:cNvPr id="5" name="Retângulo 4">
              <a:extLst>
                <a:ext uri="{FF2B5EF4-FFF2-40B4-BE49-F238E27FC236}">
                  <a16:creationId xmlns:a16="http://schemas.microsoft.com/office/drawing/2014/main" id="{00000000-0008-0000-0800-000005000000}"/>
                </a:ext>
              </a:extLst>
            </xdr:cNvPr>
            <xdr:cNvSpPr/>
          </xdr:nvSpPr>
          <xdr:spPr>
            <a:xfrm>
              <a:off x="658177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grpSp>
        <xdr:nvGrpSpPr>
          <xdr:cNvPr id="28" name="Agrupar 27">
            <a:hlinkClick xmlns:r="http://schemas.openxmlformats.org/officeDocument/2006/relationships" r:id="rId13"/>
            <a:extLst>
              <a:ext uri="{FF2B5EF4-FFF2-40B4-BE49-F238E27FC236}">
                <a16:creationId xmlns:a16="http://schemas.microsoft.com/office/drawing/2014/main" id="{00000000-0008-0000-0800-00001C000000}"/>
              </a:ext>
            </a:extLst>
          </xdr:cNvPr>
          <xdr:cNvGrpSpPr/>
        </xdr:nvGrpSpPr>
        <xdr:grpSpPr>
          <a:xfrm>
            <a:off x="6905625" y="161925"/>
            <a:ext cx="1028700" cy="933449"/>
            <a:chOff x="7905750" y="190500"/>
            <a:chExt cx="1028700" cy="933449"/>
          </a:xfrm>
        </xdr:grpSpPr>
        <xdr:sp macro="" textlink="">
          <xdr:nvSpPr>
            <xdr:cNvPr id="18" name="Retângulo 17">
              <a:extLst>
                <a:ext uri="{FF2B5EF4-FFF2-40B4-BE49-F238E27FC236}">
                  <a16:creationId xmlns:a16="http://schemas.microsoft.com/office/drawing/2014/main" id="{00000000-0008-0000-0800-000012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0" name="Imagem 19">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grpSp>
        <xdr:nvGrpSpPr>
          <xdr:cNvPr id="21" name="Agrupar 20">
            <a:hlinkClick xmlns:r="http://schemas.openxmlformats.org/officeDocument/2006/relationships" r:id="rId15"/>
            <a:extLst>
              <a:ext uri="{FF2B5EF4-FFF2-40B4-BE49-F238E27FC236}">
                <a16:creationId xmlns:a16="http://schemas.microsoft.com/office/drawing/2014/main" id="{00000000-0008-0000-0800-000015000000}"/>
              </a:ext>
            </a:extLst>
          </xdr:cNvPr>
          <xdr:cNvGrpSpPr/>
        </xdr:nvGrpSpPr>
        <xdr:grpSpPr>
          <a:xfrm>
            <a:off x="8067675" y="165100"/>
            <a:ext cx="1028700" cy="933449"/>
            <a:chOff x="9267825" y="190500"/>
            <a:chExt cx="1028700" cy="933449"/>
          </a:xfrm>
        </xdr:grpSpPr>
        <xdr:sp macro="" textlink="">
          <xdr:nvSpPr>
            <xdr:cNvPr id="22" name="Retângulo 21">
              <a:extLst>
                <a:ext uri="{FF2B5EF4-FFF2-40B4-BE49-F238E27FC236}">
                  <a16:creationId xmlns:a16="http://schemas.microsoft.com/office/drawing/2014/main" id="{00000000-0008-0000-0800-000016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3" name="Gráfico 22" descr="Ligar">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474200" y="264021"/>
              <a:ext cx="650875" cy="650183"/>
            </a:xfrm>
            <a:prstGeom prst="rect">
              <a:avLst/>
            </a:prstGeom>
          </xdr:spPr>
        </xdr:pic>
      </xdr:grpSp>
      <xdr:grpSp>
        <xdr:nvGrpSpPr>
          <xdr:cNvPr id="24" name="Agrupar 23">
            <a:extLst>
              <a:ext uri="{FF2B5EF4-FFF2-40B4-BE49-F238E27FC236}">
                <a16:creationId xmlns:a16="http://schemas.microsoft.com/office/drawing/2014/main" id="{00000000-0008-0000-0800-000018000000}"/>
              </a:ext>
            </a:extLst>
          </xdr:cNvPr>
          <xdr:cNvGrpSpPr/>
        </xdr:nvGrpSpPr>
        <xdr:grpSpPr>
          <a:xfrm>
            <a:off x="9197975" y="152400"/>
            <a:ext cx="1028700" cy="933449"/>
            <a:chOff x="10531475" y="177800"/>
            <a:chExt cx="1028700" cy="933449"/>
          </a:xfrm>
        </xdr:grpSpPr>
        <xdr:sp macro="" textlink="">
          <xdr:nvSpPr>
            <xdr:cNvPr id="25" name="Retângulo 24">
              <a:extLst>
                <a:ext uri="{FF2B5EF4-FFF2-40B4-BE49-F238E27FC236}">
                  <a16:creationId xmlns:a16="http://schemas.microsoft.com/office/drawing/2014/main" id="{00000000-0008-0000-0800-000019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6" name="Imagem 25">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6</xdr:col>
      <xdr:colOff>133350</xdr:colOff>
      <xdr:row>7</xdr:row>
      <xdr:rowOff>76200</xdr:rowOff>
    </xdr:from>
    <xdr:to>
      <xdr:col>8</xdr:col>
      <xdr:colOff>23365</xdr:colOff>
      <xdr:row>9</xdr:row>
      <xdr:rowOff>81472</xdr:rowOff>
    </xdr:to>
    <xdr:grpSp>
      <xdr:nvGrpSpPr>
        <xdr:cNvPr id="40" name="Agrupar 39">
          <a:hlinkClick xmlns:r="http://schemas.openxmlformats.org/officeDocument/2006/relationships" r:id="rId19"/>
          <a:extLst>
            <a:ext uri="{FF2B5EF4-FFF2-40B4-BE49-F238E27FC236}">
              <a16:creationId xmlns:a16="http://schemas.microsoft.com/office/drawing/2014/main" id="{00000000-0008-0000-0800-000028000000}"/>
            </a:ext>
          </a:extLst>
        </xdr:cNvPr>
        <xdr:cNvGrpSpPr/>
      </xdr:nvGrpSpPr>
      <xdr:grpSpPr>
        <a:xfrm>
          <a:off x="2800350" y="1485900"/>
          <a:ext cx="613915" cy="386272"/>
          <a:chOff x="5324476" y="1276350"/>
          <a:chExt cx="628650" cy="390525"/>
        </a:xfrm>
      </xdr:grpSpPr>
      <xdr:sp macro="" textlink="">
        <xdr:nvSpPr>
          <xdr:cNvPr id="53" name="Retângulo 52">
            <a:extLst>
              <a:ext uri="{FF2B5EF4-FFF2-40B4-BE49-F238E27FC236}">
                <a16:creationId xmlns:a16="http://schemas.microsoft.com/office/drawing/2014/main" id="{00000000-0008-0000-0800-000035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4" name="Gráfico 53" descr="Dinheiro">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clientData/>
  </xdr:twoCellAnchor>
  <xdr:twoCellAnchor>
    <xdr:from>
      <xdr:col>8</xdr:col>
      <xdr:colOff>143499</xdr:colOff>
      <xdr:row>7</xdr:row>
      <xdr:rowOff>98446</xdr:rowOff>
    </xdr:from>
    <xdr:to>
      <xdr:col>9</xdr:col>
      <xdr:colOff>152918</xdr:colOff>
      <xdr:row>9</xdr:row>
      <xdr:rowOff>73852</xdr:rowOff>
    </xdr:to>
    <xdr:grpSp>
      <xdr:nvGrpSpPr>
        <xdr:cNvPr id="41" name="Agrupar 40">
          <a:hlinkClick xmlns:r="http://schemas.openxmlformats.org/officeDocument/2006/relationships" r:id="rId22"/>
          <a:extLst>
            <a:ext uri="{FF2B5EF4-FFF2-40B4-BE49-F238E27FC236}">
              <a16:creationId xmlns:a16="http://schemas.microsoft.com/office/drawing/2014/main" id="{00000000-0008-0000-0800-000029000000}"/>
            </a:ext>
          </a:extLst>
        </xdr:cNvPr>
        <xdr:cNvGrpSpPr/>
      </xdr:nvGrpSpPr>
      <xdr:grpSpPr>
        <a:xfrm>
          <a:off x="3534399" y="1508146"/>
          <a:ext cx="619019" cy="356406"/>
          <a:chOff x="6229350" y="1300613"/>
          <a:chExt cx="647700" cy="375787"/>
        </a:xfrm>
      </xdr:grpSpPr>
      <xdr:sp macro="" textlink="">
        <xdr:nvSpPr>
          <xdr:cNvPr id="51" name="Retângulo 50">
            <a:extLst>
              <a:ext uri="{FF2B5EF4-FFF2-40B4-BE49-F238E27FC236}">
                <a16:creationId xmlns:a16="http://schemas.microsoft.com/office/drawing/2014/main" id="{00000000-0008-0000-0800-000033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2" name="Gráfico 51" descr="Gráfico de barras">
            <a:extLst>
              <a:ext uri="{FF2B5EF4-FFF2-40B4-BE49-F238E27FC236}">
                <a16:creationId xmlns:a16="http://schemas.microsoft.com/office/drawing/2014/main" id="{00000000-0008-0000-0800-000034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clientData/>
  </xdr:twoCellAnchor>
  <xdr:twoCellAnchor>
    <xdr:from>
      <xdr:col>9</xdr:col>
      <xdr:colOff>267910</xdr:colOff>
      <xdr:row>7</xdr:row>
      <xdr:rowOff>90827</xdr:rowOff>
    </xdr:from>
    <xdr:to>
      <xdr:col>10</xdr:col>
      <xdr:colOff>301589</xdr:colOff>
      <xdr:row>9</xdr:row>
      <xdr:rowOff>75803</xdr:rowOff>
    </xdr:to>
    <xdr:grpSp>
      <xdr:nvGrpSpPr>
        <xdr:cNvPr id="29" name="Agrupar 28">
          <a:hlinkClick xmlns:r="http://schemas.openxmlformats.org/officeDocument/2006/relationships" r:id="rId25"/>
          <a:extLst>
            <a:ext uri="{FF2B5EF4-FFF2-40B4-BE49-F238E27FC236}">
              <a16:creationId xmlns:a16="http://schemas.microsoft.com/office/drawing/2014/main" id="{00000000-0008-0000-0800-00001D000000}"/>
            </a:ext>
          </a:extLst>
        </xdr:cNvPr>
        <xdr:cNvGrpSpPr/>
      </xdr:nvGrpSpPr>
      <xdr:grpSpPr>
        <a:xfrm>
          <a:off x="4268410" y="1500527"/>
          <a:ext cx="643279" cy="365976"/>
          <a:chOff x="4268410" y="1500527"/>
          <a:chExt cx="643279" cy="365976"/>
        </a:xfrm>
      </xdr:grpSpPr>
      <xdr:sp macro="" textlink="">
        <xdr:nvSpPr>
          <xdr:cNvPr id="49" name="Retângulo 48">
            <a:extLst>
              <a:ext uri="{FF2B5EF4-FFF2-40B4-BE49-F238E27FC236}">
                <a16:creationId xmlns:a16="http://schemas.microsoft.com/office/drawing/2014/main" id="{00000000-0008-0000-0800-000031000000}"/>
              </a:ext>
            </a:extLst>
          </xdr:cNvPr>
          <xdr:cNvSpPr/>
        </xdr:nvSpPr>
        <xdr:spPr>
          <a:xfrm>
            <a:off x="4268410" y="1500527"/>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8" name="Gráfico 37" descr="Lixo">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4429125" y="1524000"/>
            <a:ext cx="304800" cy="30480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114300</xdr:colOff>
      <xdr:row>0</xdr:row>
      <xdr:rowOff>142875</xdr:rowOff>
    </xdr:from>
    <xdr:to>
      <xdr:col>21</xdr:col>
      <xdr:colOff>549275</xdr:colOff>
      <xdr:row>5</xdr:row>
      <xdr:rowOff>136524</xdr:rowOff>
    </xdr:to>
    <xdr:grpSp>
      <xdr:nvGrpSpPr>
        <xdr:cNvPr id="30" name="Agrupar 29">
          <a:extLst>
            <a:ext uri="{FF2B5EF4-FFF2-40B4-BE49-F238E27FC236}">
              <a16:creationId xmlns:a16="http://schemas.microsoft.com/office/drawing/2014/main" id="{00000000-0008-0000-0900-00001E000000}"/>
            </a:ext>
          </a:extLst>
        </xdr:cNvPr>
        <xdr:cNvGrpSpPr/>
      </xdr:nvGrpSpPr>
      <xdr:grpSpPr>
        <a:xfrm>
          <a:off x="228600" y="142875"/>
          <a:ext cx="10541000" cy="946149"/>
          <a:chOff x="38100" y="66675"/>
          <a:chExt cx="10150475" cy="946149"/>
        </a:xfrm>
      </xdr:grpSpPr>
      <xdr:grpSp>
        <xdr:nvGrpSpPr>
          <xdr:cNvPr id="2" name="Agrupar 1">
            <a:hlinkClick xmlns:r="http://schemas.openxmlformats.org/officeDocument/2006/relationships" r:id="rId1"/>
            <a:extLst>
              <a:ext uri="{FF2B5EF4-FFF2-40B4-BE49-F238E27FC236}">
                <a16:creationId xmlns:a16="http://schemas.microsoft.com/office/drawing/2014/main" id="{00000000-0008-0000-0900-000002000000}"/>
              </a:ext>
            </a:extLst>
          </xdr:cNvPr>
          <xdr:cNvGrpSpPr/>
        </xdr:nvGrpSpPr>
        <xdr:grpSpPr>
          <a:xfrm>
            <a:off x="38100" y="66675"/>
            <a:ext cx="1028700" cy="933449"/>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09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4" name="Imagem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5" name="Agrupar 4">
            <a:hlinkClick xmlns:r="http://schemas.openxmlformats.org/officeDocument/2006/relationships" r:id="rId3"/>
            <a:extLst>
              <a:ext uri="{FF2B5EF4-FFF2-40B4-BE49-F238E27FC236}">
                <a16:creationId xmlns:a16="http://schemas.microsoft.com/office/drawing/2014/main" id="{00000000-0008-0000-0900-000005000000}"/>
              </a:ext>
            </a:extLst>
          </xdr:cNvPr>
          <xdr:cNvGrpSpPr/>
        </xdr:nvGrpSpPr>
        <xdr:grpSpPr>
          <a:xfrm>
            <a:off x="2295525" y="66675"/>
            <a:ext cx="1028700" cy="933449"/>
            <a:chOff x="6705600" y="952500"/>
            <a:chExt cx="1028700" cy="933449"/>
          </a:xfrm>
          <a:solidFill>
            <a:srgbClr val="F3673B"/>
          </a:solidFill>
        </xdr:grpSpPr>
        <xdr:sp macro="" textlink="">
          <xdr:nvSpPr>
            <xdr:cNvPr id="6" name="Retângulo 5">
              <a:extLst>
                <a:ext uri="{FF2B5EF4-FFF2-40B4-BE49-F238E27FC236}">
                  <a16:creationId xmlns:a16="http://schemas.microsoft.com/office/drawing/2014/main" id="{00000000-0008-0000-0900-000006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7" name="Imagem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8" name="Agrupar 7">
            <a:hlinkClick xmlns:r="http://schemas.openxmlformats.org/officeDocument/2006/relationships" r:id="rId5"/>
            <a:extLst>
              <a:ext uri="{FF2B5EF4-FFF2-40B4-BE49-F238E27FC236}">
                <a16:creationId xmlns:a16="http://schemas.microsoft.com/office/drawing/2014/main" id="{00000000-0008-0000-0900-000008000000}"/>
              </a:ext>
            </a:extLst>
          </xdr:cNvPr>
          <xdr:cNvGrpSpPr/>
        </xdr:nvGrpSpPr>
        <xdr:grpSpPr>
          <a:xfrm>
            <a:off x="4552950" y="76200"/>
            <a:ext cx="1028700" cy="933449"/>
            <a:chOff x="8534400" y="952500"/>
            <a:chExt cx="1028700" cy="933449"/>
          </a:xfrm>
          <a:solidFill>
            <a:srgbClr val="FF33CC"/>
          </a:solidFill>
        </xdr:grpSpPr>
        <xdr:sp macro="" textlink="">
          <xdr:nvSpPr>
            <xdr:cNvPr id="9" name="Retângulo 8">
              <a:extLst>
                <a:ext uri="{FF2B5EF4-FFF2-40B4-BE49-F238E27FC236}">
                  <a16:creationId xmlns:a16="http://schemas.microsoft.com/office/drawing/2014/main" id="{00000000-0008-0000-0900-000009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0" name="Imagem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11" name="Agrupar 10">
            <a:hlinkClick xmlns:r="http://schemas.openxmlformats.org/officeDocument/2006/relationships" r:id="rId7"/>
            <a:extLst>
              <a:ext uri="{FF2B5EF4-FFF2-40B4-BE49-F238E27FC236}">
                <a16:creationId xmlns:a16="http://schemas.microsoft.com/office/drawing/2014/main" id="{00000000-0008-0000-0900-00000B000000}"/>
              </a:ext>
            </a:extLst>
          </xdr:cNvPr>
          <xdr:cNvGrpSpPr/>
        </xdr:nvGrpSpPr>
        <xdr:grpSpPr>
          <a:xfrm>
            <a:off x="1162050" y="66675"/>
            <a:ext cx="1028700" cy="933449"/>
            <a:chOff x="4629150" y="2295525"/>
            <a:chExt cx="1028700" cy="933449"/>
          </a:xfrm>
          <a:solidFill>
            <a:srgbClr val="00A8A4"/>
          </a:solidFill>
        </xdr:grpSpPr>
        <xdr:sp macro="" textlink="">
          <xdr:nvSpPr>
            <xdr:cNvPr id="12" name="Retângulo 11">
              <a:extLst>
                <a:ext uri="{FF2B5EF4-FFF2-40B4-BE49-F238E27FC236}">
                  <a16:creationId xmlns:a16="http://schemas.microsoft.com/office/drawing/2014/main" id="{00000000-0008-0000-0900-00000C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3" name="Imagem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14" name="Agrupar 13">
            <a:hlinkClick xmlns:r="http://schemas.openxmlformats.org/officeDocument/2006/relationships" r:id="rId9"/>
            <a:extLst>
              <a:ext uri="{FF2B5EF4-FFF2-40B4-BE49-F238E27FC236}">
                <a16:creationId xmlns:a16="http://schemas.microsoft.com/office/drawing/2014/main" id="{00000000-0008-0000-0900-00000E000000}"/>
              </a:ext>
            </a:extLst>
          </xdr:cNvPr>
          <xdr:cNvGrpSpPr/>
        </xdr:nvGrpSpPr>
        <xdr:grpSpPr>
          <a:xfrm>
            <a:off x="3429000" y="76200"/>
            <a:ext cx="1028700" cy="933449"/>
            <a:chOff x="6096000" y="2286000"/>
            <a:chExt cx="1028700" cy="933449"/>
          </a:xfrm>
          <a:solidFill>
            <a:srgbClr val="00B0F0"/>
          </a:solidFill>
        </xdr:grpSpPr>
        <xdr:sp macro="" textlink="">
          <xdr:nvSpPr>
            <xdr:cNvPr id="15" name="Retângulo 14">
              <a:extLst>
                <a:ext uri="{FF2B5EF4-FFF2-40B4-BE49-F238E27FC236}">
                  <a16:creationId xmlns:a16="http://schemas.microsoft.com/office/drawing/2014/main" id="{00000000-0008-0000-0900-00000F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6" name="Imagem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17" name="Agrupar 16">
            <a:hlinkClick xmlns:r="http://schemas.openxmlformats.org/officeDocument/2006/relationships" r:id="rId11"/>
            <a:extLst>
              <a:ext uri="{FF2B5EF4-FFF2-40B4-BE49-F238E27FC236}">
                <a16:creationId xmlns:a16="http://schemas.microsoft.com/office/drawing/2014/main" id="{00000000-0008-0000-0900-000011000000}"/>
              </a:ext>
            </a:extLst>
          </xdr:cNvPr>
          <xdr:cNvGrpSpPr/>
        </xdr:nvGrpSpPr>
        <xdr:grpSpPr>
          <a:xfrm>
            <a:off x="5686425" y="76200"/>
            <a:ext cx="1028700" cy="933449"/>
            <a:chOff x="6581775" y="209550"/>
            <a:chExt cx="1028700" cy="933449"/>
          </a:xfrm>
        </xdr:grpSpPr>
        <xdr:sp macro="" textlink="">
          <xdr:nvSpPr>
            <xdr:cNvPr id="18" name="Retângulo 17">
              <a:extLst>
                <a:ext uri="{FF2B5EF4-FFF2-40B4-BE49-F238E27FC236}">
                  <a16:creationId xmlns:a16="http://schemas.microsoft.com/office/drawing/2014/main" id="{00000000-0008-0000-0900-000012000000}"/>
                </a:ext>
              </a:extLst>
            </xdr:cNvPr>
            <xdr:cNvSpPr/>
          </xdr:nvSpPr>
          <xdr:spPr>
            <a:xfrm>
              <a:off x="658177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grpSp>
        <xdr:nvGrpSpPr>
          <xdr:cNvPr id="20" name="Agrupar 19">
            <a:hlinkClick xmlns:r="http://schemas.openxmlformats.org/officeDocument/2006/relationships" r:id="rId13"/>
            <a:extLst>
              <a:ext uri="{FF2B5EF4-FFF2-40B4-BE49-F238E27FC236}">
                <a16:creationId xmlns:a16="http://schemas.microsoft.com/office/drawing/2014/main" id="{00000000-0008-0000-0900-000014000000}"/>
              </a:ext>
            </a:extLst>
          </xdr:cNvPr>
          <xdr:cNvGrpSpPr/>
        </xdr:nvGrpSpPr>
        <xdr:grpSpPr>
          <a:xfrm>
            <a:off x="6819900" y="76200"/>
            <a:ext cx="1028700" cy="933449"/>
            <a:chOff x="7905750" y="190500"/>
            <a:chExt cx="1028700" cy="933449"/>
          </a:xfrm>
        </xdr:grpSpPr>
        <xdr:sp macro="" textlink="">
          <xdr:nvSpPr>
            <xdr:cNvPr id="21" name="Retângulo 20">
              <a:extLst>
                <a:ext uri="{FF2B5EF4-FFF2-40B4-BE49-F238E27FC236}">
                  <a16:creationId xmlns:a16="http://schemas.microsoft.com/office/drawing/2014/main" id="{00000000-0008-0000-0900-000015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2" name="Imagem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grpSp>
        <xdr:nvGrpSpPr>
          <xdr:cNvPr id="23" name="Agrupar 22">
            <a:hlinkClick xmlns:r="http://schemas.openxmlformats.org/officeDocument/2006/relationships" r:id="rId15"/>
            <a:extLst>
              <a:ext uri="{FF2B5EF4-FFF2-40B4-BE49-F238E27FC236}">
                <a16:creationId xmlns:a16="http://schemas.microsoft.com/office/drawing/2014/main" id="{00000000-0008-0000-0900-000017000000}"/>
              </a:ext>
            </a:extLst>
          </xdr:cNvPr>
          <xdr:cNvGrpSpPr/>
        </xdr:nvGrpSpPr>
        <xdr:grpSpPr>
          <a:xfrm>
            <a:off x="7991475" y="79375"/>
            <a:ext cx="1028700" cy="933449"/>
            <a:chOff x="9267825" y="190500"/>
            <a:chExt cx="1028700" cy="933449"/>
          </a:xfrm>
        </xdr:grpSpPr>
        <xdr:sp macro="" textlink="">
          <xdr:nvSpPr>
            <xdr:cNvPr id="24" name="Retângulo 23">
              <a:extLst>
                <a:ext uri="{FF2B5EF4-FFF2-40B4-BE49-F238E27FC236}">
                  <a16:creationId xmlns:a16="http://schemas.microsoft.com/office/drawing/2014/main" id="{00000000-0008-0000-0900-000018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5" name="Gráfico 24" descr="Ligar">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474200" y="264021"/>
              <a:ext cx="650875" cy="650183"/>
            </a:xfrm>
            <a:prstGeom prst="rect">
              <a:avLst/>
            </a:prstGeom>
          </xdr:spPr>
        </xdr:pic>
      </xdr:grpSp>
      <xdr:grpSp>
        <xdr:nvGrpSpPr>
          <xdr:cNvPr id="26" name="Agrupar 25">
            <a:hlinkClick xmlns:r="http://schemas.openxmlformats.org/officeDocument/2006/relationships" r:id="rId18"/>
            <a:extLst>
              <a:ext uri="{FF2B5EF4-FFF2-40B4-BE49-F238E27FC236}">
                <a16:creationId xmlns:a16="http://schemas.microsoft.com/office/drawing/2014/main" id="{00000000-0008-0000-0900-00001A000000}"/>
              </a:ext>
            </a:extLst>
          </xdr:cNvPr>
          <xdr:cNvGrpSpPr/>
        </xdr:nvGrpSpPr>
        <xdr:grpSpPr>
          <a:xfrm>
            <a:off x="9159875" y="76200"/>
            <a:ext cx="1028700" cy="933449"/>
            <a:chOff x="10531475" y="177800"/>
            <a:chExt cx="1028700" cy="933449"/>
          </a:xfrm>
        </xdr:grpSpPr>
        <xdr:sp macro="" textlink="">
          <xdr:nvSpPr>
            <xdr:cNvPr id="27" name="Retângulo 26">
              <a:extLst>
                <a:ext uri="{FF2B5EF4-FFF2-40B4-BE49-F238E27FC236}">
                  <a16:creationId xmlns:a16="http://schemas.microsoft.com/office/drawing/2014/main" id="{00000000-0008-0000-0900-00001B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8" name="Imagem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10</xdr:col>
      <xdr:colOff>238125</xdr:colOff>
      <xdr:row>6</xdr:row>
      <xdr:rowOff>95250</xdr:rowOff>
    </xdr:from>
    <xdr:to>
      <xdr:col>14</xdr:col>
      <xdr:colOff>406364</xdr:colOff>
      <xdr:row>8</xdr:row>
      <xdr:rowOff>100522</xdr:rowOff>
    </xdr:to>
    <xdr:grpSp>
      <xdr:nvGrpSpPr>
        <xdr:cNvPr id="31" name="Agrupar 30">
          <a:extLst>
            <a:ext uri="{FF2B5EF4-FFF2-40B4-BE49-F238E27FC236}">
              <a16:creationId xmlns:a16="http://schemas.microsoft.com/office/drawing/2014/main" id="{00000000-0008-0000-0900-00001F000000}"/>
            </a:ext>
          </a:extLst>
        </xdr:cNvPr>
        <xdr:cNvGrpSpPr/>
      </xdr:nvGrpSpPr>
      <xdr:grpSpPr>
        <a:xfrm>
          <a:off x="4848225" y="1238250"/>
          <a:ext cx="2111339" cy="386272"/>
          <a:chOff x="2343150" y="1600200"/>
          <a:chExt cx="2111339" cy="386272"/>
        </a:xfrm>
      </xdr:grpSpPr>
      <xdr:grpSp>
        <xdr:nvGrpSpPr>
          <xdr:cNvPr id="40" name="Agrupar 39">
            <a:extLst>
              <a:ext uri="{FF2B5EF4-FFF2-40B4-BE49-F238E27FC236}">
                <a16:creationId xmlns:a16="http://schemas.microsoft.com/office/drawing/2014/main" id="{00000000-0008-0000-0900-000028000000}"/>
              </a:ext>
            </a:extLst>
          </xdr:cNvPr>
          <xdr:cNvGrpSpPr/>
        </xdr:nvGrpSpPr>
        <xdr:grpSpPr>
          <a:xfrm>
            <a:off x="2343150" y="1600200"/>
            <a:ext cx="613915" cy="386272"/>
            <a:chOff x="5324476" y="1276350"/>
            <a:chExt cx="628650" cy="390525"/>
          </a:xfrm>
        </xdr:grpSpPr>
        <xdr:sp macro="" textlink="">
          <xdr:nvSpPr>
            <xdr:cNvPr id="53" name="Retângulo 52">
              <a:extLst>
                <a:ext uri="{FF2B5EF4-FFF2-40B4-BE49-F238E27FC236}">
                  <a16:creationId xmlns:a16="http://schemas.microsoft.com/office/drawing/2014/main" id="{00000000-0008-0000-0900-000035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4" name="Gráfico 53" descr="Dinheiro">
              <a:extLst>
                <a:ext uri="{FF2B5EF4-FFF2-40B4-BE49-F238E27FC236}">
                  <a16:creationId xmlns:a16="http://schemas.microsoft.com/office/drawing/2014/main" id="{00000000-0008-0000-0900-00003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473384" y="1276350"/>
              <a:ext cx="347450" cy="361049"/>
            </a:xfrm>
            <a:prstGeom prst="rect">
              <a:avLst/>
            </a:prstGeom>
          </xdr:spPr>
        </xdr:pic>
      </xdr:grpSp>
      <xdr:grpSp>
        <xdr:nvGrpSpPr>
          <xdr:cNvPr id="41" name="Agrupar 40">
            <a:hlinkClick xmlns:r="http://schemas.openxmlformats.org/officeDocument/2006/relationships" r:id="rId22"/>
            <a:extLst>
              <a:ext uri="{FF2B5EF4-FFF2-40B4-BE49-F238E27FC236}">
                <a16:creationId xmlns:a16="http://schemas.microsoft.com/office/drawing/2014/main" id="{00000000-0008-0000-0900-000029000000}"/>
              </a:ext>
            </a:extLst>
          </xdr:cNvPr>
          <xdr:cNvGrpSpPr/>
        </xdr:nvGrpSpPr>
        <xdr:grpSpPr>
          <a:xfrm>
            <a:off x="3077199" y="1622446"/>
            <a:ext cx="619019" cy="356406"/>
            <a:chOff x="6229350" y="1300613"/>
            <a:chExt cx="647700" cy="375787"/>
          </a:xfrm>
        </xdr:grpSpPr>
        <xdr:sp macro="" textlink="">
          <xdr:nvSpPr>
            <xdr:cNvPr id="45" name="Retângulo 44">
              <a:extLst>
                <a:ext uri="{FF2B5EF4-FFF2-40B4-BE49-F238E27FC236}">
                  <a16:creationId xmlns:a16="http://schemas.microsoft.com/office/drawing/2014/main" id="{00000000-0008-0000-0900-00002D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52" name="Gráfico 51" descr="Gráfico de barras">
              <a:extLst>
                <a:ext uri="{FF2B5EF4-FFF2-40B4-BE49-F238E27FC236}">
                  <a16:creationId xmlns:a16="http://schemas.microsoft.com/office/drawing/2014/main" id="{00000000-0008-0000-0900-000034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6330706" y="1314451"/>
              <a:ext cx="460619" cy="338946"/>
            </a:xfrm>
            <a:prstGeom prst="rect">
              <a:avLst/>
            </a:prstGeom>
          </xdr:spPr>
        </xdr:pic>
      </xdr:grpSp>
      <xdr:grpSp>
        <xdr:nvGrpSpPr>
          <xdr:cNvPr id="29" name="Agrupar 28">
            <a:hlinkClick xmlns:r="http://schemas.openxmlformats.org/officeDocument/2006/relationships" r:id="rId25"/>
            <a:extLst>
              <a:ext uri="{FF2B5EF4-FFF2-40B4-BE49-F238E27FC236}">
                <a16:creationId xmlns:a16="http://schemas.microsoft.com/office/drawing/2014/main" id="{00000000-0008-0000-0900-00001D000000}"/>
              </a:ext>
            </a:extLst>
          </xdr:cNvPr>
          <xdr:cNvGrpSpPr/>
        </xdr:nvGrpSpPr>
        <xdr:grpSpPr>
          <a:xfrm>
            <a:off x="3811210" y="1614827"/>
            <a:ext cx="643279" cy="365976"/>
            <a:chOff x="3811210" y="1500527"/>
            <a:chExt cx="643279" cy="365976"/>
          </a:xfrm>
        </xdr:grpSpPr>
        <xdr:sp macro="" textlink="">
          <xdr:nvSpPr>
            <xdr:cNvPr id="43" name="Retângulo 42">
              <a:extLst>
                <a:ext uri="{FF2B5EF4-FFF2-40B4-BE49-F238E27FC236}">
                  <a16:creationId xmlns:a16="http://schemas.microsoft.com/office/drawing/2014/main" id="{00000000-0008-0000-0900-00002B000000}"/>
                </a:ext>
              </a:extLst>
            </xdr:cNvPr>
            <xdr:cNvSpPr/>
          </xdr:nvSpPr>
          <xdr:spPr>
            <a:xfrm>
              <a:off x="3811210" y="1500527"/>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6" name="Gráfico 45" descr="Lixo">
              <a:extLst>
                <a:ext uri="{FF2B5EF4-FFF2-40B4-BE49-F238E27FC236}">
                  <a16:creationId xmlns:a16="http://schemas.microsoft.com/office/drawing/2014/main" id="{00000000-0008-0000-0900-00002E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3962400" y="1524000"/>
              <a:ext cx="304800" cy="304800"/>
            </a:xfrm>
            <a:prstGeom prst="rect">
              <a:avLst/>
            </a:prstGeom>
          </xdr:spPr>
        </xdr:pic>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133350</xdr:rowOff>
    </xdr:from>
    <xdr:to>
      <xdr:col>17</xdr:col>
      <xdr:colOff>158750</xdr:colOff>
      <xdr:row>5</xdr:row>
      <xdr:rowOff>126999</xdr:rowOff>
    </xdr:to>
    <xdr:grpSp>
      <xdr:nvGrpSpPr>
        <xdr:cNvPr id="2" name="Agrupar 1">
          <a:extLst>
            <a:ext uri="{FF2B5EF4-FFF2-40B4-BE49-F238E27FC236}">
              <a16:creationId xmlns:a16="http://schemas.microsoft.com/office/drawing/2014/main" id="{00000000-0008-0000-0A00-000002000000}"/>
            </a:ext>
          </a:extLst>
        </xdr:cNvPr>
        <xdr:cNvGrpSpPr/>
      </xdr:nvGrpSpPr>
      <xdr:grpSpPr>
        <a:xfrm>
          <a:off x="0" y="133350"/>
          <a:ext cx="10150475" cy="946149"/>
          <a:chOff x="38100" y="66675"/>
          <a:chExt cx="10150475" cy="946149"/>
        </a:xfrm>
      </xdr:grpSpPr>
      <xdr:grpSp>
        <xdr:nvGrpSpPr>
          <xdr:cNvPr id="3" name="Agrupar 2">
            <a:hlinkClick xmlns:r="http://schemas.openxmlformats.org/officeDocument/2006/relationships" r:id="rId1"/>
            <a:extLst>
              <a:ext uri="{FF2B5EF4-FFF2-40B4-BE49-F238E27FC236}">
                <a16:creationId xmlns:a16="http://schemas.microsoft.com/office/drawing/2014/main" id="{00000000-0008-0000-0A00-000003000000}"/>
              </a:ext>
            </a:extLst>
          </xdr:cNvPr>
          <xdr:cNvGrpSpPr/>
        </xdr:nvGrpSpPr>
        <xdr:grpSpPr>
          <a:xfrm>
            <a:off x="38100" y="66675"/>
            <a:ext cx="1028700" cy="933449"/>
            <a:chOff x="5038725" y="885825"/>
            <a:chExt cx="1028700" cy="933449"/>
          </a:xfrm>
          <a:solidFill>
            <a:srgbClr val="3ACE76"/>
          </a:solidFill>
        </xdr:grpSpPr>
        <xdr:sp macro="" textlink="">
          <xdr:nvSpPr>
            <xdr:cNvPr id="28" name="Retângulo 27">
              <a:extLst>
                <a:ext uri="{FF2B5EF4-FFF2-40B4-BE49-F238E27FC236}">
                  <a16:creationId xmlns:a16="http://schemas.microsoft.com/office/drawing/2014/main" id="{00000000-0008-0000-0A00-00001C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COMPUTADOR</a:t>
              </a:r>
            </a:p>
          </xdr:txBody>
        </xdr:sp>
        <xdr:pic>
          <xdr:nvPicPr>
            <xdr:cNvPr id="29" name="Imagem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grpSp>
        <xdr:nvGrpSpPr>
          <xdr:cNvPr id="4" name="Agrupar 3">
            <a:hlinkClick xmlns:r="http://schemas.openxmlformats.org/officeDocument/2006/relationships" r:id="rId3"/>
            <a:extLst>
              <a:ext uri="{FF2B5EF4-FFF2-40B4-BE49-F238E27FC236}">
                <a16:creationId xmlns:a16="http://schemas.microsoft.com/office/drawing/2014/main" id="{00000000-0008-0000-0A00-000004000000}"/>
              </a:ext>
            </a:extLst>
          </xdr:cNvPr>
          <xdr:cNvGrpSpPr/>
        </xdr:nvGrpSpPr>
        <xdr:grpSpPr>
          <a:xfrm>
            <a:off x="2295525" y="66675"/>
            <a:ext cx="1028700" cy="933449"/>
            <a:chOff x="6705600" y="952500"/>
            <a:chExt cx="1028700" cy="933449"/>
          </a:xfrm>
          <a:solidFill>
            <a:srgbClr val="F3673B"/>
          </a:solidFill>
        </xdr:grpSpPr>
        <xdr:sp macro="" textlink="">
          <xdr:nvSpPr>
            <xdr:cNvPr id="26" name="Retângulo 25">
              <a:extLst>
                <a:ext uri="{FF2B5EF4-FFF2-40B4-BE49-F238E27FC236}">
                  <a16:creationId xmlns:a16="http://schemas.microsoft.com/office/drawing/2014/main" id="{00000000-0008-0000-0A00-00001A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27" name="Imagem 26">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grpSp>
        <xdr:nvGrpSpPr>
          <xdr:cNvPr id="5" name="Agrupar 4">
            <a:hlinkClick xmlns:r="http://schemas.openxmlformats.org/officeDocument/2006/relationships" r:id="rId5"/>
            <a:extLst>
              <a:ext uri="{FF2B5EF4-FFF2-40B4-BE49-F238E27FC236}">
                <a16:creationId xmlns:a16="http://schemas.microsoft.com/office/drawing/2014/main" id="{00000000-0008-0000-0A00-000005000000}"/>
              </a:ext>
            </a:extLst>
          </xdr:cNvPr>
          <xdr:cNvGrpSpPr/>
        </xdr:nvGrpSpPr>
        <xdr:grpSpPr>
          <a:xfrm>
            <a:off x="4552950" y="76200"/>
            <a:ext cx="1028700" cy="933449"/>
            <a:chOff x="8534400" y="952500"/>
            <a:chExt cx="1028700" cy="933449"/>
          </a:xfrm>
          <a:solidFill>
            <a:srgbClr val="FF33CC"/>
          </a:solidFill>
        </xdr:grpSpPr>
        <xdr:sp macro="" textlink="">
          <xdr:nvSpPr>
            <xdr:cNvPr id="24" name="Retângulo 23">
              <a:extLst>
                <a:ext uri="{FF2B5EF4-FFF2-40B4-BE49-F238E27FC236}">
                  <a16:creationId xmlns:a16="http://schemas.microsoft.com/office/drawing/2014/main" id="{00000000-0008-0000-0A00-000018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25" name="Imagem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grpSp>
        <xdr:nvGrpSpPr>
          <xdr:cNvPr id="6" name="Agrupar 5">
            <a:hlinkClick xmlns:r="http://schemas.openxmlformats.org/officeDocument/2006/relationships" r:id="rId7"/>
            <a:extLst>
              <a:ext uri="{FF2B5EF4-FFF2-40B4-BE49-F238E27FC236}">
                <a16:creationId xmlns:a16="http://schemas.microsoft.com/office/drawing/2014/main" id="{00000000-0008-0000-0A00-000006000000}"/>
              </a:ext>
            </a:extLst>
          </xdr:cNvPr>
          <xdr:cNvGrpSpPr/>
        </xdr:nvGrpSpPr>
        <xdr:grpSpPr>
          <a:xfrm>
            <a:off x="1162050" y="66675"/>
            <a:ext cx="1028700" cy="933449"/>
            <a:chOff x="4629150" y="2295525"/>
            <a:chExt cx="1028700" cy="933449"/>
          </a:xfrm>
          <a:solidFill>
            <a:srgbClr val="00A8A4"/>
          </a:solidFill>
        </xdr:grpSpPr>
        <xdr:sp macro="" textlink="">
          <xdr:nvSpPr>
            <xdr:cNvPr id="22" name="Retângulo 21">
              <a:extLst>
                <a:ext uri="{FF2B5EF4-FFF2-40B4-BE49-F238E27FC236}">
                  <a16:creationId xmlns:a16="http://schemas.microsoft.com/office/drawing/2014/main" id="{00000000-0008-0000-0A00-000016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23" name="Imagem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grpSp>
        <xdr:nvGrpSpPr>
          <xdr:cNvPr id="7" name="Agrupar 6">
            <a:hlinkClick xmlns:r="http://schemas.openxmlformats.org/officeDocument/2006/relationships" r:id="rId9"/>
            <a:extLst>
              <a:ext uri="{FF2B5EF4-FFF2-40B4-BE49-F238E27FC236}">
                <a16:creationId xmlns:a16="http://schemas.microsoft.com/office/drawing/2014/main" id="{00000000-0008-0000-0A00-000007000000}"/>
              </a:ext>
            </a:extLst>
          </xdr:cNvPr>
          <xdr:cNvGrpSpPr/>
        </xdr:nvGrpSpPr>
        <xdr:grpSpPr>
          <a:xfrm>
            <a:off x="3429000" y="76200"/>
            <a:ext cx="1028700" cy="933449"/>
            <a:chOff x="6096000" y="2286000"/>
            <a:chExt cx="1028700" cy="933449"/>
          </a:xfrm>
          <a:solidFill>
            <a:srgbClr val="00B0F0"/>
          </a:solidFill>
        </xdr:grpSpPr>
        <xdr:sp macro="" textlink="">
          <xdr:nvSpPr>
            <xdr:cNvPr id="20" name="Retângulo 19">
              <a:extLst>
                <a:ext uri="{FF2B5EF4-FFF2-40B4-BE49-F238E27FC236}">
                  <a16:creationId xmlns:a16="http://schemas.microsoft.com/office/drawing/2014/main" id="{00000000-0008-0000-0A00-000014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21" name="Imagem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grpSp>
        <xdr:nvGrpSpPr>
          <xdr:cNvPr id="8" name="Agrupar 7">
            <a:hlinkClick xmlns:r="http://schemas.openxmlformats.org/officeDocument/2006/relationships" r:id="rId11"/>
            <a:extLst>
              <a:ext uri="{FF2B5EF4-FFF2-40B4-BE49-F238E27FC236}">
                <a16:creationId xmlns:a16="http://schemas.microsoft.com/office/drawing/2014/main" id="{00000000-0008-0000-0A00-000008000000}"/>
              </a:ext>
            </a:extLst>
          </xdr:cNvPr>
          <xdr:cNvGrpSpPr/>
        </xdr:nvGrpSpPr>
        <xdr:grpSpPr>
          <a:xfrm>
            <a:off x="5686425" y="76200"/>
            <a:ext cx="1028700" cy="933449"/>
            <a:chOff x="6581775" y="209550"/>
            <a:chExt cx="1028700" cy="933449"/>
          </a:xfrm>
        </xdr:grpSpPr>
        <xdr:sp macro="" textlink="">
          <xdr:nvSpPr>
            <xdr:cNvPr id="18" name="Retângulo 17">
              <a:extLst>
                <a:ext uri="{FF2B5EF4-FFF2-40B4-BE49-F238E27FC236}">
                  <a16:creationId xmlns:a16="http://schemas.microsoft.com/office/drawing/2014/main" id="{00000000-0008-0000-0A00-000012000000}"/>
                </a:ext>
              </a:extLst>
            </xdr:cNvPr>
            <xdr:cNvSpPr/>
          </xdr:nvSpPr>
          <xdr:spPr>
            <a:xfrm>
              <a:off x="658177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grpSp>
        <xdr:nvGrpSpPr>
          <xdr:cNvPr id="9" name="Agrupar 8">
            <a:hlinkClick xmlns:r="http://schemas.openxmlformats.org/officeDocument/2006/relationships" r:id="rId13"/>
            <a:extLst>
              <a:ext uri="{FF2B5EF4-FFF2-40B4-BE49-F238E27FC236}">
                <a16:creationId xmlns:a16="http://schemas.microsoft.com/office/drawing/2014/main" id="{00000000-0008-0000-0A00-000009000000}"/>
              </a:ext>
            </a:extLst>
          </xdr:cNvPr>
          <xdr:cNvGrpSpPr/>
        </xdr:nvGrpSpPr>
        <xdr:grpSpPr>
          <a:xfrm>
            <a:off x="6819900" y="76200"/>
            <a:ext cx="1028700" cy="933449"/>
            <a:chOff x="7905750" y="190500"/>
            <a:chExt cx="1028700" cy="933449"/>
          </a:xfrm>
        </xdr:grpSpPr>
        <xdr:sp macro="" textlink="">
          <xdr:nvSpPr>
            <xdr:cNvPr id="16" name="Retângulo 15">
              <a:extLst>
                <a:ext uri="{FF2B5EF4-FFF2-40B4-BE49-F238E27FC236}">
                  <a16:creationId xmlns:a16="http://schemas.microsoft.com/office/drawing/2014/main" id="{00000000-0008-0000-0A00-000010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17" name="Imagem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grpSp>
        <xdr:nvGrpSpPr>
          <xdr:cNvPr id="10" name="Agrupar 9">
            <a:hlinkClick xmlns:r="http://schemas.openxmlformats.org/officeDocument/2006/relationships" r:id="rId15"/>
            <a:extLst>
              <a:ext uri="{FF2B5EF4-FFF2-40B4-BE49-F238E27FC236}">
                <a16:creationId xmlns:a16="http://schemas.microsoft.com/office/drawing/2014/main" id="{00000000-0008-0000-0A00-00000A000000}"/>
              </a:ext>
            </a:extLst>
          </xdr:cNvPr>
          <xdr:cNvGrpSpPr/>
        </xdr:nvGrpSpPr>
        <xdr:grpSpPr>
          <a:xfrm>
            <a:off x="7991475" y="79375"/>
            <a:ext cx="1028700" cy="933449"/>
            <a:chOff x="9267825" y="190500"/>
            <a:chExt cx="1028700" cy="933449"/>
          </a:xfrm>
        </xdr:grpSpPr>
        <xdr:sp macro="" textlink="">
          <xdr:nvSpPr>
            <xdr:cNvPr id="14" name="Retângulo 13">
              <a:extLst>
                <a:ext uri="{FF2B5EF4-FFF2-40B4-BE49-F238E27FC236}">
                  <a16:creationId xmlns:a16="http://schemas.microsoft.com/office/drawing/2014/main" id="{00000000-0008-0000-0A00-00000E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15" name="Gráfico 14" descr="Ligar">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474200" y="264021"/>
              <a:ext cx="650875" cy="650183"/>
            </a:xfrm>
            <a:prstGeom prst="rect">
              <a:avLst/>
            </a:prstGeom>
          </xdr:spPr>
        </xdr:pic>
      </xdr:grpSp>
      <xdr:grpSp>
        <xdr:nvGrpSpPr>
          <xdr:cNvPr id="11" name="Agrupar 10">
            <a:hlinkClick xmlns:r="http://schemas.openxmlformats.org/officeDocument/2006/relationships" r:id="rId18"/>
            <a:extLst>
              <a:ext uri="{FF2B5EF4-FFF2-40B4-BE49-F238E27FC236}">
                <a16:creationId xmlns:a16="http://schemas.microsoft.com/office/drawing/2014/main" id="{00000000-0008-0000-0A00-00000B000000}"/>
              </a:ext>
            </a:extLst>
          </xdr:cNvPr>
          <xdr:cNvGrpSpPr/>
        </xdr:nvGrpSpPr>
        <xdr:grpSpPr>
          <a:xfrm>
            <a:off x="9159875" y="76200"/>
            <a:ext cx="1028700" cy="933449"/>
            <a:chOff x="10531475" y="177800"/>
            <a:chExt cx="1028700" cy="933449"/>
          </a:xfrm>
        </xdr:grpSpPr>
        <xdr:sp macro="" textlink="">
          <xdr:nvSpPr>
            <xdr:cNvPr id="12" name="Retângulo 11">
              <a:extLst>
                <a:ext uri="{FF2B5EF4-FFF2-40B4-BE49-F238E27FC236}">
                  <a16:creationId xmlns:a16="http://schemas.microsoft.com/office/drawing/2014/main" id="{00000000-0008-0000-0A00-00000C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13" name="Imagem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grpSp>
    <xdr:clientData/>
  </xdr:twoCellAnchor>
  <xdr:twoCellAnchor>
    <xdr:from>
      <xdr:col>11</xdr:col>
      <xdr:colOff>352425</xdr:colOff>
      <xdr:row>7</xdr:row>
      <xdr:rowOff>28575</xdr:rowOff>
    </xdr:from>
    <xdr:to>
      <xdr:col>13</xdr:col>
      <xdr:colOff>434084</xdr:colOff>
      <xdr:row>9</xdr:row>
      <xdr:rowOff>33847</xdr:rowOff>
    </xdr:to>
    <xdr:grpSp>
      <xdr:nvGrpSpPr>
        <xdr:cNvPr id="30" name="Agrupar 29">
          <a:hlinkClick xmlns:r="http://schemas.openxmlformats.org/officeDocument/2006/relationships" r:id="rId20"/>
          <a:extLst>
            <a:ext uri="{FF2B5EF4-FFF2-40B4-BE49-F238E27FC236}">
              <a16:creationId xmlns:a16="http://schemas.microsoft.com/office/drawing/2014/main" id="{00000000-0008-0000-0A00-00001E000000}"/>
            </a:ext>
          </a:extLst>
        </xdr:cNvPr>
        <xdr:cNvGrpSpPr/>
      </xdr:nvGrpSpPr>
      <xdr:grpSpPr>
        <a:xfrm>
          <a:off x="5438775" y="1438275"/>
          <a:ext cx="757934" cy="386272"/>
          <a:chOff x="5324476" y="1276350"/>
          <a:chExt cx="628650" cy="390525"/>
        </a:xfrm>
      </xdr:grpSpPr>
      <xdr:sp macro="" textlink="">
        <xdr:nvSpPr>
          <xdr:cNvPr id="31" name="Retângulo 30">
            <a:extLst>
              <a:ext uri="{FF2B5EF4-FFF2-40B4-BE49-F238E27FC236}">
                <a16:creationId xmlns:a16="http://schemas.microsoft.com/office/drawing/2014/main" id="{00000000-0008-0000-0A00-00001F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2" name="Gráfico 31" descr="Dinheiro">
            <a:extLst>
              <a:ext uri="{FF2B5EF4-FFF2-40B4-BE49-F238E27FC236}">
                <a16:creationId xmlns:a16="http://schemas.microsoft.com/office/drawing/2014/main" id="{00000000-0008-0000-0A00-000020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473384" y="1276350"/>
            <a:ext cx="347450" cy="361049"/>
          </a:xfrm>
          <a:prstGeom prst="rect">
            <a:avLst/>
          </a:prstGeom>
        </xdr:spPr>
      </xdr:pic>
    </xdr:grpSp>
    <xdr:clientData/>
  </xdr:twoCellAnchor>
  <xdr:twoCellAnchor>
    <xdr:from>
      <xdr:col>13</xdr:col>
      <xdr:colOff>540490</xdr:colOff>
      <xdr:row>7</xdr:row>
      <xdr:rowOff>54631</xdr:rowOff>
    </xdr:from>
    <xdr:to>
      <xdr:col>14</xdr:col>
      <xdr:colOff>695125</xdr:colOff>
      <xdr:row>9</xdr:row>
      <xdr:rowOff>30037</xdr:rowOff>
    </xdr:to>
    <xdr:grpSp>
      <xdr:nvGrpSpPr>
        <xdr:cNvPr id="33" name="Agrupar 32">
          <a:hlinkClick xmlns:r="http://schemas.openxmlformats.org/officeDocument/2006/relationships" r:id="rId23"/>
          <a:extLst>
            <a:ext uri="{FF2B5EF4-FFF2-40B4-BE49-F238E27FC236}">
              <a16:creationId xmlns:a16="http://schemas.microsoft.com/office/drawing/2014/main" id="{00000000-0008-0000-0A00-000021000000}"/>
            </a:ext>
          </a:extLst>
        </xdr:cNvPr>
        <xdr:cNvGrpSpPr/>
      </xdr:nvGrpSpPr>
      <xdr:grpSpPr>
        <a:xfrm>
          <a:off x="6303115" y="1464331"/>
          <a:ext cx="764235" cy="356406"/>
          <a:chOff x="6229350" y="1300613"/>
          <a:chExt cx="647700" cy="375787"/>
        </a:xfrm>
      </xdr:grpSpPr>
      <xdr:sp macro="" textlink="">
        <xdr:nvSpPr>
          <xdr:cNvPr id="34" name="Retângulo 33">
            <a:extLst>
              <a:ext uri="{FF2B5EF4-FFF2-40B4-BE49-F238E27FC236}">
                <a16:creationId xmlns:a16="http://schemas.microsoft.com/office/drawing/2014/main" id="{00000000-0008-0000-0A00-000022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35" name="Gráfico 34" descr="Gráfico de barras">
            <a:extLst>
              <a:ext uri="{FF2B5EF4-FFF2-40B4-BE49-F238E27FC236}">
                <a16:creationId xmlns:a16="http://schemas.microsoft.com/office/drawing/2014/main" id="{00000000-0008-0000-0A00-000023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6330706" y="1314451"/>
            <a:ext cx="460619" cy="338946"/>
          </a:xfrm>
          <a:prstGeom prst="rect">
            <a:avLst/>
          </a:prstGeom>
        </xdr:spPr>
      </xdr:pic>
    </xdr:grpSp>
    <xdr:clientData/>
  </xdr:twoCellAnchor>
  <xdr:twoCellAnchor>
    <xdr:from>
      <xdr:col>14</xdr:col>
      <xdr:colOff>798994</xdr:colOff>
      <xdr:row>7</xdr:row>
      <xdr:rowOff>54632</xdr:rowOff>
    </xdr:from>
    <xdr:to>
      <xdr:col>15</xdr:col>
      <xdr:colOff>358141</xdr:colOff>
      <xdr:row>9</xdr:row>
      <xdr:rowOff>30480</xdr:rowOff>
    </xdr:to>
    <xdr:grpSp>
      <xdr:nvGrpSpPr>
        <xdr:cNvPr id="48" name="Agrupar 47">
          <a:extLst>
            <a:ext uri="{FF2B5EF4-FFF2-40B4-BE49-F238E27FC236}">
              <a16:creationId xmlns:a16="http://schemas.microsoft.com/office/drawing/2014/main" id="{00000000-0008-0000-0A00-000030000000}"/>
            </a:ext>
          </a:extLst>
        </xdr:cNvPr>
        <xdr:cNvGrpSpPr/>
      </xdr:nvGrpSpPr>
      <xdr:grpSpPr>
        <a:xfrm>
          <a:off x="7171219" y="1464332"/>
          <a:ext cx="749772" cy="356848"/>
          <a:chOff x="7175028" y="1538627"/>
          <a:chExt cx="794186" cy="365976"/>
        </a:xfrm>
      </xdr:grpSpPr>
      <xdr:sp macro="" textlink="">
        <xdr:nvSpPr>
          <xdr:cNvPr id="37" name="Retângulo 36">
            <a:extLst>
              <a:ext uri="{FF2B5EF4-FFF2-40B4-BE49-F238E27FC236}">
                <a16:creationId xmlns:a16="http://schemas.microsoft.com/office/drawing/2014/main" id="{00000000-0008-0000-0A00-000025000000}"/>
              </a:ext>
            </a:extLst>
          </xdr:cNvPr>
          <xdr:cNvSpPr/>
        </xdr:nvSpPr>
        <xdr:spPr>
          <a:xfrm>
            <a:off x="7175028" y="1538627"/>
            <a:ext cx="794186"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47" name="Gráfico 46" descr="Lixo">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7419975" y="1562099"/>
            <a:ext cx="304800" cy="30480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xdr:colOff>
      <xdr:row>1</xdr:row>
      <xdr:rowOff>85725</xdr:rowOff>
    </xdr:from>
    <xdr:to>
      <xdr:col>5</xdr:col>
      <xdr:colOff>781051</xdr:colOff>
      <xdr:row>4</xdr:row>
      <xdr:rowOff>95250</xdr:rowOff>
    </xdr:to>
    <xdr:grpSp>
      <xdr:nvGrpSpPr>
        <xdr:cNvPr id="6" name="Agrupar 5">
          <a:hlinkClick xmlns:r="http://schemas.openxmlformats.org/officeDocument/2006/relationships" r:id="rId1"/>
          <a:extLst>
            <a:ext uri="{FF2B5EF4-FFF2-40B4-BE49-F238E27FC236}">
              <a16:creationId xmlns:a16="http://schemas.microsoft.com/office/drawing/2014/main" id="{00000000-0008-0000-0B00-000006000000}"/>
            </a:ext>
          </a:extLst>
        </xdr:cNvPr>
        <xdr:cNvGrpSpPr/>
      </xdr:nvGrpSpPr>
      <xdr:grpSpPr>
        <a:xfrm>
          <a:off x="1000126" y="381000"/>
          <a:ext cx="2000250" cy="581025"/>
          <a:chOff x="3733797" y="990600"/>
          <a:chExt cx="2333628" cy="800100"/>
        </a:xfrm>
      </xdr:grpSpPr>
      <xdr:sp macro="" textlink="">
        <xdr:nvSpPr>
          <xdr:cNvPr id="3" name="CaixaDeTexto 2">
            <a:extLst>
              <a:ext uri="{FF2B5EF4-FFF2-40B4-BE49-F238E27FC236}">
                <a16:creationId xmlns:a16="http://schemas.microsoft.com/office/drawing/2014/main" id="{00000000-0008-0000-0B00-000003000000}"/>
              </a:ext>
            </a:extLst>
          </xdr:cNvPr>
          <xdr:cNvSpPr txBox="1"/>
        </xdr:nvSpPr>
        <xdr:spPr>
          <a:xfrm>
            <a:off x="4114799" y="990600"/>
            <a:ext cx="1952626" cy="800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b="1">
                <a:solidFill>
                  <a:srgbClr val="FF0000"/>
                </a:solidFill>
                <a:latin typeface="Adobe Devanagari" panose="02040503050201020203" pitchFamily="18" charset="0"/>
                <a:cs typeface="Adobe Devanagari" panose="02040503050201020203" pitchFamily="18" charset="0"/>
              </a:rPr>
              <a:t>ATENÇÃO:  </a:t>
            </a:r>
            <a:r>
              <a:rPr lang="pt-BR" sz="1050" b="0">
                <a:solidFill>
                  <a:schemeClr val="tx1"/>
                </a:solidFill>
                <a:latin typeface="Adobe Devanagari" panose="02040503050201020203" pitchFamily="18" charset="0"/>
                <a:cs typeface="Adobe Devanagari" panose="02040503050201020203" pitchFamily="18" charset="0"/>
              </a:rPr>
              <a:t>Clique</a:t>
            </a:r>
            <a:r>
              <a:rPr lang="pt-BR" sz="1050" b="0" baseline="0">
                <a:solidFill>
                  <a:schemeClr val="tx1"/>
                </a:solidFill>
                <a:latin typeface="Adobe Devanagari" panose="02040503050201020203" pitchFamily="18" charset="0"/>
                <a:cs typeface="Adobe Devanagari" panose="02040503050201020203" pitchFamily="18" charset="0"/>
              </a:rPr>
              <a:t> </a:t>
            </a:r>
            <a:r>
              <a:rPr lang="pt-BR" sz="1050" b="1" baseline="0">
                <a:solidFill>
                  <a:schemeClr val="tx1"/>
                </a:solidFill>
                <a:latin typeface="Adobe Devanagari" panose="02040503050201020203" pitchFamily="18" charset="0"/>
                <a:cs typeface="Adobe Devanagari" panose="02040503050201020203" pitchFamily="18" charset="0"/>
              </a:rPr>
              <a:t>AQUI</a:t>
            </a:r>
            <a:r>
              <a:rPr lang="pt-BR" sz="1050" b="0" baseline="0">
                <a:solidFill>
                  <a:schemeClr val="tx1"/>
                </a:solidFill>
                <a:latin typeface="Adobe Devanagari" panose="02040503050201020203" pitchFamily="18" charset="0"/>
                <a:cs typeface="Adobe Devanagari" panose="02040503050201020203" pitchFamily="18" charset="0"/>
              </a:rPr>
              <a:t> para voltar ao MENU PRINCIPAL.</a:t>
            </a:r>
            <a:endParaRPr lang="pt-BR" sz="1050" b="0">
              <a:solidFill>
                <a:srgbClr val="4F772D"/>
              </a:solidFill>
              <a:latin typeface="Adobe Devanagari" panose="02040503050201020203" pitchFamily="18" charset="0"/>
              <a:cs typeface="Adobe Devanagari" panose="02040503050201020203" pitchFamily="18" charset="0"/>
            </a:endParaRPr>
          </a:p>
        </xdr:txBody>
      </xdr:sp>
      <xdr:pic>
        <xdr:nvPicPr>
          <xdr:cNvPr id="5" name="Gráfico 4" descr="Lâmpada">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0800000">
            <a:off x="3733797" y="1171573"/>
            <a:ext cx="514351" cy="514351"/>
          </a:xfrm>
          <a:prstGeom prst="rect">
            <a:avLst/>
          </a:prstGeom>
        </xdr:spPr>
      </xdr:pic>
    </xdr:grpSp>
    <xdr:clientData/>
  </xdr:twoCellAnchor>
  <xdr:twoCellAnchor>
    <xdr:from>
      <xdr:col>11</xdr:col>
      <xdr:colOff>200026</xdr:colOff>
      <xdr:row>1</xdr:row>
      <xdr:rowOff>133349</xdr:rowOff>
    </xdr:from>
    <xdr:to>
      <xdr:col>13</xdr:col>
      <xdr:colOff>1285876</xdr:colOff>
      <xdr:row>4</xdr:row>
      <xdr:rowOff>114300</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0B00-000002000000}"/>
            </a:ext>
          </a:extLst>
        </xdr:cNvPr>
        <xdr:cNvGrpSpPr/>
      </xdr:nvGrpSpPr>
      <xdr:grpSpPr>
        <a:xfrm>
          <a:off x="11001376" y="428624"/>
          <a:ext cx="2190750" cy="552451"/>
          <a:chOff x="10010775" y="428624"/>
          <a:chExt cx="2162175" cy="666751"/>
        </a:xfrm>
      </xdr:grpSpPr>
      <xdr:sp macro="" textlink="">
        <xdr:nvSpPr>
          <xdr:cNvPr id="8" name="CaixaDeTexto 7">
            <a:extLst>
              <a:ext uri="{FF2B5EF4-FFF2-40B4-BE49-F238E27FC236}">
                <a16:creationId xmlns:a16="http://schemas.microsoft.com/office/drawing/2014/main" id="{00000000-0008-0000-0B00-000008000000}"/>
              </a:ext>
            </a:extLst>
          </xdr:cNvPr>
          <xdr:cNvSpPr txBox="1"/>
        </xdr:nvSpPr>
        <xdr:spPr>
          <a:xfrm>
            <a:off x="10395664" y="428624"/>
            <a:ext cx="1777286" cy="6667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b="1">
                <a:solidFill>
                  <a:srgbClr val="FF0000"/>
                </a:solidFill>
                <a:latin typeface="Adobe Devanagari" panose="02040503050201020203" pitchFamily="18" charset="0"/>
                <a:cs typeface="Adobe Devanagari" panose="02040503050201020203" pitchFamily="18" charset="0"/>
              </a:rPr>
              <a:t>ATENÇÃO:  </a:t>
            </a:r>
            <a:r>
              <a:rPr lang="pt-BR" sz="1050" b="0">
                <a:solidFill>
                  <a:schemeClr val="tx1"/>
                </a:solidFill>
                <a:latin typeface="Adobe Devanagari" panose="02040503050201020203" pitchFamily="18" charset="0"/>
                <a:cs typeface="Adobe Devanagari" panose="02040503050201020203" pitchFamily="18" charset="0"/>
              </a:rPr>
              <a:t>Clique</a:t>
            </a:r>
            <a:r>
              <a:rPr lang="pt-BR" sz="1050" b="0" baseline="0">
                <a:solidFill>
                  <a:schemeClr val="tx1"/>
                </a:solidFill>
                <a:latin typeface="Adobe Devanagari" panose="02040503050201020203" pitchFamily="18" charset="0"/>
                <a:cs typeface="Adobe Devanagari" panose="02040503050201020203" pitchFamily="18" charset="0"/>
              </a:rPr>
              <a:t> </a:t>
            </a:r>
            <a:r>
              <a:rPr lang="pt-BR" sz="1050" b="1" baseline="0">
                <a:solidFill>
                  <a:schemeClr val="tx1"/>
                </a:solidFill>
                <a:latin typeface="Adobe Devanagari" panose="02040503050201020203" pitchFamily="18" charset="0"/>
                <a:cs typeface="Adobe Devanagari" panose="02040503050201020203" pitchFamily="18" charset="0"/>
              </a:rPr>
              <a:t>AQUI </a:t>
            </a:r>
            <a:r>
              <a:rPr lang="pt-BR" sz="1050" b="0" baseline="0">
                <a:solidFill>
                  <a:schemeClr val="tx1"/>
                </a:solidFill>
                <a:latin typeface="Adobe Devanagari" panose="02040503050201020203" pitchFamily="18" charset="0"/>
                <a:cs typeface="Adobe Devanagari" panose="02040503050201020203" pitchFamily="18" charset="0"/>
              </a:rPr>
              <a:t>para voltar ao MENU PRINCIPAL.</a:t>
            </a:r>
            <a:endParaRPr lang="pt-BR" sz="1050" b="1">
              <a:solidFill>
                <a:srgbClr val="4F772D"/>
              </a:solidFill>
              <a:latin typeface="Adobe Devanagari" panose="02040503050201020203" pitchFamily="18" charset="0"/>
              <a:cs typeface="Adobe Devanagari" panose="02040503050201020203" pitchFamily="18" charset="0"/>
            </a:endParaRPr>
          </a:p>
        </xdr:txBody>
      </xdr:sp>
      <xdr:pic>
        <xdr:nvPicPr>
          <xdr:cNvPr id="9" name="Gráfico 8" descr="Lâmpada">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0800000">
            <a:off x="10010775" y="579435"/>
            <a:ext cx="468164" cy="428627"/>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180975</xdr:colOff>
      <xdr:row>0</xdr:row>
      <xdr:rowOff>133350</xdr:rowOff>
    </xdr:from>
    <xdr:to>
      <xdr:col>2</xdr:col>
      <xdr:colOff>504824</xdr:colOff>
      <xdr:row>5</xdr:row>
      <xdr:rowOff>123826</xdr:rowOff>
    </xdr:to>
    <xdr:grpSp>
      <xdr:nvGrpSpPr>
        <xdr:cNvPr id="2" name="Agrupar 1">
          <a:hlinkClick xmlns:r="http://schemas.openxmlformats.org/officeDocument/2006/relationships" r:id="rId1"/>
          <a:extLst>
            <a:ext uri="{FF2B5EF4-FFF2-40B4-BE49-F238E27FC236}">
              <a16:creationId xmlns:a16="http://schemas.microsoft.com/office/drawing/2014/main" id="{00000000-0008-0000-1100-000002000000}"/>
            </a:ext>
          </a:extLst>
        </xdr:cNvPr>
        <xdr:cNvGrpSpPr/>
      </xdr:nvGrpSpPr>
      <xdr:grpSpPr>
        <a:xfrm>
          <a:off x="180975" y="133350"/>
          <a:ext cx="1142999" cy="942976"/>
          <a:chOff x="5038725" y="885825"/>
          <a:chExt cx="1028700" cy="933449"/>
        </a:xfrm>
        <a:solidFill>
          <a:srgbClr val="3ACE76"/>
        </a:solidFill>
      </xdr:grpSpPr>
      <xdr:sp macro="" textlink="">
        <xdr:nvSpPr>
          <xdr:cNvPr id="3" name="Retângulo 2">
            <a:extLst>
              <a:ext uri="{FF2B5EF4-FFF2-40B4-BE49-F238E27FC236}">
                <a16:creationId xmlns:a16="http://schemas.microsoft.com/office/drawing/2014/main" id="{00000000-0008-0000-1100-000003000000}"/>
              </a:ext>
            </a:extLst>
          </xdr:cNvPr>
          <xdr:cNvSpPr/>
        </xdr:nvSpPr>
        <xdr:spPr>
          <a:xfrm>
            <a:off x="5038725" y="8858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latin typeface="Adobe Garamond Pro Bold" panose="02020702060506020403" pitchFamily="18" charset="0"/>
              </a:rPr>
              <a:t>COMPUTADOR</a:t>
            </a:r>
          </a:p>
        </xdr:txBody>
      </xdr:sp>
      <xdr:pic>
        <xdr:nvPicPr>
          <xdr:cNvPr id="4" name="Imagem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14953" y="1076326"/>
            <a:ext cx="485772" cy="485772"/>
          </a:xfrm>
          <a:prstGeom prst="rect">
            <a:avLst/>
          </a:prstGeom>
          <a:grpFill/>
        </xdr:spPr>
      </xdr:pic>
    </xdr:grpSp>
    <xdr:clientData/>
  </xdr:twoCellAnchor>
  <xdr:twoCellAnchor>
    <xdr:from>
      <xdr:col>5</xdr:col>
      <xdr:colOff>114300</xdr:colOff>
      <xdr:row>0</xdr:row>
      <xdr:rowOff>142875</xdr:rowOff>
    </xdr:from>
    <xdr:to>
      <xdr:col>6</xdr:col>
      <xdr:colOff>533400</xdr:colOff>
      <xdr:row>5</xdr:row>
      <xdr:rowOff>123824</xdr:rowOff>
    </xdr:to>
    <xdr:grpSp>
      <xdr:nvGrpSpPr>
        <xdr:cNvPr id="5" name="Agrupar 4">
          <a:hlinkClick xmlns:r="http://schemas.openxmlformats.org/officeDocument/2006/relationships" r:id="rId3"/>
          <a:extLst>
            <a:ext uri="{FF2B5EF4-FFF2-40B4-BE49-F238E27FC236}">
              <a16:creationId xmlns:a16="http://schemas.microsoft.com/office/drawing/2014/main" id="{00000000-0008-0000-1100-000005000000}"/>
            </a:ext>
          </a:extLst>
        </xdr:cNvPr>
        <xdr:cNvGrpSpPr/>
      </xdr:nvGrpSpPr>
      <xdr:grpSpPr>
        <a:xfrm>
          <a:off x="2762250" y="142875"/>
          <a:ext cx="1028700" cy="933449"/>
          <a:chOff x="6705600" y="952500"/>
          <a:chExt cx="1028700" cy="933449"/>
        </a:xfrm>
        <a:solidFill>
          <a:srgbClr val="F3673B"/>
        </a:solidFill>
      </xdr:grpSpPr>
      <xdr:sp macro="" textlink="">
        <xdr:nvSpPr>
          <xdr:cNvPr id="6" name="Retângulo 5">
            <a:extLst>
              <a:ext uri="{FF2B5EF4-FFF2-40B4-BE49-F238E27FC236}">
                <a16:creationId xmlns:a16="http://schemas.microsoft.com/office/drawing/2014/main" id="{00000000-0008-0000-1100-000006000000}"/>
              </a:ext>
            </a:extLst>
          </xdr:cNvPr>
          <xdr:cNvSpPr/>
        </xdr:nvSpPr>
        <xdr:spPr>
          <a:xfrm>
            <a:off x="67056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PROJETOR</a:t>
            </a:r>
          </a:p>
        </xdr:txBody>
      </xdr:sp>
      <xdr:pic>
        <xdr:nvPicPr>
          <xdr:cNvPr id="7" name="Imagem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6711" y="1066799"/>
            <a:ext cx="647089" cy="647089"/>
          </a:xfrm>
          <a:prstGeom prst="rect">
            <a:avLst/>
          </a:prstGeom>
          <a:grpFill/>
        </xdr:spPr>
      </xdr:pic>
    </xdr:grpSp>
    <xdr:clientData/>
  </xdr:twoCellAnchor>
  <xdr:twoCellAnchor editAs="absolute">
    <xdr:from>
      <xdr:col>9</xdr:col>
      <xdr:colOff>152400</xdr:colOff>
      <xdr:row>0</xdr:row>
      <xdr:rowOff>152400</xdr:rowOff>
    </xdr:from>
    <xdr:to>
      <xdr:col>10</xdr:col>
      <xdr:colOff>571500</xdr:colOff>
      <xdr:row>5</xdr:row>
      <xdr:rowOff>133349</xdr:rowOff>
    </xdr:to>
    <xdr:grpSp>
      <xdr:nvGrpSpPr>
        <xdr:cNvPr id="8" name="Agrupar 7">
          <a:hlinkClick xmlns:r="http://schemas.openxmlformats.org/officeDocument/2006/relationships" r:id="rId5"/>
          <a:extLst>
            <a:ext uri="{FF2B5EF4-FFF2-40B4-BE49-F238E27FC236}">
              <a16:creationId xmlns:a16="http://schemas.microsoft.com/office/drawing/2014/main" id="{00000000-0008-0000-1100-000008000000}"/>
            </a:ext>
          </a:extLst>
        </xdr:cNvPr>
        <xdr:cNvGrpSpPr/>
      </xdr:nvGrpSpPr>
      <xdr:grpSpPr>
        <a:xfrm>
          <a:off x="5238750" y="152400"/>
          <a:ext cx="1028700" cy="933449"/>
          <a:chOff x="8534400" y="952500"/>
          <a:chExt cx="1028700" cy="933449"/>
        </a:xfrm>
        <a:solidFill>
          <a:srgbClr val="FF33CC"/>
        </a:solidFill>
      </xdr:grpSpPr>
      <xdr:sp macro="" textlink="">
        <xdr:nvSpPr>
          <xdr:cNvPr id="9" name="Retângulo 8">
            <a:extLst>
              <a:ext uri="{FF2B5EF4-FFF2-40B4-BE49-F238E27FC236}">
                <a16:creationId xmlns:a16="http://schemas.microsoft.com/office/drawing/2014/main" id="{00000000-0008-0000-1100-000009000000}"/>
              </a:ext>
            </a:extLst>
          </xdr:cNvPr>
          <xdr:cNvSpPr/>
        </xdr:nvSpPr>
        <xdr:spPr>
          <a:xfrm>
            <a:off x="8534400" y="9525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HOME</a:t>
            </a:r>
            <a:r>
              <a:rPr lang="pt-BR" sz="900" b="1" baseline="0"/>
              <a:t> THEATHER</a:t>
            </a:r>
            <a:endParaRPr lang="pt-BR" sz="900" b="1"/>
          </a:p>
        </xdr:txBody>
      </xdr:sp>
      <xdr:pic>
        <xdr:nvPicPr>
          <xdr:cNvPr id="10" name="Imagem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24901" y="1056664"/>
            <a:ext cx="609599" cy="609599"/>
          </a:xfrm>
          <a:prstGeom prst="rect">
            <a:avLst/>
          </a:prstGeom>
          <a:grpFill/>
        </xdr:spPr>
      </xdr:pic>
    </xdr:grpSp>
    <xdr:clientData/>
  </xdr:twoCellAnchor>
  <xdr:twoCellAnchor editAs="absolute">
    <xdr:from>
      <xdr:col>3</xdr:col>
      <xdr:colOff>104775</xdr:colOff>
      <xdr:row>0</xdr:row>
      <xdr:rowOff>133350</xdr:rowOff>
    </xdr:from>
    <xdr:to>
      <xdr:col>4</xdr:col>
      <xdr:colOff>523875</xdr:colOff>
      <xdr:row>5</xdr:row>
      <xdr:rowOff>114299</xdr:rowOff>
    </xdr:to>
    <xdr:grpSp>
      <xdr:nvGrpSpPr>
        <xdr:cNvPr id="11" name="Agrupar 10">
          <a:hlinkClick xmlns:r="http://schemas.openxmlformats.org/officeDocument/2006/relationships" r:id="rId7"/>
          <a:extLst>
            <a:ext uri="{FF2B5EF4-FFF2-40B4-BE49-F238E27FC236}">
              <a16:creationId xmlns:a16="http://schemas.microsoft.com/office/drawing/2014/main" id="{00000000-0008-0000-1100-00000B000000}"/>
            </a:ext>
          </a:extLst>
        </xdr:cNvPr>
        <xdr:cNvGrpSpPr/>
      </xdr:nvGrpSpPr>
      <xdr:grpSpPr>
        <a:xfrm>
          <a:off x="1533525" y="133350"/>
          <a:ext cx="1028700" cy="933449"/>
          <a:chOff x="4629150" y="2295525"/>
          <a:chExt cx="1028700" cy="933449"/>
        </a:xfrm>
        <a:solidFill>
          <a:srgbClr val="00A8A4"/>
        </a:solidFill>
      </xdr:grpSpPr>
      <xdr:sp macro="" textlink="">
        <xdr:nvSpPr>
          <xdr:cNvPr id="12" name="Retângulo 11">
            <a:extLst>
              <a:ext uri="{FF2B5EF4-FFF2-40B4-BE49-F238E27FC236}">
                <a16:creationId xmlns:a16="http://schemas.microsoft.com/office/drawing/2014/main" id="{00000000-0008-0000-1100-00000C000000}"/>
              </a:ext>
            </a:extLst>
          </xdr:cNvPr>
          <xdr:cNvSpPr/>
        </xdr:nvSpPr>
        <xdr:spPr>
          <a:xfrm>
            <a:off x="4629150" y="2295525"/>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LOUSA</a:t>
            </a:r>
            <a:r>
              <a:rPr lang="pt-BR" sz="900" b="1" baseline="0"/>
              <a:t> - DIGITAL</a:t>
            </a:r>
            <a:endParaRPr lang="pt-BR" sz="900" b="1"/>
          </a:p>
        </xdr:txBody>
      </xdr:sp>
      <xdr:pic>
        <xdr:nvPicPr>
          <xdr:cNvPr id="13" name="Imagem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4805976" y="2438399"/>
            <a:ext cx="661372" cy="537364"/>
          </a:xfrm>
          <a:prstGeom prst="rect">
            <a:avLst/>
          </a:prstGeom>
          <a:grpFill/>
        </xdr:spPr>
      </xdr:pic>
    </xdr:grpSp>
    <xdr:clientData/>
  </xdr:twoCellAnchor>
  <xdr:twoCellAnchor>
    <xdr:from>
      <xdr:col>7</xdr:col>
      <xdr:colOff>133350</xdr:colOff>
      <xdr:row>0</xdr:row>
      <xdr:rowOff>152400</xdr:rowOff>
    </xdr:from>
    <xdr:to>
      <xdr:col>8</xdr:col>
      <xdr:colOff>552450</xdr:colOff>
      <xdr:row>5</xdr:row>
      <xdr:rowOff>133349</xdr:rowOff>
    </xdr:to>
    <xdr:grpSp>
      <xdr:nvGrpSpPr>
        <xdr:cNvPr id="14" name="Agrupar 13">
          <a:hlinkClick xmlns:r="http://schemas.openxmlformats.org/officeDocument/2006/relationships" r:id="rId9"/>
          <a:extLst>
            <a:ext uri="{FF2B5EF4-FFF2-40B4-BE49-F238E27FC236}">
              <a16:creationId xmlns:a16="http://schemas.microsoft.com/office/drawing/2014/main" id="{00000000-0008-0000-1100-00000E000000}"/>
            </a:ext>
          </a:extLst>
        </xdr:cNvPr>
        <xdr:cNvGrpSpPr/>
      </xdr:nvGrpSpPr>
      <xdr:grpSpPr>
        <a:xfrm>
          <a:off x="4000500" y="152400"/>
          <a:ext cx="1028700" cy="933449"/>
          <a:chOff x="6096000" y="2286000"/>
          <a:chExt cx="1028700" cy="933449"/>
        </a:xfrm>
        <a:solidFill>
          <a:srgbClr val="00B0F0"/>
        </a:solidFill>
      </xdr:grpSpPr>
      <xdr:sp macro="" textlink="">
        <xdr:nvSpPr>
          <xdr:cNvPr id="15" name="Retângulo 14">
            <a:extLst>
              <a:ext uri="{FF2B5EF4-FFF2-40B4-BE49-F238E27FC236}">
                <a16:creationId xmlns:a16="http://schemas.microsoft.com/office/drawing/2014/main" id="{00000000-0008-0000-1100-00000F000000}"/>
              </a:ext>
            </a:extLst>
          </xdr:cNvPr>
          <xdr:cNvSpPr/>
        </xdr:nvSpPr>
        <xdr:spPr>
          <a:xfrm>
            <a:off x="6096000" y="2286000"/>
            <a:ext cx="1028700" cy="933449"/>
          </a:xfrm>
          <a:prstGeom prst="rect">
            <a:avLst/>
          </a:prstGeom>
          <a:grp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900" b="1"/>
              <a:t>CÂMERA</a:t>
            </a:r>
            <a:r>
              <a:rPr lang="pt-BR" sz="900" b="1" baseline="0"/>
              <a:t> GO-PRO</a:t>
            </a:r>
            <a:endParaRPr lang="pt-BR" sz="900" b="1"/>
          </a:p>
        </xdr:txBody>
      </xdr:sp>
      <xdr:pic>
        <xdr:nvPicPr>
          <xdr:cNvPr id="16" name="Imagem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175" y="2362200"/>
            <a:ext cx="608990" cy="608990"/>
          </a:xfrm>
          <a:prstGeom prst="rect">
            <a:avLst/>
          </a:prstGeom>
          <a:grpFill/>
        </xdr:spPr>
      </xdr:pic>
    </xdr:grpSp>
    <xdr:clientData/>
  </xdr:twoCellAnchor>
  <xdr:twoCellAnchor editAs="absolute">
    <xdr:from>
      <xdr:col>11</xdr:col>
      <xdr:colOff>133350</xdr:colOff>
      <xdr:row>0</xdr:row>
      <xdr:rowOff>152400</xdr:rowOff>
    </xdr:from>
    <xdr:to>
      <xdr:col>12</xdr:col>
      <xdr:colOff>552450</xdr:colOff>
      <xdr:row>5</xdr:row>
      <xdr:rowOff>133349</xdr:rowOff>
    </xdr:to>
    <xdr:grpSp>
      <xdr:nvGrpSpPr>
        <xdr:cNvPr id="17" name="Agrupar 16">
          <a:hlinkClick xmlns:r="http://schemas.openxmlformats.org/officeDocument/2006/relationships" r:id="rId11"/>
          <a:extLst>
            <a:ext uri="{FF2B5EF4-FFF2-40B4-BE49-F238E27FC236}">
              <a16:creationId xmlns:a16="http://schemas.microsoft.com/office/drawing/2014/main" id="{00000000-0008-0000-1100-000011000000}"/>
            </a:ext>
          </a:extLst>
        </xdr:cNvPr>
        <xdr:cNvGrpSpPr/>
      </xdr:nvGrpSpPr>
      <xdr:grpSpPr>
        <a:xfrm>
          <a:off x="6438900" y="152400"/>
          <a:ext cx="1028700" cy="933449"/>
          <a:chOff x="6581775" y="209550"/>
          <a:chExt cx="1028700" cy="933449"/>
        </a:xfrm>
      </xdr:grpSpPr>
      <xdr:sp macro="" textlink="">
        <xdr:nvSpPr>
          <xdr:cNvPr id="18" name="Retângulo 17">
            <a:extLst>
              <a:ext uri="{FF2B5EF4-FFF2-40B4-BE49-F238E27FC236}">
                <a16:creationId xmlns:a16="http://schemas.microsoft.com/office/drawing/2014/main" id="{00000000-0008-0000-1100-000012000000}"/>
              </a:ext>
            </a:extLst>
          </xdr:cNvPr>
          <xdr:cNvSpPr/>
        </xdr:nvSpPr>
        <xdr:spPr>
          <a:xfrm>
            <a:off x="6581775" y="209550"/>
            <a:ext cx="1028700" cy="933449"/>
          </a:xfrm>
          <a:prstGeom prst="rect">
            <a:avLst/>
          </a:prstGeom>
          <a:solidFill>
            <a:srgbClr val="D30303"/>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MICROFONE</a:t>
            </a:r>
          </a:p>
        </xdr:txBody>
      </xdr:sp>
      <xdr:pic>
        <xdr:nvPicPr>
          <xdr:cNvPr id="19" name="Imagem 18">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8475" y="361950"/>
            <a:ext cx="490591" cy="490591"/>
          </a:xfrm>
          <a:prstGeom prst="rect">
            <a:avLst/>
          </a:prstGeom>
        </xdr:spPr>
      </xdr:pic>
    </xdr:grpSp>
    <xdr:clientData/>
  </xdr:twoCellAnchor>
  <xdr:twoCellAnchor editAs="absolute">
    <xdr:from>
      <xdr:col>13</xdr:col>
      <xdr:colOff>133350</xdr:colOff>
      <xdr:row>0</xdr:row>
      <xdr:rowOff>142875</xdr:rowOff>
    </xdr:from>
    <xdr:to>
      <xdr:col>14</xdr:col>
      <xdr:colOff>552450</xdr:colOff>
      <xdr:row>5</xdr:row>
      <xdr:rowOff>123824</xdr:rowOff>
    </xdr:to>
    <xdr:grpSp>
      <xdr:nvGrpSpPr>
        <xdr:cNvPr id="20" name="Agrupar 19">
          <a:hlinkClick xmlns:r="http://schemas.openxmlformats.org/officeDocument/2006/relationships" r:id="rId13"/>
          <a:extLst>
            <a:ext uri="{FF2B5EF4-FFF2-40B4-BE49-F238E27FC236}">
              <a16:creationId xmlns:a16="http://schemas.microsoft.com/office/drawing/2014/main" id="{00000000-0008-0000-1100-000014000000}"/>
            </a:ext>
          </a:extLst>
        </xdr:cNvPr>
        <xdr:cNvGrpSpPr/>
      </xdr:nvGrpSpPr>
      <xdr:grpSpPr>
        <a:xfrm>
          <a:off x="7658100" y="142875"/>
          <a:ext cx="1028700" cy="933449"/>
          <a:chOff x="7905750" y="190500"/>
          <a:chExt cx="1028700" cy="933449"/>
        </a:xfrm>
      </xdr:grpSpPr>
      <xdr:sp macro="" textlink="">
        <xdr:nvSpPr>
          <xdr:cNvPr id="21" name="Retângulo 20">
            <a:extLst>
              <a:ext uri="{FF2B5EF4-FFF2-40B4-BE49-F238E27FC236}">
                <a16:creationId xmlns:a16="http://schemas.microsoft.com/office/drawing/2014/main" id="{00000000-0008-0000-1100-000015000000}"/>
              </a:ext>
            </a:extLst>
          </xdr:cNvPr>
          <xdr:cNvSpPr/>
        </xdr:nvSpPr>
        <xdr:spPr>
          <a:xfrm>
            <a:off x="7905750" y="190500"/>
            <a:ext cx="1028700" cy="933449"/>
          </a:xfrm>
          <a:prstGeom prst="rect">
            <a:avLst/>
          </a:prstGeom>
          <a:solidFill>
            <a:srgbClr val="0070C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a:t>CÂMERAS</a:t>
            </a:r>
            <a:r>
              <a:rPr lang="pt-BR" sz="1000" b="1" baseline="0"/>
              <a:t> DE SEGURANÇA</a:t>
            </a:r>
            <a:endParaRPr lang="pt-BR" sz="1000" b="1"/>
          </a:p>
        </xdr:txBody>
      </xdr:sp>
      <xdr:pic>
        <xdr:nvPicPr>
          <xdr:cNvPr id="22" name="Imagem 21">
            <a:extLst>
              <a:ext uri="{FF2B5EF4-FFF2-40B4-BE49-F238E27FC236}">
                <a16:creationId xmlns:a16="http://schemas.microsoft.com/office/drawing/2014/main" id="{00000000-0008-0000-1100-000016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180429" y="212979"/>
            <a:ext cx="553996" cy="553996"/>
          </a:xfrm>
          <a:prstGeom prst="rect">
            <a:avLst/>
          </a:prstGeom>
        </xdr:spPr>
      </xdr:pic>
    </xdr:grpSp>
    <xdr:clientData/>
  </xdr:twoCellAnchor>
  <xdr:twoCellAnchor editAs="absolute">
    <xdr:from>
      <xdr:col>15</xdr:col>
      <xdr:colOff>114300</xdr:colOff>
      <xdr:row>0</xdr:row>
      <xdr:rowOff>136525</xdr:rowOff>
    </xdr:from>
    <xdr:to>
      <xdr:col>16</xdr:col>
      <xdr:colOff>533400</xdr:colOff>
      <xdr:row>5</xdr:row>
      <xdr:rowOff>117474</xdr:rowOff>
    </xdr:to>
    <xdr:grpSp>
      <xdr:nvGrpSpPr>
        <xdr:cNvPr id="23" name="Agrupar 22">
          <a:hlinkClick xmlns:r="http://schemas.openxmlformats.org/officeDocument/2006/relationships" r:id="rId15"/>
          <a:extLst>
            <a:ext uri="{FF2B5EF4-FFF2-40B4-BE49-F238E27FC236}">
              <a16:creationId xmlns:a16="http://schemas.microsoft.com/office/drawing/2014/main" id="{00000000-0008-0000-1100-000017000000}"/>
            </a:ext>
          </a:extLst>
        </xdr:cNvPr>
        <xdr:cNvGrpSpPr/>
      </xdr:nvGrpSpPr>
      <xdr:grpSpPr>
        <a:xfrm>
          <a:off x="8858250" y="136525"/>
          <a:ext cx="1028700" cy="933449"/>
          <a:chOff x="9267825" y="190500"/>
          <a:chExt cx="1028700" cy="933449"/>
        </a:xfrm>
      </xdr:grpSpPr>
      <xdr:sp macro="" textlink="">
        <xdr:nvSpPr>
          <xdr:cNvPr id="24" name="Retângulo 23">
            <a:extLst>
              <a:ext uri="{FF2B5EF4-FFF2-40B4-BE49-F238E27FC236}">
                <a16:creationId xmlns:a16="http://schemas.microsoft.com/office/drawing/2014/main" id="{00000000-0008-0000-1100-000018000000}"/>
              </a:ext>
            </a:extLst>
          </xdr:cNvPr>
          <xdr:cNvSpPr/>
        </xdr:nvSpPr>
        <xdr:spPr>
          <a:xfrm>
            <a:off x="9267825" y="190500"/>
            <a:ext cx="1028700" cy="933449"/>
          </a:xfrm>
          <a:prstGeom prst="rect">
            <a:avLst/>
          </a:prstGeom>
          <a:solidFill>
            <a:schemeClr val="bg2">
              <a:lumMod val="7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ACESSÓRIOS </a:t>
            </a:r>
            <a:endParaRPr lang="pt-BR" sz="1000" b="1"/>
          </a:p>
        </xdr:txBody>
      </xdr:sp>
      <xdr:pic>
        <xdr:nvPicPr>
          <xdr:cNvPr id="25" name="Gráfico 24" descr="Ligar">
            <a:extLst>
              <a:ext uri="{FF2B5EF4-FFF2-40B4-BE49-F238E27FC236}">
                <a16:creationId xmlns:a16="http://schemas.microsoft.com/office/drawing/2014/main" id="{00000000-0008-0000-1100-00001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474200" y="264021"/>
            <a:ext cx="650875" cy="650183"/>
          </a:xfrm>
          <a:prstGeom prst="rect">
            <a:avLst/>
          </a:prstGeom>
        </xdr:spPr>
      </xdr:pic>
    </xdr:grpSp>
    <xdr:clientData/>
  </xdr:twoCellAnchor>
  <xdr:twoCellAnchor editAs="absolute">
    <xdr:from>
      <xdr:col>17</xdr:col>
      <xdr:colOff>92075</xdr:colOff>
      <xdr:row>0</xdr:row>
      <xdr:rowOff>133350</xdr:rowOff>
    </xdr:from>
    <xdr:to>
      <xdr:col>18</xdr:col>
      <xdr:colOff>511175</xdr:colOff>
      <xdr:row>5</xdr:row>
      <xdr:rowOff>114299</xdr:rowOff>
    </xdr:to>
    <xdr:grpSp>
      <xdr:nvGrpSpPr>
        <xdr:cNvPr id="26" name="Agrupar 25">
          <a:hlinkClick xmlns:r="http://schemas.openxmlformats.org/officeDocument/2006/relationships" r:id="rId18"/>
          <a:extLst>
            <a:ext uri="{FF2B5EF4-FFF2-40B4-BE49-F238E27FC236}">
              <a16:creationId xmlns:a16="http://schemas.microsoft.com/office/drawing/2014/main" id="{00000000-0008-0000-1100-00001A000000}"/>
            </a:ext>
          </a:extLst>
        </xdr:cNvPr>
        <xdr:cNvGrpSpPr/>
      </xdr:nvGrpSpPr>
      <xdr:grpSpPr>
        <a:xfrm>
          <a:off x="10055225" y="133350"/>
          <a:ext cx="1028700" cy="933449"/>
          <a:chOff x="10531475" y="177800"/>
          <a:chExt cx="1028700" cy="933449"/>
        </a:xfrm>
      </xdr:grpSpPr>
      <xdr:sp macro="" textlink="">
        <xdr:nvSpPr>
          <xdr:cNvPr id="27" name="Retângulo 26">
            <a:extLst>
              <a:ext uri="{FF2B5EF4-FFF2-40B4-BE49-F238E27FC236}">
                <a16:creationId xmlns:a16="http://schemas.microsoft.com/office/drawing/2014/main" id="{00000000-0008-0000-1100-00001B000000}"/>
              </a:ext>
            </a:extLst>
          </xdr:cNvPr>
          <xdr:cNvSpPr/>
        </xdr:nvSpPr>
        <xdr:spPr>
          <a:xfrm>
            <a:off x="10531475" y="177800"/>
            <a:ext cx="1028700" cy="933449"/>
          </a:xfrm>
          <a:prstGeom prst="rect">
            <a:avLst/>
          </a:prstGeom>
          <a:solidFill>
            <a:schemeClr val="accent4">
              <a:lumMod val="50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000" b="1" baseline="0"/>
              <a:t>ENERGIA </a:t>
            </a:r>
            <a:endParaRPr lang="pt-BR" sz="1000" b="1"/>
          </a:p>
        </xdr:txBody>
      </xdr:sp>
      <xdr:pic>
        <xdr:nvPicPr>
          <xdr:cNvPr id="28" name="Imagem 27">
            <a:extLst>
              <a:ext uri="{FF2B5EF4-FFF2-40B4-BE49-F238E27FC236}">
                <a16:creationId xmlns:a16="http://schemas.microsoft.com/office/drawing/2014/main" id="{00000000-0008-0000-1100-00001C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752842" y="217576"/>
            <a:ext cx="588259" cy="728797"/>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14</xdr:col>
          <xdr:colOff>466725</xdr:colOff>
          <xdr:row>6</xdr:row>
          <xdr:rowOff>47625</xdr:rowOff>
        </xdr:from>
        <xdr:to>
          <xdr:col>16</xdr:col>
          <xdr:colOff>66675</xdr:colOff>
          <xdr:row>6</xdr:row>
          <xdr:rowOff>228600</xdr:rowOff>
        </xdr:to>
        <xdr:sp macro="" textlink="">
          <xdr:nvSpPr>
            <xdr:cNvPr id="10244" name="Drop Down 4" hidden="1">
              <a:extLst>
                <a:ext uri="{63B3BB69-23CF-44E3-9099-C40C66FF867C}">
                  <a14:compatExt spid="_x0000_s10244"/>
                </a:ext>
                <a:ext uri="{FF2B5EF4-FFF2-40B4-BE49-F238E27FC236}">
                  <a16:creationId xmlns:a16="http://schemas.microsoft.com/office/drawing/2014/main" id="{00000000-0008-0000-1100-00000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342900</xdr:colOff>
          <xdr:row>6</xdr:row>
          <xdr:rowOff>66675</xdr:rowOff>
        </xdr:from>
        <xdr:to>
          <xdr:col>17</xdr:col>
          <xdr:colOff>304800</xdr:colOff>
          <xdr:row>6</xdr:row>
          <xdr:rowOff>228600</xdr:rowOff>
        </xdr:to>
        <xdr:sp macro="" textlink="">
          <xdr:nvSpPr>
            <xdr:cNvPr id="10245" name="Drop Down 5" hidden="1">
              <a:extLst>
                <a:ext uri="{63B3BB69-23CF-44E3-9099-C40C66FF867C}">
                  <a14:compatExt spid="_x0000_s10245"/>
                </a:ext>
                <a:ext uri="{FF2B5EF4-FFF2-40B4-BE49-F238E27FC236}">
                  <a16:creationId xmlns:a16="http://schemas.microsoft.com/office/drawing/2014/main" id="{00000000-0008-0000-1100-00000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123824</xdr:colOff>
      <xdr:row>9</xdr:row>
      <xdr:rowOff>76200</xdr:rowOff>
    </xdr:from>
    <xdr:to>
      <xdr:col>18</xdr:col>
      <xdr:colOff>514350</xdr:colOff>
      <xdr:row>28</xdr:row>
      <xdr:rowOff>171450</xdr:rowOff>
    </xdr:to>
    <xdr:graphicFrame macro="">
      <xdr:nvGraphicFramePr>
        <xdr:cNvPr id="29" name="Gráfico 2">
          <a:extLst>
            <a:ext uri="{FF2B5EF4-FFF2-40B4-BE49-F238E27FC236}">
              <a16:creationId xmlns:a16="http://schemas.microsoft.com/office/drawing/2014/main" id="{00000000-0008-0000-11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74</xdr:row>
      <xdr:rowOff>14287</xdr:rowOff>
    </xdr:from>
    <xdr:to>
      <xdr:col>8</xdr:col>
      <xdr:colOff>9525</xdr:colOff>
      <xdr:row>87</xdr:row>
      <xdr:rowOff>95250</xdr:rowOff>
    </xdr:to>
    <xdr:grpSp>
      <xdr:nvGrpSpPr>
        <xdr:cNvPr id="32" name="Agrupar 31">
          <a:extLst>
            <a:ext uri="{FF2B5EF4-FFF2-40B4-BE49-F238E27FC236}">
              <a16:creationId xmlns:a16="http://schemas.microsoft.com/office/drawing/2014/main" id="{00000000-0008-0000-1100-000020000000}"/>
            </a:ext>
          </a:extLst>
        </xdr:cNvPr>
        <xdr:cNvGrpSpPr/>
      </xdr:nvGrpSpPr>
      <xdr:grpSpPr>
        <a:xfrm>
          <a:off x="0" y="14501812"/>
          <a:ext cx="4486275" cy="2557463"/>
          <a:chOff x="0" y="15921037"/>
          <a:chExt cx="4572000" cy="2552700"/>
        </a:xfrm>
      </xdr:grpSpPr>
      <xdr:graphicFrame macro="">
        <xdr:nvGraphicFramePr>
          <xdr:cNvPr id="31" name="Gráfico 1">
            <a:extLst>
              <a:ext uri="{FF2B5EF4-FFF2-40B4-BE49-F238E27FC236}">
                <a16:creationId xmlns:a16="http://schemas.microsoft.com/office/drawing/2014/main" id="{00000000-0008-0000-1100-00001F000000}"/>
              </a:ext>
            </a:extLst>
          </xdr:cNvPr>
          <xdr:cNvGraphicFramePr/>
        </xdr:nvGraphicFramePr>
        <xdr:xfrm>
          <a:off x="0" y="15921037"/>
          <a:ext cx="4572000" cy="2552700"/>
        </xdr:xfrm>
        <a:graphic>
          <a:graphicData uri="http://schemas.openxmlformats.org/drawingml/2006/chart">
            <c:chart xmlns:c="http://schemas.openxmlformats.org/drawingml/2006/chart" xmlns:r="http://schemas.openxmlformats.org/officeDocument/2006/relationships" r:id="rId21"/>
          </a:graphicData>
        </a:graphic>
      </xdr:graphicFrame>
      <xdr:sp macro="" textlink="'LANÇ. QUAL. PROJ'!E18">
        <xdr:nvSpPr>
          <xdr:cNvPr id="33" name="CaixaDeTexto 32">
            <a:hlinkClick xmlns:r="http://schemas.openxmlformats.org/officeDocument/2006/relationships" r:id="rId3"/>
            <a:extLst>
              <a:ext uri="{FF2B5EF4-FFF2-40B4-BE49-F238E27FC236}">
                <a16:creationId xmlns:a16="http://schemas.microsoft.com/office/drawing/2014/main" id="{00000000-0008-0000-1100-000021000000}"/>
              </a:ext>
            </a:extLst>
          </xdr:cNvPr>
          <xdr:cNvSpPr txBox="1"/>
        </xdr:nvSpPr>
        <xdr:spPr>
          <a:xfrm>
            <a:off x="1256572" y="17411930"/>
            <a:ext cx="1943100"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867BE-EDC0-442C-B636-94027DF5178A}" type="TxLink">
              <a:rPr lang="en-US" sz="1100" b="1" i="0" u="none" strike="noStrike">
                <a:solidFill>
                  <a:srgbClr val="000000"/>
                </a:solidFill>
                <a:latin typeface="Adobe Garamond Pro Bold" panose="02020702060506020403" pitchFamily="18" charset="0"/>
                <a:cs typeface="Calibri"/>
              </a:rPr>
              <a:pPr algn="ctr"/>
              <a:t>121</a:t>
            </a:fld>
            <a:endParaRPr lang="pt-BR" sz="1100" b="1">
              <a:latin typeface="Adobe Garamond Pro Bold" panose="02020702060506020403" pitchFamily="18" charset="0"/>
            </a:endParaRPr>
          </a:p>
        </xdr:txBody>
      </xdr:sp>
      <xdr:sp macro="" textlink="">
        <xdr:nvSpPr>
          <xdr:cNvPr id="35" name="CaixaDeTexto 34">
            <a:hlinkClick xmlns:r="http://schemas.openxmlformats.org/officeDocument/2006/relationships" r:id="rId3"/>
            <a:extLst>
              <a:ext uri="{FF2B5EF4-FFF2-40B4-BE49-F238E27FC236}">
                <a16:creationId xmlns:a16="http://schemas.microsoft.com/office/drawing/2014/main" id="{00000000-0008-0000-1100-000023000000}"/>
              </a:ext>
            </a:extLst>
          </xdr:cNvPr>
          <xdr:cNvSpPr txBox="1"/>
        </xdr:nvSpPr>
        <xdr:spPr>
          <a:xfrm>
            <a:off x="1971675" y="17183100"/>
            <a:ext cx="6476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grpSp>
    <xdr:clientData/>
  </xdr:twoCellAnchor>
  <xdr:twoCellAnchor>
    <xdr:from>
      <xdr:col>6</xdr:col>
      <xdr:colOff>445446</xdr:colOff>
      <xdr:row>74</xdr:row>
      <xdr:rowOff>26639</xdr:rowOff>
    </xdr:from>
    <xdr:to>
      <xdr:col>13</xdr:col>
      <xdr:colOff>365582</xdr:colOff>
      <xdr:row>87</xdr:row>
      <xdr:rowOff>106137</xdr:rowOff>
    </xdr:to>
    <xdr:graphicFrame macro="">
      <xdr:nvGraphicFramePr>
        <xdr:cNvPr id="34" name="Gráfico 2">
          <a:extLst>
            <a:ext uri="{FF2B5EF4-FFF2-40B4-BE49-F238E27FC236}">
              <a16:creationId xmlns:a16="http://schemas.microsoft.com/office/drawing/2014/main" id="{00000000-0008-0000-11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209550</xdr:colOff>
      <xdr:row>74</xdr:row>
      <xdr:rowOff>19051</xdr:rowOff>
    </xdr:from>
    <xdr:to>
      <xdr:col>19</xdr:col>
      <xdr:colOff>0</xdr:colOff>
      <xdr:row>87</xdr:row>
      <xdr:rowOff>95251</xdr:rowOff>
    </xdr:to>
    <xdr:graphicFrame macro="">
      <xdr:nvGraphicFramePr>
        <xdr:cNvPr id="37" name="Gráfico 3">
          <a:extLst>
            <a:ext uri="{FF2B5EF4-FFF2-40B4-BE49-F238E27FC236}">
              <a16:creationId xmlns:a16="http://schemas.microsoft.com/office/drawing/2014/main" id="{00000000-0008-0000-11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434071</xdr:colOff>
      <xdr:row>81</xdr:row>
      <xdr:rowOff>161925</xdr:rowOff>
    </xdr:from>
    <xdr:to>
      <xdr:col>11</xdr:col>
      <xdr:colOff>529321</xdr:colOff>
      <xdr:row>85</xdr:row>
      <xdr:rowOff>114300</xdr:rowOff>
    </xdr:to>
    <xdr:sp macro="" textlink="'LANÇ. QUAL. PROJ'!E37">
      <xdr:nvSpPr>
        <xdr:cNvPr id="49" name="CaixaDeTexto 48">
          <a:hlinkClick xmlns:r="http://schemas.openxmlformats.org/officeDocument/2006/relationships" r:id="rId3"/>
          <a:extLst>
            <a:ext uri="{FF2B5EF4-FFF2-40B4-BE49-F238E27FC236}">
              <a16:creationId xmlns:a16="http://schemas.microsoft.com/office/drawing/2014/main" id="{00000000-0008-0000-1100-000031000000}"/>
            </a:ext>
          </a:extLst>
        </xdr:cNvPr>
        <xdr:cNvSpPr txBox="1"/>
      </xdr:nvSpPr>
      <xdr:spPr>
        <a:xfrm>
          <a:off x="4924428" y="14775996"/>
          <a:ext cx="1932214"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7FE69B-2683-47E8-9299-9709226EDA8C}" type="TxLink">
            <a:rPr lang="en-US" sz="1100" b="1" i="0" u="none" strike="noStrike">
              <a:solidFill>
                <a:srgbClr val="000000"/>
              </a:solidFill>
              <a:latin typeface="Adobe Garamond Pro Bold" panose="02020702060506020403" pitchFamily="18" charset="0"/>
              <a:cs typeface="Calibri"/>
            </a:rPr>
            <a:pPr algn="ctr"/>
            <a:t>721</a:t>
          </a:fld>
          <a:endParaRPr lang="en-US" sz="1100" b="1">
            <a:latin typeface="Adobe Garamond Pro Bold" panose="02020702060506020403" pitchFamily="18" charset="0"/>
          </a:endParaRPr>
        </a:p>
      </xdr:txBody>
    </xdr:sp>
    <xdr:clientData/>
  </xdr:twoCellAnchor>
  <xdr:twoCellAnchor>
    <xdr:from>
      <xdr:col>14</xdr:col>
      <xdr:colOff>180975</xdr:colOff>
      <xdr:row>81</xdr:row>
      <xdr:rowOff>133350</xdr:rowOff>
    </xdr:from>
    <xdr:to>
      <xdr:col>17</xdr:col>
      <xdr:colOff>276225</xdr:colOff>
      <xdr:row>85</xdr:row>
      <xdr:rowOff>85725</xdr:rowOff>
    </xdr:to>
    <xdr:sp macro="" textlink="'LANÇ. QUAL. PROJ'!E55">
      <xdr:nvSpPr>
        <xdr:cNvPr id="52" name="CaixaDeTexto 51">
          <a:hlinkClick xmlns:r="http://schemas.openxmlformats.org/officeDocument/2006/relationships" r:id="rId3"/>
          <a:extLst>
            <a:ext uri="{FF2B5EF4-FFF2-40B4-BE49-F238E27FC236}">
              <a16:creationId xmlns:a16="http://schemas.microsoft.com/office/drawing/2014/main" id="{00000000-0008-0000-1100-000034000000}"/>
            </a:ext>
          </a:extLst>
        </xdr:cNvPr>
        <xdr:cNvSpPr txBox="1"/>
      </xdr:nvSpPr>
      <xdr:spPr>
        <a:xfrm>
          <a:off x="8315325" y="14725650"/>
          <a:ext cx="1924050"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98A371-CE92-4AA3-A2FE-DB29B8E545D6}"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xdr:txBody>
    </xdr:sp>
    <xdr:clientData/>
  </xdr:twoCellAnchor>
  <xdr:twoCellAnchor>
    <xdr:from>
      <xdr:col>15</xdr:col>
      <xdr:colOff>228600</xdr:colOff>
      <xdr:row>81</xdr:row>
      <xdr:rowOff>95250</xdr:rowOff>
    </xdr:from>
    <xdr:to>
      <xdr:col>16</xdr:col>
      <xdr:colOff>266699</xdr:colOff>
      <xdr:row>82</xdr:row>
      <xdr:rowOff>142875</xdr:rowOff>
    </xdr:to>
    <xdr:sp macro="" textlink="">
      <xdr:nvSpPr>
        <xdr:cNvPr id="53" name="CaixaDeTexto 52">
          <a:hlinkClick xmlns:r="http://schemas.openxmlformats.org/officeDocument/2006/relationships" r:id="rId3"/>
          <a:extLst>
            <a:ext uri="{FF2B5EF4-FFF2-40B4-BE49-F238E27FC236}">
              <a16:creationId xmlns:a16="http://schemas.microsoft.com/office/drawing/2014/main" id="{00000000-0008-0000-1100-000035000000}"/>
            </a:ext>
          </a:extLst>
        </xdr:cNvPr>
        <xdr:cNvSpPr txBox="1"/>
      </xdr:nvSpPr>
      <xdr:spPr>
        <a:xfrm>
          <a:off x="8972550" y="14687550"/>
          <a:ext cx="6476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clientData/>
  </xdr:twoCellAnchor>
  <xdr:twoCellAnchor>
    <xdr:from>
      <xdr:col>9</xdr:col>
      <xdr:colOff>397785</xdr:colOff>
      <xdr:row>81</xdr:row>
      <xdr:rowOff>118382</xdr:rowOff>
    </xdr:from>
    <xdr:to>
      <xdr:col>10</xdr:col>
      <xdr:colOff>435884</xdr:colOff>
      <xdr:row>82</xdr:row>
      <xdr:rowOff>166007</xdr:rowOff>
    </xdr:to>
    <xdr:sp macro="" textlink="">
      <xdr:nvSpPr>
        <xdr:cNvPr id="54" name="CaixaDeTexto 53">
          <a:hlinkClick xmlns:r="http://schemas.openxmlformats.org/officeDocument/2006/relationships" r:id="rId3"/>
          <a:extLst>
            <a:ext uri="{FF2B5EF4-FFF2-40B4-BE49-F238E27FC236}">
              <a16:creationId xmlns:a16="http://schemas.microsoft.com/office/drawing/2014/main" id="{00000000-0008-0000-1100-000036000000}"/>
            </a:ext>
          </a:extLst>
        </xdr:cNvPr>
        <xdr:cNvSpPr txBox="1"/>
      </xdr:nvSpPr>
      <xdr:spPr>
        <a:xfrm>
          <a:off x="5500464" y="14732453"/>
          <a:ext cx="65042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clientData/>
  </xdr:twoCellAnchor>
  <xdr:twoCellAnchor>
    <xdr:from>
      <xdr:col>0</xdr:col>
      <xdr:colOff>0</xdr:colOff>
      <xdr:row>87</xdr:row>
      <xdr:rowOff>86091</xdr:rowOff>
    </xdr:from>
    <xdr:to>
      <xdr:col>8</xdr:col>
      <xdr:colOff>66674</xdr:colOff>
      <xdr:row>101</xdr:row>
      <xdr:rowOff>19050</xdr:rowOff>
    </xdr:to>
    <xdr:graphicFrame macro="">
      <xdr:nvGraphicFramePr>
        <xdr:cNvPr id="39" name="Gráfico 4">
          <a:extLst>
            <a:ext uri="{FF2B5EF4-FFF2-40B4-BE49-F238E27FC236}">
              <a16:creationId xmlns:a16="http://schemas.microsoft.com/office/drawing/2014/main" id="{00000000-0008-0000-11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101</xdr:row>
      <xdr:rowOff>24180</xdr:rowOff>
    </xdr:from>
    <xdr:to>
      <xdr:col>8</xdr:col>
      <xdr:colOff>95250</xdr:colOff>
      <xdr:row>114</xdr:row>
      <xdr:rowOff>142875</xdr:rowOff>
    </xdr:to>
    <xdr:graphicFrame macro="">
      <xdr:nvGraphicFramePr>
        <xdr:cNvPr id="42" name="Gráfico 7">
          <a:extLst>
            <a:ext uri="{FF2B5EF4-FFF2-40B4-BE49-F238E27FC236}">
              <a16:creationId xmlns:a16="http://schemas.microsoft.com/office/drawing/2014/main" id="{00000000-0008-0000-11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67163</xdr:colOff>
      <xdr:row>114</xdr:row>
      <xdr:rowOff>119795</xdr:rowOff>
    </xdr:from>
    <xdr:to>
      <xdr:col>14</xdr:col>
      <xdr:colOff>25400</xdr:colOff>
      <xdr:row>128</xdr:row>
      <xdr:rowOff>66675</xdr:rowOff>
    </xdr:to>
    <xdr:graphicFrame macro="">
      <xdr:nvGraphicFramePr>
        <xdr:cNvPr id="46" name="Gráfico 11">
          <a:extLst>
            <a:ext uri="{FF2B5EF4-FFF2-40B4-BE49-F238E27FC236}">
              <a16:creationId xmlns:a16="http://schemas.microsoft.com/office/drawing/2014/main" id="{00000000-0008-0000-11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12</xdr:col>
      <xdr:colOff>426167</xdr:colOff>
      <xdr:row>114</xdr:row>
      <xdr:rowOff>139760</xdr:rowOff>
    </xdr:from>
    <xdr:to>
      <xdr:col>19</xdr:col>
      <xdr:colOff>0</xdr:colOff>
      <xdr:row>128</xdr:row>
      <xdr:rowOff>57150</xdr:rowOff>
    </xdr:to>
    <xdr:graphicFrame macro="">
      <xdr:nvGraphicFramePr>
        <xdr:cNvPr id="47" name="Gráfico 13">
          <a:extLst>
            <a:ext uri="{FF2B5EF4-FFF2-40B4-BE49-F238E27FC236}">
              <a16:creationId xmlns:a16="http://schemas.microsoft.com/office/drawing/2014/main" id="{00000000-0008-0000-11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1</xdr:colOff>
      <xdr:row>128</xdr:row>
      <xdr:rowOff>56967</xdr:rowOff>
    </xdr:from>
    <xdr:to>
      <xdr:col>8</xdr:col>
      <xdr:colOff>85725</xdr:colOff>
      <xdr:row>142</xdr:row>
      <xdr:rowOff>95250</xdr:rowOff>
    </xdr:to>
    <xdr:graphicFrame macro="">
      <xdr:nvGraphicFramePr>
        <xdr:cNvPr id="48" name="Gráfico 14">
          <a:extLst>
            <a:ext uri="{FF2B5EF4-FFF2-40B4-BE49-F238E27FC236}">
              <a16:creationId xmlns:a16="http://schemas.microsoft.com/office/drawing/2014/main" id="{00000000-0008-0000-11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12</xdr:col>
      <xdr:colOff>473111</xdr:colOff>
      <xdr:row>128</xdr:row>
      <xdr:rowOff>65393</xdr:rowOff>
    </xdr:from>
    <xdr:to>
      <xdr:col>19</xdr:col>
      <xdr:colOff>0</xdr:colOff>
      <xdr:row>142</xdr:row>
      <xdr:rowOff>76200</xdr:rowOff>
    </xdr:to>
    <xdr:graphicFrame macro="">
      <xdr:nvGraphicFramePr>
        <xdr:cNvPr id="10241" name="Gráfico 16">
          <a:extLst>
            <a:ext uri="{FF2B5EF4-FFF2-40B4-BE49-F238E27FC236}">
              <a16:creationId xmlns:a16="http://schemas.microsoft.com/office/drawing/2014/main" id="{00000000-0008-0000-1100-000001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1</xdr:colOff>
      <xdr:row>142</xdr:row>
      <xdr:rowOff>94884</xdr:rowOff>
    </xdr:from>
    <xdr:to>
      <xdr:col>8</xdr:col>
      <xdr:colOff>66675</xdr:colOff>
      <xdr:row>156</xdr:row>
      <xdr:rowOff>28576</xdr:rowOff>
    </xdr:to>
    <xdr:graphicFrame macro="">
      <xdr:nvGraphicFramePr>
        <xdr:cNvPr id="10242" name="Gráfico 17">
          <a:extLst>
            <a:ext uri="{FF2B5EF4-FFF2-40B4-BE49-F238E27FC236}">
              <a16:creationId xmlns:a16="http://schemas.microsoft.com/office/drawing/2014/main" id="{00000000-0008-0000-1100-000002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7</xdr:col>
      <xdr:colOff>11598</xdr:colOff>
      <xdr:row>142</xdr:row>
      <xdr:rowOff>83527</xdr:rowOff>
    </xdr:from>
    <xdr:to>
      <xdr:col>13</xdr:col>
      <xdr:colOff>596446</xdr:colOff>
      <xdr:row>156</xdr:row>
      <xdr:rowOff>28575</xdr:rowOff>
    </xdr:to>
    <xdr:graphicFrame macro="">
      <xdr:nvGraphicFramePr>
        <xdr:cNvPr id="10243" name="Gráfico 18">
          <a:extLst>
            <a:ext uri="{FF2B5EF4-FFF2-40B4-BE49-F238E27FC236}">
              <a16:creationId xmlns:a16="http://schemas.microsoft.com/office/drawing/2014/main" id="{00000000-0008-0000-1100-000003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xdr:col>
      <xdr:colOff>470389</xdr:colOff>
      <xdr:row>142</xdr:row>
      <xdr:rowOff>89206</xdr:rowOff>
    </xdr:from>
    <xdr:to>
      <xdr:col>19</xdr:col>
      <xdr:colOff>0</xdr:colOff>
      <xdr:row>156</xdr:row>
      <xdr:rowOff>28575</xdr:rowOff>
    </xdr:to>
    <xdr:graphicFrame macro="">
      <xdr:nvGraphicFramePr>
        <xdr:cNvPr id="10247" name="Gráfico 19">
          <a:extLst>
            <a:ext uri="{FF2B5EF4-FFF2-40B4-BE49-F238E27FC236}">
              <a16:creationId xmlns:a16="http://schemas.microsoft.com/office/drawing/2014/main" id="{00000000-0008-0000-1100-000007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0</xdr:col>
      <xdr:colOff>0</xdr:colOff>
      <xdr:row>156</xdr:row>
      <xdr:rowOff>35169</xdr:rowOff>
    </xdr:from>
    <xdr:to>
      <xdr:col>8</xdr:col>
      <xdr:colOff>47625</xdr:colOff>
      <xdr:row>170</xdr:row>
      <xdr:rowOff>95250</xdr:rowOff>
    </xdr:to>
    <xdr:graphicFrame macro="">
      <xdr:nvGraphicFramePr>
        <xdr:cNvPr id="10248" name="Gráfico 20">
          <a:extLst>
            <a:ext uri="{FF2B5EF4-FFF2-40B4-BE49-F238E27FC236}">
              <a16:creationId xmlns:a16="http://schemas.microsoft.com/office/drawing/2014/main" id="{00000000-0008-0000-1100-000008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xdr:col>
      <xdr:colOff>53101</xdr:colOff>
      <xdr:row>156</xdr:row>
      <xdr:rowOff>23995</xdr:rowOff>
    </xdr:from>
    <xdr:to>
      <xdr:col>14</xdr:col>
      <xdr:colOff>58964</xdr:colOff>
      <xdr:row>170</xdr:row>
      <xdr:rowOff>95250</xdr:rowOff>
    </xdr:to>
    <xdr:graphicFrame macro="">
      <xdr:nvGraphicFramePr>
        <xdr:cNvPr id="10249" name="Gráfico 21">
          <a:extLst>
            <a:ext uri="{FF2B5EF4-FFF2-40B4-BE49-F238E27FC236}">
              <a16:creationId xmlns:a16="http://schemas.microsoft.com/office/drawing/2014/main" id="{00000000-0008-0000-1100-000009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12</xdr:col>
      <xdr:colOff>382397</xdr:colOff>
      <xdr:row>156</xdr:row>
      <xdr:rowOff>69971</xdr:rowOff>
    </xdr:from>
    <xdr:to>
      <xdr:col>19</xdr:col>
      <xdr:colOff>0</xdr:colOff>
      <xdr:row>170</xdr:row>
      <xdr:rowOff>152400</xdr:rowOff>
    </xdr:to>
    <xdr:graphicFrame macro="">
      <xdr:nvGraphicFramePr>
        <xdr:cNvPr id="10250" name="Gráfico 22">
          <a:extLst>
            <a:ext uri="{FF2B5EF4-FFF2-40B4-BE49-F238E27FC236}">
              <a16:creationId xmlns:a16="http://schemas.microsoft.com/office/drawing/2014/main" id="{00000000-0008-0000-1100-00000A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0</xdr:colOff>
      <xdr:row>170</xdr:row>
      <xdr:rowOff>101132</xdr:rowOff>
    </xdr:from>
    <xdr:to>
      <xdr:col>8</xdr:col>
      <xdr:colOff>28575</xdr:colOff>
      <xdr:row>184</xdr:row>
      <xdr:rowOff>66675</xdr:rowOff>
    </xdr:to>
    <xdr:graphicFrame macro="">
      <xdr:nvGraphicFramePr>
        <xdr:cNvPr id="10251" name="Gráfico 23">
          <a:extLst>
            <a:ext uri="{FF2B5EF4-FFF2-40B4-BE49-F238E27FC236}">
              <a16:creationId xmlns:a16="http://schemas.microsoft.com/office/drawing/2014/main" id="{00000000-0008-0000-1100-00000B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7</xdr:col>
      <xdr:colOff>109609</xdr:colOff>
      <xdr:row>170</xdr:row>
      <xdr:rowOff>106973</xdr:rowOff>
    </xdr:from>
    <xdr:to>
      <xdr:col>14</xdr:col>
      <xdr:colOff>108857</xdr:colOff>
      <xdr:row>184</xdr:row>
      <xdr:rowOff>76200</xdr:rowOff>
    </xdr:to>
    <xdr:graphicFrame macro="">
      <xdr:nvGraphicFramePr>
        <xdr:cNvPr id="10252" name="Gráfico 24">
          <a:extLst>
            <a:ext uri="{FF2B5EF4-FFF2-40B4-BE49-F238E27FC236}">
              <a16:creationId xmlns:a16="http://schemas.microsoft.com/office/drawing/2014/main" id="{00000000-0008-0000-1100-00000C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12</xdr:col>
      <xdr:colOff>249273</xdr:colOff>
      <xdr:row>170</xdr:row>
      <xdr:rowOff>186964</xdr:rowOff>
    </xdr:from>
    <xdr:to>
      <xdr:col>19</xdr:col>
      <xdr:colOff>0</xdr:colOff>
      <xdr:row>184</xdr:row>
      <xdr:rowOff>129267</xdr:rowOff>
    </xdr:to>
    <xdr:graphicFrame macro="">
      <xdr:nvGraphicFramePr>
        <xdr:cNvPr id="10253" name="Gráfico 25">
          <a:extLst>
            <a:ext uri="{FF2B5EF4-FFF2-40B4-BE49-F238E27FC236}">
              <a16:creationId xmlns:a16="http://schemas.microsoft.com/office/drawing/2014/main" id="{00000000-0008-0000-1100-00000D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0</xdr:col>
      <xdr:colOff>0</xdr:colOff>
      <xdr:row>184</xdr:row>
      <xdr:rowOff>58614</xdr:rowOff>
    </xdr:from>
    <xdr:to>
      <xdr:col>8</xdr:col>
      <xdr:colOff>19050</xdr:colOff>
      <xdr:row>198</xdr:row>
      <xdr:rowOff>76200</xdr:rowOff>
    </xdr:to>
    <xdr:graphicFrame macro="">
      <xdr:nvGraphicFramePr>
        <xdr:cNvPr id="10254" name="Gráfico 26">
          <a:extLst>
            <a:ext uri="{FF2B5EF4-FFF2-40B4-BE49-F238E27FC236}">
              <a16:creationId xmlns:a16="http://schemas.microsoft.com/office/drawing/2014/main" id="{00000000-0008-0000-1100-00000E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7</xdr:col>
      <xdr:colOff>138600</xdr:colOff>
      <xdr:row>184</xdr:row>
      <xdr:rowOff>64110</xdr:rowOff>
    </xdr:from>
    <xdr:to>
      <xdr:col>14</xdr:col>
      <xdr:colOff>139700</xdr:colOff>
      <xdr:row>198</xdr:row>
      <xdr:rowOff>85725</xdr:rowOff>
    </xdr:to>
    <xdr:graphicFrame macro="">
      <xdr:nvGraphicFramePr>
        <xdr:cNvPr id="10255" name="Gráfico 27">
          <a:extLst>
            <a:ext uri="{FF2B5EF4-FFF2-40B4-BE49-F238E27FC236}">
              <a16:creationId xmlns:a16="http://schemas.microsoft.com/office/drawing/2014/main" id="{00000000-0008-0000-1100-00000F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12</xdr:col>
      <xdr:colOff>334659</xdr:colOff>
      <xdr:row>184</xdr:row>
      <xdr:rowOff>52937</xdr:rowOff>
    </xdr:from>
    <xdr:to>
      <xdr:col>19</xdr:col>
      <xdr:colOff>0</xdr:colOff>
      <xdr:row>198</xdr:row>
      <xdr:rowOff>95250</xdr:rowOff>
    </xdr:to>
    <xdr:graphicFrame macro="">
      <xdr:nvGraphicFramePr>
        <xdr:cNvPr id="10256" name="Gráfico 28">
          <a:extLst>
            <a:ext uri="{FF2B5EF4-FFF2-40B4-BE49-F238E27FC236}">
              <a16:creationId xmlns:a16="http://schemas.microsoft.com/office/drawing/2014/main" id="{00000000-0008-0000-1100-000010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12</xdr:col>
      <xdr:colOff>356169</xdr:colOff>
      <xdr:row>198</xdr:row>
      <xdr:rowOff>89389</xdr:rowOff>
    </xdr:from>
    <xdr:to>
      <xdr:col>19</xdr:col>
      <xdr:colOff>0</xdr:colOff>
      <xdr:row>212</xdr:row>
      <xdr:rowOff>114301</xdr:rowOff>
    </xdr:to>
    <xdr:graphicFrame macro="">
      <xdr:nvGraphicFramePr>
        <xdr:cNvPr id="10257" name="Gráfico 29">
          <a:extLst>
            <a:ext uri="{FF2B5EF4-FFF2-40B4-BE49-F238E27FC236}">
              <a16:creationId xmlns:a16="http://schemas.microsoft.com/office/drawing/2014/main" id="{00000000-0008-0000-1100-000011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0</xdr:col>
      <xdr:colOff>0</xdr:colOff>
      <xdr:row>212</xdr:row>
      <xdr:rowOff>113931</xdr:rowOff>
    </xdr:from>
    <xdr:to>
      <xdr:col>8</xdr:col>
      <xdr:colOff>9525</xdr:colOff>
      <xdr:row>227</xdr:row>
      <xdr:rowOff>0</xdr:rowOff>
    </xdr:to>
    <xdr:graphicFrame macro="">
      <xdr:nvGraphicFramePr>
        <xdr:cNvPr id="10258" name="Gráfico 30">
          <a:extLst>
            <a:ext uri="{FF2B5EF4-FFF2-40B4-BE49-F238E27FC236}">
              <a16:creationId xmlns:a16="http://schemas.microsoft.com/office/drawing/2014/main" id="{00000000-0008-0000-1100-000012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0</xdr:col>
      <xdr:colOff>0</xdr:colOff>
      <xdr:row>198</xdr:row>
      <xdr:rowOff>77481</xdr:rowOff>
    </xdr:from>
    <xdr:to>
      <xdr:col>8</xdr:col>
      <xdr:colOff>8793</xdr:colOff>
      <xdr:row>212</xdr:row>
      <xdr:rowOff>104775</xdr:rowOff>
    </xdr:to>
    <xdr:graphicFrame macro="">
      <xdr:nvGraphicFramePr>
        <xdr:cNvPr id="10259" name="Gráfico 32">
          <a:extLst>
            <a:ext uri="{FF2B5EF4-FFF2-40B4-BE49-F238E27FC236}">
              <a16:creationId xmlns:a16="http://schemas.microsoft.com/office/drawing/2014/main" id="{00000000-0008-0000-1100-000013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7</xdr:col>
      <xdr:colOff>136332</xdr:colOff>
      <xdr:row>198</xdr:row>
      <xdr:rowOff>99462</xdr:rowOff>
    </xdr:from>
    <xdr:to>
      <xdr:col>14</xdr:col>
      <xdr:colOff>137431</xdr:colOff>
      <xdr:row>212</xdr:row>
      <xdr:rowOff>114299</xdr:rowOff>
    </xdr:to>
    <xdr:graphicFrame macro="">
      <xdr:nvGraphicFramePr>
        <xdr:cNvPr id="10260" name="Gráfico 33">
          <a:extLst>
            <a:ext uri="{FF2B5EF4-FFF2-40B4-BE49-F238E27FC236}">
              <a16:creationId xmlns:a16="http://schemas.microsoft.com/office/drawing/2014/main" id="{00000000-0008-0000-1100-000014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xdr:col>
      <xdr:colOff>547687</xdr:colOff>
      <xdr:row>94</xdr:row>
      <xdr:rowOff>166687</xdr:rowOff>
    </xdr:from>
    <xdr:to>
      <xdr:col>4</xdr:col>
      <xdr:colOff>585786</xdr:colOff>
      <xdr:row>96</xdr:row>
      <xdr:rowOff>23812</xdr:rowOff>
    </xdr:to>
    <xdr:sp macro="" textlink="">
      <xdr:nvSpPr>
        <xdr:cNvPr id="85" name="CaixaDeTexto 84">
          <a:hlinkClick xmlns:r="http://schemas.openxmlformats.org/officeDocument/2006/relationships" r:id="rId3"/>
          <a:extLst>
            <a:ext uri="{FF2B5EF4-FFF2-40B4-BE49-F238E27FC236}">
              <a16:creationId xmlns:a16="http://schemas.microsoft.com/office/drawing/2014/main" id="{00000000-0008-0000-1100-000055000000}"/>
            </a:ext>
          </a:extLst>
        </xdr:cNvPr>
        <xdr:cNvSpPr txBox="1"/>
      </xdr:nvSpPr>
      <xdr:spPr>
        <a:xfrm>
          <a:off x="1976437" y="10825162"/>
          <a:ext cx="6476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clientData/>
  </xdr:twoCellAnchor>
  <xdr:twoCellAnchor>
    <xdr:from>
      <xdr:col>2</xdr:col>
      <xdr:colOff>516731</xdr:colOff>
      <xdr:row>95</xdr:row>
      <xdr:rowOff>157162</xdr:rowOff>
    </xdr:from>
    <xdr:to>
      <xdr:col>6</xdr:col>
      <xdr:colOff>2381</xdr:colOff>
      <xdr:row>99</xdr:row>
      <xdr:rowOff>109537</xdr:rowOff>
    </xdr:to>
    <xdr:sp macro="" textlink="'LANÇ. QUAL. PROJ'!E74">
      <xdr:nvSpPr>
        <xdr:cNvPr id="88" name="CaixaDeTexto 87">
          <a:hlinkClick xmlns:r="http://schemas.openxmlformats.org/officeDocument/2006/relationships" r:id="rId3"/>
          <a:extLst>
            <a:ext uri="{FF2B5EF4-FFF2-40B4-BE49-F238E27FC236}">
              <a16:creationId xmlns:a16="http://schemas.microsoft.com/office/drawing/2014/main" id="{00000000-0008-0000-1100-000058000000}"/>
            </a:ext>
          </a:extLst>
        </xdr:cNvPr>
        <xdr:cNvSpPr txBox="1"/>
      </xdr:nvSpPr>
      <xdr:spPr>
        <a:xfrm>
          <a:off x="1335881" y="10815637"/>
          <a:ext cx="1924050"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2E3931-E0C5-4C37-870B-31633BF15018}"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xdr:txBody>
    </xdr:sp>
    <xdr:clientData/>
  </xdr:twoCellAnchor>
  <xdr:twoCellAnchor>
    <xdr:from>
      <xdr:col>7</xdr:col>
      <xdr:colOff>1362</xdr:colOff>
      <xdr:row>87</xdr:row>
      <xdr:rowOff>93287</xdr:rowOff>
    </xdr:from>
    <xdr:to>
      <xdr:col>13</xdr:col>
      <xdr:colOff>554153</xdr:colOff>
      <xdr:row>101</xdr:row>
      <xdr:rowOff>51706</xdr:rowOff>
    </xdr:to>
    <xdr:grpSp>
      <xdr:nvGrpSpPr>
        <xdr:cNvPr id="62" name="Agrupar 61">
          <a:extLst>
            <a:ext uri="{FF2B5EF4-FFF2-40B4-BE49-F238E27FC236}">
              <a16:creationId xmlns:a16="http://schemas.microsoft.com/office/drawing/2014/main" id="{00000000-0008-0000-1100-00003E000000}"/>
            </a:ext>
          </a:extLst>
        </xdr:cNvPr>
        <xdr:cNvGrpSpPr/>
      </xdr:nvGrpSpPr>
      <xdr:grpSpPr>
        <a:xfrm>
          <a:off x="3868512" y="17057312"/>
          <a:ext cx="4210391" cy="2625419"/>
          <a:chOff x="4552950" y="15814980"/>
          <a:chExt cx="4207669" cy="2625419"/>
        </a:xfrm>
      </xdr:grpSpPr>
      <xdr:graphicFrame macro="">
        <xdr:nvGraphicFramePr>
          <xdr:cNvPr id="40" name="Gráfico 5">
            <a:extLst>
              <a:ext uri="{FF2B5EF4-FFF2-40B4-BE49-F238E27FC236}">
                <a16:creationId xmlns:a16="http://schemas.microsoft.com/office/drawing/2014/main" id="{00000000-0008-0000-1100-000028000000}"/>
              </a:ext>
            </a:extLst>
          </xdr:cNvPr>
          <xdr:cNvGraphicFramePr/>
        </xdr:nvGraphicFramePr>
        <xdr:xfrm>
          <a:off x="4552950" y="15814980"/>
          <a:ext cx="4207669" cy="2625419"/>
        </xdr:xfrm>
        <a:graphic>
          <a:graphicData uri="http://schemas.openxmlformats.org/drawingml/2006/chart">
            <c:chart xmlns:c="http://schemas.openxmlformats.org/drawingml/2006/chart" xmlns:r="http://schemas.openxmlformats.org/officeDocument/2006/relationships" r:id="rId46"/>
          </a:graphicData>
        </a:graphic>
      </xdr:graphicFrame>
      <xdr:sp macro="" textlink="">
        <xdr:nvSpPr>
          <xdr:cNvPr id="86" name="CaixaDeTexto 85">
            <a:hlinkClick xmlns:r="http://schemas.openxmlformats.org/officeDocument/2006/relationships" r:id="rId3"/>
            <a:extLst>
              <a:ext uri="{FF2B5EF4-FFF2-40B4-BE49-F238E27FC236}">
                <a16:creationId xmlns:a16="http://schemas.microsoft.com/office/drawing/2014/main" id="{00000000-0008-0000-1100-000056000000}"/>
              </a:ext>
            </a:extLst>
          </xdr:cNvPr>
          <xdr:cNvSpPr txBox="1"/>
        </xdr:nvSpPr>
        <xdr:spPr>
          <a:xfrm>
            <a:off x="6343650" y="17211675"/>
            <a:ext cx="6476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sp macro="" textlink="'LANÇ. QUAL. PROJ'!E93">
        <xdr:nvSpPr>
          <xdr:cNvPr id="89" name="CaixaDeTexto 88">
            <a:hlinkClick xmlns:r="http://schemas.openxmlformats.org/officeDocument/2006/relationships" r:id="rId3"/>
            <a:extLst>
              <a:ext uri="{FF2B5EF4-FFF2-40B4-BE49-F238E27FC236}">
                <a16:creationId xmlns:a16="http://schemas.microsoft.com/office/drawing/2014/main" id="{00000000-0008-0000-1100-000059000000}"/>
              </a:ext>
            </a:extLst>
          </xdr:cNvPr>
          <xdr:cNvSpPr txBox="1"/>
        </xdr:nvSpPr>
        <xdr:spPr>
          <a:xfrm>
            <a:off x="5705475" y="17406937"/>
            <a:ext cx="1924050"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6C4D52-B326-447B-BA9F-1F61ACDC4AA8}" type="TxLink">
              <a:rPr lang="en-US" sz="1100" b="1" i="0" u="none" strike="noStrike">
                <a:solidFill>
                  <a:srgbClr val="000000"/>
                </a:solidFill>
                <a:latin typeface="Adobe Garamond Pro Bold" panose="02020702060506020403" pitchFamily="18" charset="0"/>
                <a:cs typeface="Calibri"/>
              </a:rPr>
              <a:pPr algn="ctr"/>
              <a:t>1671</a:t>
            </a:fld>
            <a:endParaRPr lang="en-US" sz="1100" b="1" i="0" u="none" strike="noStrike">
              <a:solidFill>
                <a:srgbClr val="000000"/>
              </a:solidFill>
              <a:latin typeface="Adobe Garamond Pro Bold" panose="02020702060506020403" pitchFamily="18" charset="0"/>
              <a:cs typeface="Calibri"/>
            </a:endParaRPr>
          </a:p>
        </xdr:txBody>
      </xdr:sp>
    </xdr:grpSp>
    <xdr:clientData/>
  </xdr:twoCellAnchor>
  <xdr:twoCellAnchor>
    <xdr:from>
      <xdr:col>12</xdr:col>
      <xdr:colOff>240770</xdr:colOff>
      <xdr:row>87</xdr:row>
      <xdr:rowOff>78032</xdr:rowOff>
    </xdr:from>
    <xdr:to>
      <xdr:col>19</xdr:col>
      <xdr:colOff>0</xdr:colOff>
      <xdr:row>101</xdr:row>
      <xdr:rowOff>4762</xdr:rowOff>
    </xdr:to>
    <xdr:grpSp>
      <xdr:nvGrpSpPr>
        <xdr:cNvPr id="63" name="Agrupar 62">
          <a:extLst>
            <a:ext uri="{FF2B5EF4-FFF2-40B4-BE49-F238E27FC236}">
              <a16:creationId xmlns:a16="http://schemas.microsoft.com/office/drawing/2014/main" id="{00000000-0008-0000-1100-00003F000000}"/>
            </a:ext>
          </a:extLst>
        </xdr:cNvPr>
        <xdr:cNvGrpSpPr/>
      </xdr:nvGrpSpPr>
      <xdr:grpSpPr>
        <a:xfrm>
          <a:off x="7155920" y="17042057"/>
          <a:ext cx="3950230" cy="2593730"/>
          <a:chOff x="8764281" y="15813332"/>
          <a:chExt cx="4339738" cy="2593730"/>
        </a:xfrm>
      </xdr:grpSpPr>
      <xdr:graphicFrame macro="">
        <xdr:nvGraphicFramePr>
          <xdr:cNvPr id="41" name="Gráfico 6">
            <a:extLst>
              <a:ext uri="{FF2B5EF4-FFF2-40B4-BE49-F238E27FC236}">
                <a16:creationId xmlns:a16="http://schemas.microsoft.com/office/drawing/2014/main" id="{00000000-0008-0000-1100-000029000000}"/>
              </a:ext>
            </a:extLst>
          </xdr:cNvPr>
          <xdr:cNvGraphicFramePr/>
        </xdr:nvGraphicFramePr>
        <xdr:xfrm>
          <a:off x="8764281" y="15813332"/>
          <a:ext cx="4339738" cy="2593730"/>
        </xdr:xfrm>
        <a:graphic>
          <a:graphicData uri="http://schemas.openxmlformats.org/drawingml/2006/chart">
            <c:chart xmlns:c="http://schemas.openxmlformats.org/drawingml/2006/chart" xmlns:r="http://schemas.openxmlformats.org/officeDocument/2006/relationships" r:id="rId47"/>
          </a:graphicData>
        </a:graphic>
      </xdr:graphicFrame>
      <xdr:sp macro="" textlink="">
        <xdr:nvSpPr>
          <xdr:cNvPr id="87" name="CaixaDeTexto 86">
            <a:hlinkClick xmlns:r="http://schemas.openxmlformats.org/officeDocument/2006/relationships" r:id="rId3"/>
            <a:extLst>
              <a:ext uri="{FF2B5EF4-FFF2-40B4-BE49-F238E27FC236}">
                <a16:creationId xmlns:a16="http://schemas.microsoft.com/office/drawing/2014/main" id="{00000000-0008-0000-1100-000057000000}"/>
              </a:ext>
            </a:extLst>
          </xdr:cNvPr>
          <xdr:cNvSpPr txBox="1"/>
        </xdr:nvSpPr>
        <xdr:spPr>
          <a:xfrm>
            <a:off x="10639425" y="17206912"/>
            <a:ext cx="7380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sp macro="" textlink="'LANÇ. QUAL. PROJ'!E112">
        <xdr:nvSpPr>
          <xdr:cNvPr id="90" name="CaixaDeTexto 89">
            <a:hlinkClick xmlns:r="http://schemas.openxmlformats.org/officeDocument/2006/relationships" r:id="rId3"/>
            <a:extLst>
              <a:ext uri="{FF2B5EF4-FFF2-40B4-BE49-F238E27FC236}">
                <a16:creationId xmlns:a16="http://schemas.microsoft.com/office/drawing/2014/main" id="{00000000-0008-0000-1100-00005A000000}"/>
              </a:ext>
            </a:extLst>
          </xdr:cNvPr>
          <xdr:cNvSpPr txBox="1"/>
        </xdr:nvSpPr>
        <xdr:spPr>
          <a:xfrm>
            <a:off x="10006011" y="17392650"/>
            <a:ext cx="1919289"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6251C2-AA36-4002-8D86-D65BBAA4029E}" type="TxLink">
              <a:rPr lang="en-US" sz="1100" b="1" i="0" u="none" strike="noStrike">
                <a:solidFill>
                  <a:srgbClr val="000000"/>
                </a:solidFill>
                <a:latin typeface="Adobe Garamond Pro Bold" panose="02020702060506020403" pitchFamily="18" charset="0"/>
                <a:cs typeface="Calibri"/>
              </a:rPr>
              <a:pPr algn="ctr"/>
              <a:t>421</a:t>
            </a:fld>
            <a:endParaRPr lang="en-US" sz="1100" b="1" i="0" u="none" strike="noStrike">
              <a:solidFill>
                <a:srgbClr val="000000"/>
              </a:solidFill>
              <a:latin typeface="Adobe Garamond Pro Bold" panose="02020702060506020403" pitchFamily="18" charset="0"/>
              <a:cs typeface="Calibri"/>
            </a:endParaRPr>
          </a:p>
        </xdr:txBody>
      </xdr:sp>
    </xdr:grpSp>
    <xdr:clientData/>
  </xdr:twoCellAnchor>
  <xdr:twoCellAnchor>
    <xdr:from>
      <xdr:col>3</xdr:col>
      <xdr:colOff>547688</xdr:colOff>
      <xdr:row>108</xdr:row>
      <xdr:rowOff>54770</xdr:rowOff>
    </xdr:from>
    <xdr:to>
      <xdr:col>4</xdr:col>
      <xdr:colOff>585787</xdr:colOff>
      <xdr:row>109</xdr:row>
      <xdr:rowOff>102395</xdr:rowOff>
    </xdr:to>
    <xdr:sp macro="" textlink="">
      <xdr:nvSpPr>
        <xdr:cNvPr id="91" name="CaixaDeTexto 90">
          <a:hlinkClick xmlns:r="http://schemas.openxmlformats.org/officeDocument/2006/relationships" r:id="rId3"/>
          <a:extLst>
            <a:ext uri="{FF2B5EF4-FFF2-40B4-BE49-F238E27FC236}">
              <a16:creationId xmlns:a16="http://schemas.microsoft.com/office/drawing/2014/main" id="{00000000-0008-0000-1100-00005B000000}"/>
            </a:ext>
          </a:extLst>
        </xdr:cNvPr>
        <xdr:cNvSpPr txBox="1"/>
      </xdr:nvSpPr>
      <xdr:spPr>
        <a:xfrm>
          <a:off x="1976438" y="13380245"/>
          <a:ext cx="64769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clientData/>
  </xdr:twoCellAnchor>
  <xdr:twoCellAnchor>
    <xdr:from>
      <xdr:col>2</xdr:col>
      <xdr:colOff>428625</xdr:colOff>
      <xdr:row>109</xdr:row>
      <xdr:rowOff>76200</xdr:rowOff>
    </xdr:from>
    <xdr:to>
      <xdr:col>5</xdr:col>
      <xdr:colOff>523875</xdr:colOff>
      <xdr:row>112</xdr:row>
      <xdr:rowOff>90488</xdr:rowOff>
    </xdr:to>
    <xdr:sp macro="" textlink="'LANÇ. QUAL. PROJ'!E131">
      <xdr:nvSpPr>
        <xdr:cNvPr id="94" name="CaixaDeTexto 93">
          <a:hlinkClick xmlns:r="http://schemas.openxmlformats.org/officeDocument/2006/relationships" r:id="rId3"/>
          <a:extLst>
            <a:ext uri="{FF2B5EF4-FFF2-40B4-BE49-F238E27FC236}">
              <a16:creationId xmlns:a16="http://schemas.microsoft.com/office/drawing/2014/main" id="{00000000-0008-0000-1100-00005E000000}"/>
            </a:ext>
          </a:extLst>
        </xdr:cNvPr>
        <xdr:cNvSpPr txBox="1"/>
      </xdr:nvSpPr>
      <xdr:spPr>
        <a:xfrm>
          <a:off x="1247775" y="13401675"/>
          <a:ext cx="1924050" cy="585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26B7BC-8FA0-45D6-AA1E-5705A8BACD57}"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xdr:txBody>
    </xdr:sp>
    <xdr:clientData/>
  </xdr:twoCellAnchor>
  <xdr:twoCellAnchor>
    <xdr:from>
      <xdr:col>12</xdr:col>
      <xdr:colOff>343505</xdr:colOff>
      <xdr:row>101</xdr:row>
      <xdr:rowOff>6227</xdr:rowOff>
    </xdr:from>
    <xdr:to>
      <xdr:col>19</xdr:col>
      <xdr:colOff>0</xdr:colOff>
      <xdr:row>114</xdr:row>
      <xdr:rowOff>145256</xdr:rowOff>
    </xdr:to>
    <xdr:grpSp>
      <xdr:nvGrpSpPr>
        <xdr:cNvPr id="65" name="Agrupar 64">
          <a:extLst>
            <a:ext uri="{FF2B5EF4-FFF2-40B4-BE49-F238E27FC236}">
              <a16:creationId xmlns:a16="http://schemas.microsoft.com/office/drawing/2014/main" id="{00000000-0008-0000-1100-000041000000}"/>
            </a:ext>
          </a:extLst>
        </xdr:cNvPr>
        <xdr:cNvGrpSpPr/>
      </xdr:nvGrpSpPr>
      <xdr:grpSpPr>
        <a:xfrm>
          <a:off x="7258655" y="19637252"/>
          <a:ext cx="3847495" cy="2615529"/>
          <a:chOff x="8788094" y="18408527"/>
          <a:chExt cx="4325449" cy="2615529"/>
        </a:xfrm>
      </xdr:grpSpPr>
      <xdr:graphicFrame macro="">
        <xdr:nvGraphicFramePr>
          <xdr:cNvPr id="44" name="Gráfico 9">
            <a:extLst>
              <a:ext uri="{FF2B5EF4-FFF2-40B4-BE49-F238E27FC236}">
                <a16:creationId xmlns:a16="http://schemas.microsoft.com/office/drawing/2014/main" id="{00000000-0008-0000-1100-00002C000000}"/>
              </a:ext>
            </a:extLst>
          </xdr:cNvPr>
          <xdr:cNvGraphicFramePr/>
        </xdr:nvGraphicFramePr>
        <xdr:xfrm>
          <a:off x="8788094" y="18408527"/>
          <a:ext cx="4325449" cy="2615529"/>
        </xdr:xfrm>
        <a:graphic>
          <a:graphicData uri="http://schemas.openxmlformats.org/drawingml/2006/chart">
            <c:chart xmlns:c="http://schemas.openxmlformats.org/drawingml/2006/chart" xmlns:r="http://schemas.openxmlformats.org/officeDocument/2006/relationships" r:id="rId48"/>
          </a:graphicData>
        </a:graphic>
      </xdr:graphicFrame>
      <xdr:sp macro="" textlink="">
        <xdr:nvSpPr>
          <xdr:cNvPr id="93" name="CaixaDeTexto 92">
            <a:hlinkClick xmlns:r="http://schemas.openxmlformats.org/officeDocument/2006/relationships" r:id="rId3"/>
            <a:extLst>
              <a:ext uri="{FF2B5EF4-FFF2-40B4-BE49-F238E27FC236}">
                <a16:creationId xmlns:a16="http://schemas.microsoft.com/office/drawing/2014/main" id="{00000000-0008-0000-1100-00005D000000}"/>
              </a:ext>
            </a:extLst>
          </xdr:cNvPr>
          <xdr:cNvSpPr txBox="1"/>
        </xdr:nvSpPr>
        <xdr:spPr>
          <a:xfrm>
            <a:off x="10562087" y="19766758"/>
            <a:ext cx="72034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sp macro="" textlink="'LANÇ. QUAL. PROJ'!E169">
        <xdr:nvSpPr>
          <xdr:cNvPr id="95" name="CaixaDeTexto 94">
            <a:hlinkClick xmlns:r="http://schemas.openxmlformats.org/officeDocument/2006/relationships" r:id="rId3"/>
            <a:extLst>
              <a:ext uri="{FF2B5EF4-FFF2-40B4-BE49-F238E27FC236}">
                <a16:creationId xmlns:a16="http://schemas.microsoft.com/office/drawing/2014/main" id="{00000000-0008-0000-1100-00005F000000}"/>
              </a:ext>
            </a:extLst>
          </xdr:cNvPr>
          <xdr:cNvSpPr txBox="1"/>
        </xdr:nvSpPr>
        <xdr:spPr>
          <a:xfrm>
            <a:off x="9956006" y="19954875"/>
            <a:ext cx="1919289" cy="581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C179A1-63DD-4AB1-B7EB-9189F0139F7F}" type="TxLink">
              <a:rPr lang="en-US" sz="1100" b="1" i="0" u="none" strike="noStrike">
                <a:solidFill>
                  <a:srgbClr val="000000"/>
                </a:solidFill>
                <a:latin typeface="Adobe Garamond Pro Bold" panose="02020702060506020403" pitchFamily="18" charset="0"/>
                <a:cs typeface="Calibri"/>
              </a:rPr>
              <a:pPr algn="ctr"/>
              <a:t>2701</a:t>
            </a:fld>
            <a:endParaRPr lang="en-US" sz="1100" b="1" i="0" u="none" strike="noStrike">
              <a:solidFill>
                <a:srgbClr val="000000"/>
              </a:solidFill>
              <a:latin typeface="Adobe Garamond Pro Bold" panose="02020702060506020403" pitchFamily="18" charset="0"/>
              <a:cs typeface="Calibri"/>
            </a:endParaRPr>
          </a:p>
        </xdr:txBody>
      </xdr:sp>
    </xdr:grpSp>
    <xdr:clientData/>
  </xdr:twoCellAnchor>
  <xdr:twoCellAnchor>
    <xdr:from>
      <xdr:col>7</xdr:col>
      <xdr:colOff>104774</xdr:colOff>
      <xdr:row>101</xdr:row>
      <xdr:rowOff>27110</xdr:rowOff>
    </xdr:from>
    <xdr:to>
      <xdr:col>14</xdr:col>
      <xdr:colOff>57150</xdr:colOff>
      <xdr:row>114</xdr:row>
      <xdr:rowOff>142875</xdr:rowOff>
    </xdr:to>
    <xdr:grpSp>
      <xdr:nvGrpSpPr>
        <xdr:cNvPr id="64" name="Agrupar 63">
          <a:extLst>
            <a:ext uri="{FF2B5EF4-FFF2-40B4-BE49-F238E27FC236}">
              <a16:creationId xmlns:a16="http://schemas.microsoft.com/office/drawing/2014/main" id="{00000000-0008-0000-1100-000040000000}"/>
            </a:ext>
          </a:extLst>
        </xdr:cNvPr>
        <xdr:cNvGrpSpPr/>
      </xdr:nvGrpSpPr>
      <xdr:grpSpPr>
        <a:xfrm>
          <a:off x="3971924" y="19658135"/>
          <a:ext cx="4219576" cy="2592265"/>
          <a:chOff x="4571999" y="18429410"/>
          <a:chExt cx="4219576" cy="2592265"/>
        </a:xfrm>
      </xdr:grpSpPr>
      <xdr:graphicFrame macro="">
        <xdr:nvGraphicFramePr>
          <xdr:cNvPr id="43" name="Gráfico 8">
            <a:extLst>
              <a:ext uri="{FF2B5EF4-FFF2-40B4-BE49-F238E27FC236}">
                <a16:creationId xmlns:a16="http://schemas.microsoft.com/office/drawing/2014/main" id="{00000000-0008-0000-1100-00002B000000}"/>
              </a:ext>
            </a:extLst>
          </xdr:cNvPr>
          <xdr:cNvGraphicFramePr/>
        </xdr:nvGraphicFramePr>
        <xdr:xfrm>
          <a:off x="4571999" y="18429410"/>
          <a:ext cx="4219576" cy="2592265"/>
        </xdr:xfrm>
        <a:graphic>
          <a:graphicData uri="http://schemas.openxmlformats.org/drawingml/2006/chart">
            <c:chart xmlns:c="http://schemas.openxmlformats.org/drawingml/2006/chart" xmlns:r="http://schemas.openxmlformats.org/officeDocument/2006/relationships" r:id="rId49"/>
          </a:graphicData>
        </a:graphic>
      </xdr:graphicFrame>
      <xdr:sp macro="" textlink="">
        <xdr:nvSpPr>
          <xdr:cNvPr id="92" name="CaixaDeTexto 91">
            <a:hlinkClick xmlns:r="http://schemas.openxmlformats.org/officeDocument/2006/relationships" r:id="rId3"/>
            <a:extLst>
              <a:ext uri="{FF2B5EF4-FFF2-40B4-BE49-F238E27FC236}">
                <a16:creationId xmlns:a16="http://schemas.microsoft.com/office/drawing/2014/main" id="{00000000-0008-0000-1100-00005C000000}"/>
              </a:ext>
            </a:extLst>
          </xdr:cNvPr>
          <xdr:cNvSpPr txBox="1"/>
        </xdr:nvSpPr>
        <xdr:spPr>
          <a:xfrm>
            <a:off x="6376988" y="19771520"/>
            <a:ext cx="65008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latin typeface="Adobe Devanagari" panose="02040503050201020203" pitchFamily="18" charset="0"/>
                <a:cs typeface="Adobe Devanagari" panose="02040503050201020203" pitchFamily="18" charset="0"/>
              </a:rPr>
              <a:t>Lúmens</a:t>
            </a:r>
          </a:p>
        </xdr:txBody>
      </xdr:sp>
      <xdr:sp macro="" textlink="'LANÇ. QUAL. PROJ'!E150">
        <xdr:nvSpPr>
          <xdr:cNvPr id="96" name="CaixaDeTexto 95">
            <a:hlinkClick xmlns:r="http://schemas.openxmlformats.org/officeDocument/2006/relationships" r:id="rId3"/>
            <a:extLst>
              <a:ext uri="{FF2B5EF4-FFF2-40B4-BE49-F238E27FC236}">
                <a16:creationId xmlns:a16="http://schemas.microsoft.com/office/drawing/2014/main" id="{00000000-0008-0000-1100-000060000000}"/>
              </a:ext>
            </a:extLst>
          </xdr:cNvPr>
          <xdr:cNvSpPr txBox="1"/>
        </xdr:nvSpPr>
        <xdr:spPr>
          <a:xfrm>
            <a:off x="5664993" y="19983450"/>
            <a:ext cx="1926432"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1561CE-51D7-47CF-81C1-D12EA1A22B21}" type="TxLink">
              <a:rPr lang="en-US" sz="1100" b="1" i="0" u="none" strike="noStrike">
                <a:solidFill>
                  <a:srgbClr val="000000"/>
                </a:solidFill>
                <a:latin typeface="Adobe Garamond Pro Bold" panose="02020702060506020403" pitchFamily="18" charset="0"/>
                <a:cs typeface="Calibri"/>
              </a:rPr>
              <a:pPr algn="ctr"/>
              <a:t>721</a:t>
            </a:fld>
            <a:endParaRPr lang="en-US" sz="1100" b="1" i="0" u="none" strike="noStrike">
              <a:solidFill>
                <a:srgbClr val="000000"/>
              </a:solidFill>
              <a:latin typeface="Adobe Garamond Pro Bold" panose="02020702060506020403" pitchFamily="18" charset="0"/>
              <a:cs typeface="Calibri"/>
            </a:endParaRPr>
          </a:p>
        </xdr:txBody>
      </xdr:sp>
    </xdr:grpSp>
    <xdr:clientData/>
  </xdr:twoCellAnchor>
  <xdr:twoCellAnchor>
    <xdr:from>
      <xdr:col>6</xdr:col>
      <xdr:colOff>611702</xdr:colOff>
      <xdr:row>128</xdr:row>
      <xdr:rowOff>65026</xdr:rowOff>
    </xdr:from>
    <xdr:to>
      <xdr:col>13</xdr:col>
      <xdr:colOff>571953</xdr:colOff>
      <xdr:row>142</xdr:row>
      <xdr:rowOff>76200</xdr:rowOff>
    </xdr:to>
    <xdr:graphicFrame macro="">
      <xdr:nvGraphicFramePr>
        <xdr:cNvPr id="10261" name="Gráfico 38">
          <a:extLst>
            <a:ext uri="{FF2B5EF4-FFF2-40B4-BE49-F238E27FC236}">
              <a16:creationId xmlns:a16="http://schemas.microsoft.com/office/drawing/2014/main" id="{00000000-0008-0000-1100-000015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0</xdr:col>
      <xdr:colOff>0</xdr:colOff>
      <xdr:row>114</xdr:row>
      <xdr:rowOff>121627</xdr:rowOff>
    </xdr:from>
    <xdr:to>
      <xdr:col>8</xdr:col>
      <xdr:colOff>95250</xdr:colOff>
      <xdr:row>128</xdr:row>
      <xdr:rowOff>57150</xdr:rowOff>
    </xdr:to>
    <xdr:graphicFrame macro="">
      <xdr:nvGraphicFramePr>
        <xdr:cNvPr id="10262" name="Gráfico 39">
          <a:extLst>
            <a:ext uri="{FF2B5EF4-FFF2-40B4-BE49-F238E27FC236}">
              <a16:creationId xmlns:a16="http://schemas.microsoft.com/office/drawing/2014/main" id="{00000000-0008-0000-1100-00001628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8</xdr:col>
      <xdr:colOff>504823</xdr:colOff>
      <xdr:row>215</xdr:row>
      <xdr:rowOff>161925</xdr:rowOff>
    </xdr:from>
    <xdr:to>
      <xdr:col>13</xdr:col>
      <xdr:colOff>561975</xdr:colOff>
      <xdr:row>224</xdr:row>
      <xdr:rowOff>66675</xdr:rowOff>
    </xdr:to>
    <xdr:sp macro="" textlink="">
      <xdr:nvSpPr>
        <xdr:cNvPr id="36" name="CaixaDeTexto 35">
          <a:extLst>
            <a:ext uri="{FF2B5EF4-FFF2-40B4-BE49-F238E27FC236}">
              <a16:creationId xmlns:a16="http://schemas.microsoft.com/office/drawing/2014/main" id="{00000000-0008-0000-1100-000024000000}"/>
            </a:ext>
          </a:extLst>
        </xdr:cNvPr>
        <xdr:cNvSpPr txBox="1"/>
      </xdr:nvSpPr>
      <xdr:spPr>
        <a:xfrm>
          <a:off x="4981573" y="41614725"/>
          <a:ext cx="3105152" cy="161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pt-BR" sz="1200" b="1">
              <a:solidFill>
                <a:srgbClr val="FF0000"/>
              </a:solidFill>
              <a:latin typeface="Adobe Devanagari" panose="02040503050201020203" pitchFamily="18" charset="0"/>
              <a:cs typeface="Adobe Devanagari" panose="02040503050201020203" pitchFamily="18" charset="0"/>
            </a:rPr>
            <a:t>ATENÇÃO </a:t>
          </a:r>
          <a:r>
            <a:rPr lang="pt-BR" sz="1200" b="0">
              <a:solidFill>
                <a:schemeClr val="tx1"/>
              </a:solidFill>
              <a:latin typeface="Adobe Devanagari" panose="02040503050201020203" pitchFamily="18" charset="0"/>
              <a:cs typeface="Adobe Devanagari" panose="02040503050201020203" pitchFamily="18" charset="0"/>
            </a:rPr>
            <a:t>LÚMENS:  É uma quantidade de medida relacionada à óptica, está relacionada a PROJETORES, que serve para definir</a:t>
          </a:r>
          <a:r>
            <a:rPr lang="pt-BR" sz="1200" b="0" baseline="0">
              <a:solidFill>
                <a:schemeClr val="tx1"/>
              </a:solidFill>
              <a:latin typeface="Adobe Devanagari" panose="02040503050201020203" pitchFamily="18" charset="0"/>
              <a:cs typeface="Adobe Devanagari" panose="02040503050201020203" pitchFamily="18" charset="0"/>
            </a:rPr>
            <a:t> </a:t>
          </a:r>
          <a:r>
            <a:rPr lang="pt-BR" sz="1200" b="0">
              <a:solidFill>
                <a:schemeClr val="tx1"/>
              </a:solidFill>
              <a:latin typeface="Adobe Devanagari" panose="02040503050201020203" pitchFamily="18" charset="0"/>
              <a:cs typeface="Adobe Devanagari" panose="02040503050201020203" pitchFamily="18" charset="0"/>
            </a:rPr>
            <a:t>a qualidade de uma imagem projetada se será boa </a:t>
          </a:r>
          <a:r>
            <a:rPr lang="pt-BR" sz="1200" b="0">
              <a:solidFill>
                <a:schemeClr val="tx1"/>
              </a:solidFill>
              <a:effectLst/>
              <a:latin typeface="Adobe Devanagari" panose="02040503050201020203" pitchFamily="18" charset="0"/>
              <a:ea typeface="+mn-ea"/>
              <a:cs typeface="+mn-cs"/>
            </a:rPr>
            <a:t>ao</a:t>
          </a:r>
          <a:r>
            <a:rPr lang="pt-BR" sz="1200" b="0">
              <a:solidFill>
                <a:schemeClr val="tx1"/>
              </a:solidFill>
              <a:latin typeface="Adobe Devanagari" panose="02040503050201020203" pitchFamily="18" charset="0"/>
              <a:cs typeface="Adobe Devanagari" panose="02040503050201020203" pitchFamily="18" charset="0"/>
            </a:rPr>
            <a:t> ambiente. Total</a:t>
          </a:r>
          <a:r>
            <a:rPr lang="pt-BR" sz="1200" b="0" baseline="0">
              <a:solidFill>
                <a:schemeClr val="tx1"/>
              </a:solidFill>
              <a:latin typeface="Adobe Devanagari" panose="02040503050201020203" pitchFamily="18" charset="0"/>
              <a:cs typeface="Adobe Devanagari" panose="02040503050201020203" pitchFamily="18" charset="0"/>
            </a:rPr>
            <a:t>  máximo de Lúmens por projetor é  de zero que é uma imagem nítida, quando atingir à 3.600 lúmens à imagem já vai está desgastada</a:t>
          </a:r>
          <a:r>
            <a:rPr lang="pt-BR" sz="1200" b="1" baseline="0">
              <a:solidFill>
                <a:srgbClr val="4F772D"/>
              </a:solidFill>
              <a:latin typeface="Adobe Devanagari" panose="02040503050201020203" pitchFamily="18" charset="0"/>
              <a:cs typeface="Adobe Devanagari" panose="02040503050201020203" pitchFamily="18" charset="0"/>
            </a:rPr>
            <a:t>.</a:t>
          </a:r>
          <a:endParaRPr lang="pt-BR" sz="1200" b="1">
            <a:solidFill>
              <a:srgbClr val="4F772D"/>
            </a:solidFill>
            <a:latin typeface="Adobe Devanagari" panose="02040503050201020203" pitchFamily="18" charset="0"/>
            <a:cs typeface="Adobe Devanagari" panose="02040503050201020203"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16</xdr:col>
          <xdr:colOff>447675</xdr:colOff>
          <xdr:row>29</xdr:row>
          <xdr:rowOff>66675</xdr:rowOff>
        </xdr:from>
        <xdr:to>
          <xdr:col>18</xdr:col>
          <xdr:colOff>0</xdr:colOff>
          <xdr:row>29</xdr:row>
          <xdr:rowOff>257175</xdr:rowOff>
        </xdr:to>
        <xdr:sp macro="" textlink="">
          <xdr:nvSpPr>
            <xdr:cNvPr id="30" name="Drop Down 14" hidden="1">
              <a:extLst>
                <a:ext uri="{63B3BB69-23CF-44E3-9099-C40C66FF867C}">
                  <a14:compatExt spid="_x0000_s10254"/>
                </a:ext>
                <a:ext uri="{FF2B5EF4-FFF2-40B4-BE49-F238E27FC236}">
                  <a16:creationId xmlns:a16="http://schemas.microsoft.com/office/drawing/2014/main" id="{00000000-0008-0000-1100-00001E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466725</xdr:colOff>
          <xdr:row>29</xdr:row>
          <xdr:rowOff>66675</xdr:rowOff>
        </xdr:from>
        <xdr:to>
          <xdr:col>16</xdr:col>
          <xdr:colOff>142875</xdr:colOff>
          <xdr:row>29</xdr:row>
          <xdr:rowOff>257175</xdr:rowOff>
        </xdr:to>
        <xdr:sp macro="" textlink="">
          <xdr:nvSpPr>
            <xdr:cNvPr id="38" name="Drop Down 15" hidden="1">
              <a:extLst>
                <a:ext uri="{63B3BB69-23CF-44E3-9099-C40C66FF867C}">
                  <a14:compatExt spid="_x0000_s10255"/>
                </a:ext>
                <a:ext uri="{FF2B5EF4-FFF2-40B4-BE49-F238E27FC236}">
                  <a16:creationId xmlns:a16="http://schemas.microsoft.com/office/drawing/2014/main" id="{00000000-0008-0000-1100-000026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30</xdr:row>
      <xdr:rowOff>0</xdr:rowOff>
    </xdr:from>
    <xdr:to>
      <xdr:col>18</xdr:col>
      <xdr:colOff>485775</xdr:colOff>
      <xdr:row>45</xdr:row>
      <xdr:rowOff>180974</xdr:rowOff>
    </xdr:to>
    <xdr:graphicFrame macro="">
      <xdr:nvGraphicFramePr>
        <xdr:cNvPr id="55" name="Gráfico 2">
          <a:extLst>
            <a:ext uri="{FF2B5EF4-FFF2-40B4-BE49-F238E27FC236}">
              <a16:creationId xmlns:a16="http://schemas.microsoft.com/office/drawing/2014/main" id="{00000000-0008-0000-11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0</xdr:col>
      <xdr:colOff>0</xdr:colOff>
      <xdr:row>47</xdr:row>
      <xdr:rowOff>28575</xdr:rowOff>
    </xdr:from>
    <xdr:to>
      <xdr:col>18</xdr:col>
      <xdr:colOff>495300</xdr:colOff>
      <xdr:row>71</xdr:row>
      <xdr:rowOff>152400</xdr:rowOff>
    </xdr:to>
    <xdr:graphicFrame macro="">
      <xdr:nvGraphicFramePr>
        <xdr:cNvPr id="66" name="Gráfico 3">
          <a:extLst>
            <a:ext uri="{FF2B5EF4-FFF2-40B4-BE49-F238E27FC236}">
              <a16:creationId xmlns:a16="http://schemas.microsoft.com/office/drawing/2014/main" id="{00000000-0008-0000-11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7</xdr:col>
      <xdr:colOff>381000</xdr:colOff>
      <xdr:row>7</xdr:row>
      <xdr:rowOff>47625</xdr:rowOff>
    </xdr:from>
    <xdr:to>
      <xdr:col>8</xdr:col>
      <xdr:colOff>385315</xdr:colOff>
      <xdr:row>9</xdr:row>
      <xdr:rowOff>52897</xdr:rowOff>
    </xdr:to>
    <xdr:grpSp>
      <xdr:nvGrpSpPr>
        <xdr:cNvPr id="114" name="Agrupar 113">
          <a:hlinkClick xmlns:r="http://schemas.openxmlformats.org/officeDocument/2006/relationships" r:id="rId54"/>
          <a:extLst>
            <a:ext uri="{FF2B5EF4-FFF2-40B4-BE49-F238E27FC236}">
              <a16:creationId xmlns:a16="http://schemas.microsoft.com/office/drawing/2014/main" id="{00000000-0008-0000-1100-000072000000}"/>
            </a:ext>
          </a:extLst>
        </xdr:cNvPr>
        <xdr:cNvGrpSpPr/>
      </xdr:nvGrpSpPr>
      <xdr:grpSpPr>
        <a:xfrm>
          <a:off x="4248150" y="1457325"/>
          <a:ext cx="613915" cy="386272"/>
          <a:chOff x="5324476" y="1276350"/>
          <a:chExt cx="628650" cy="390525"/>
        </a:xfrm>
      </xdr:grpSpPr>
      <xdr:sp macro="" textlink="">
        <xdr:nvSpPr>
          <xdr:cNvPr id="121" name="Retângulo 120">
            <a:extLst>
              <a:ext uri="{FF2B5EF4-FFF2-40B4-BE49-F238E27FC236}">
                <a16:creationId xmlns:a16="http://schemas.microsoft.com/office/drawing/2014/main" id="{00000000-0008-0000-1100-000079000000}"/>
              </a:ext>
            </a:extLst>
          </xdr:cNvPr>
          <xdr:cNvSpPr/>
        </xdr:nvSpPr>
        <xdr:spPr>
          <a:xfrm>
            <a:off x="5324476" y="1295400"/>
            <a:ext cx="628650" cy="371475"/>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122" name="Gráfico 121" descr="Dinheiro">
            <a:extLst>
              <a:ext uri="{FF2B5EF4-FFF2-40B4-BE49-F238E27FC236}">
                <a16:creationId xmlns:a16="http://schemas.microsoft.com/office/drawing/2014/main" id="{00000000-0008-0000-1100-00007A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 uri="{96DAC541-7B7A-43D3-8B79-37D633B846F1}">
                <asvg:svgBlip xmlns:asvg="http://schemas.microsoft.com/office/drawing/2016/SVG/main" r:embed="rId56"/>
              </a:ext>
            </a:extLst>
          </a:blip>
          <a:stretch>
            <a:fillRect/>
          </a:stretch>
        </xdr:blipFill>
        <xdr:spPr>
          <a:xfrm>
            <a:off x="5473384" y="1276350"/>
            <a:ext cx="347450" cy="361049"/>
          </a:xfrm>
          <a:prstGeom prst="rect">
            <a:avLst/>
          </a:prstGeom>
        </xdr:spPr>
      </xdr:pic>
    </xdr:grpSp>
    <xdr:clientData/>
  </xdr:twoCellAnchor>
  <xdr:twoCellAnchor>
    <xdr:from>
      <xdr:col>8</xdr:col>
      <xdr:colOff>505449</xdr:colOff>
      <xdr:row>7</xdr:row>
      <xdr:rowOff>69871</xdr:rowOff>
    </xdr:from>
    <xdr:to>
      <xdr:col>9</xdr:col>
      <xdr:colOff>514868</xdr:colOff>
      <xdr:row>9</xdr:row>
      <xdr:rowOff>45277</xdr:rowOff>
    </xdr:to>
    <xdr:grpSp>
      <xdr:nvGrpSpPr>
        <xdr:cNvPr id="115" name="Agrupar 114">
          <a:extLst>
            <a:ext uri="{FF2B5EF4-FFF2-40B4-BE49-F238E27FC236}">
              <a16:creationId xmlns:a16="http://schemas.microsoft.com/office/drawing/2014/main" id="{00000000-0008-0000-1100-000073000000}"/>
            </a:ext>
          </a:extLst>
        </xdr:cNvPr>
        <xdr:cNvGrpSpPr/>
      </xdr:nvGrpSpPr>
      <xdr:grpSpPr>
        <a:xfrm>
          <a:off x="4982199" y="1479571"/>
          <a:ext cx="619019" cy="356406"/>
          <a:chOff x="6229350" y="1300613"/>
          <a:chExt cx="647700" cy="375787"/>
        </a:xfrm>
      </xdr:grpSpPr>
      <xdr:sp macro="" textlink="">
        <xdr:nvSpPr>
          <xdr:cNvPr id="119" name="Retângulo 118">
            <a:extLst>
              <a:ext uri="{FF2B5EF4-FFF2-40B4-BE49-F238E27FC236}">
                <a16:creationId xmlns:a16="http://schemas.microsoft.com/office/drawing/2014/main" id="{00000000-0008-0000-1100-000077000000}"/>
              </a:ext>
            </a:extLst>
          </xdr:cNvPr>
          <xdr:cNvSpPr/>
        </xdr:nvSpPr>
        <xdr:spPr>
          <a:xfrm>
            <a:off x="6229350" y="1300613"/>
            <a:ext cx="647700" cy="375787"/>
          </a:xfrm>
          <a:prstGeom prst="rect">
            <a:avLst/>
          </a:prstGeom>
          <a:solidFill>
            <a:sysClr val="windowText" lastClr="000000">
              <a:lumMod val="95000"/>
              <a:lumOff val="5000"/>
            </a:sysClr>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120" name="Gráfico 119" descr="Gráfico de barras">
            <a:extLst>
              <a:ext uri="{FF2B5EF4-FFF2-40B4-BE49-F238E27FC236}">
                <a16:creationId xmlns:a16="http://schemas.microsoft.com/office/drawing/2014/main" id="{00000000-0008-0000-1100-000078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 uri="{96DAC541-7B7A-43D3-8B79-37D633B846F1}">
                <asvg:svgBlip xmlns:asvg="http://schemas.microsoft.com/office/drawing/2016/SVG/main" r:embed="rId58"/>
              </a:ext>
            </a:extLst>
          </a:blip>
          <a:stretch>
            <a:fillRect/>
          </a:stretch>
        </xdr:blipFill>
        <xdr:spPr>
          <a:xfrm>
            <a:off x="6330706" y="1314451"/>
            <a:ext cx="460619" cy="338946"/>
          </a:xfrm>
          <a:prstGeom prst="rect">
            <a:avLst/>
          </a:prstGeom>
        </xdr:spPr>
      </xdr:pic>
    </xdr:grpSp>
    <xdr:clientData/>
  </xdr:twoCellAnchor>
  <xdr:twoCellAnchor>
    <xdr:from>
      <xdr:col>10</xdr:col>
      <xdr:colOff>20260</xdr:colOff>
      <xdr:row>7</xdr:row>
      <xdr:rowOff>62252</xdr:rowOff>
    </xdr:from>
    <xdr:to>
      <xdr:col>11</xdr:col>
      <xdr:colOff>53939</xdr:colOff>
      <xdr:row>9</xdr:row>
      <xdr:rowOff>47228</xdr:rowOff>
    </xdr:to>
    <xdr:grpSp>
      <xdr:nvGrpSpPr>
        <xdr:cNvPr id="45" name="Agrupar 44">
          <a:hlinkClick xmlns:r="http://schemas.openxmlformats.org/officeDocument/2006/relationships" r:id="rId59"/>
          <a:extLst>
            <a:ext uri="{FF2B5EF4-FFF2-40B4-BE49-F238E27FC236}">
              <a16:creationId xmlns:a16="http://schemas.microsoft.com/office/drawing/2014/main" id="{00000000-0008-0000-1100-00002D000000}"/>
            </a:ext>
          </a:extLst>
        </xdr:cNvPr>
        <xdr:cNvGrpSpPr/>
      </xdr:nvGrpSpPr>
      <xdr:grpSpPr>
        <a:xfrm>
          <a:off x="5716210" y="1471952"/>
          <a:ext cx="643279" cy="365976"/>
          <a:chOff x="5716210" y="1471952"/>
          <a:chExt cx="643279" cy="365976"/>
        </a:xfrm>
      </xdr:grpSpPr>
      <xdr:sp macro="" textlink="">
        <xdr:nvSpPr>
          <xdr:cNvPr id="117" name="Retângulo 116">
            <a:extLst>
              <a:ext uri="{FF2B5EF4-FFF2-40B4-BE49-F238E27FC236}">
                <a16:creationId xmlns:a16="http://schemas.microsoft.com/office/drawing/2014/main" id="{00000000-0008-0000-1100-000075000000}"/>
              </a:ext>
            </a:extLst>
          </xdr:cNvPr>
          <xdr:cNvSpPr/>
        </xdr:nvSpPr>
        <xdr:spPr>
          <a:xfrm>
            <a:off x="5716210" y="1471952"/>
            <a:ext cx="643279" cy="365976"/>
          </a:xfrm>
          <a:prstGeom prst="rect">
            <a:avLst/>
          </a:prstGeom>
          <a:solidFill>
            <a:sysClr val="windowText" lastClr="000000"/>
          </a:solidFill>
          <a:ln w="12700" cap="flat" cmpd="sng" algn="ctr">
            <a:solidFill>
              <a:srgbClr val="70AD47">
                <a:lumMod val="20000"/>
                <a:lumOff val="80000"/>
              </a:srgbClr>
            </a:solidFill>
            <a:prstDash val="solid"/>
            <a:miter lim="800000"/>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0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pic>
        <xdr:nvPicPr>
          <xdr:cNvPr id="100" name="Gráfico 99" descr="Lixo">
            <a:extLst>
              <a:ext uri="{FF2B5EF4-FFF2-40B4-BE49-F238E27FC236}">
                <a16:creationId xmlns:a16="http://schemas.microsoft.com/office/drawing/2014/main" id="{00000000-0008-0000-1100-000064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 uri="{96DAC541-7B7A-43D3-8B79-37D633B846F1}">
                <asvg:svgBlip xmlns:asvg="http://schemas.microsoft.com/office/drawing/2016/SVG/main" r:embed="rId61"/>
              </a:ext>
            </a:extLst>
          </a:blip>
          <a:stretch>
            <a:fillRect/>
          </a:stretch>
        </xdr:blipFill>
        <xdr:spPr>
          <a:xfrm>
            <a:off x="5895975" y="1495425"/>
            <a:ext cx="304800" cy="304800"/>
          </a:xfrm>
          <a:prstGeom prst="rect">
            <a:avLst/>
          </a:prstGeom>
        </xdr:spPr>
      </xdr:pic>
    </xdr:grpSp>
    <xdr:clientData/>
  </xdr:twoCellAnchor>
  <xdr:twoCellAnchor>
    <xdr:from>
      <xdr:col>5</xdr:col>
      <xdr:colOff>600074</xdr:colOff>
      <xdr:row>229</xdr:row>
      <xdr:rowOff>185737</xdr:rowOff>
    </xdr:from>
    <xdr:to>
      <xdr:col>19</xdr:col>
      <xdr:colOff>0</xdr:colOff>
      <xdr:row>241</xdr:row>
      <xdr:rowOff>28576</xdr:rowOff>
    </xdr:to>
    <xdr:graphicFrame macro="">
      <xdr:nvGraphicFramePr>
        <xdr:cNvPr id="68" name="Gráfico 10">
          <a:extLst>
            <a:ext uri="{FF2B5EF4-FFF2-40B4-BE49-F238E27FC236}">
              <a16:creationId xmlns:a16="http://schemas.microsoft.com/office/drawing/2014/main" id="{00000000-0008-0000-11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0.27284</cdr:x>
      <cdr:y>0.5947</cdr:y>
    </cdr:from>
    <cdr:to>
      <cdr:x>0.72273</cdr:x>
      <cdr:y>0.85533</cdr:y>
    </cdr:to>
    <cdr:sp macro="" textlink="'LANÇ. QUAL. PROJ'!$E$207">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52853" y="1554485"/>
          <a:ext cx="1901009" cy="6812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0FF2937-1120-4EC2-99CE-196C9716B705}" type="TxLink">
            <a:rPr lang="en-US" sz="1100" b="1" i="0" u="none" strike="noStrike">
              <a:solidFill>
                <a:srgbClr val="000000"/>
              </a:solidFill>
              <a:latin typeface="Adobe Garamond Pro Bold" panose="02020702060506020403" pitchFamily="18" charset="0"/>
              <a:cs typeface="Calibri"/>
            </a:rPr>
            <a:pPr algn="ctr"/>
            <a:t>2851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0.42454</cdr:x>
      <cdr:y>0.52231</cdr:y>
    </cdr:from>
    <cdr:to>
      <cdr:x>0.57783</cdr:x>
      <cdr:y>0.60874</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99568BC-7147-4C10-86FA-CF4F7DDED548}"/>
            </a:ext>
          </a:extLst>
        </cdr:cNvPr>
        <cdr:cNvSpPr txBox="1"/>
      </cdr:nvSpPr>
      <cdr:spPr>
        <a:xfrm xmlns:a="http://schemas.openxmlformats.org/drawingml/2006/main">
          <a:off x="1793875" y="1365250"/>
          <a:ext cx="647699" cy="2259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15.xml><?xml version="1.0" encoding="utf-8"?>
<c:userShapes xmlns:c="http://schemas.openxmlformats.org/drawingml/2006/chart">
  <cdr:relSizeAnchor xmlns:cdr="http://schemas.openxmlformats.org/drawingml/2006/chartDrawing">
    <cdr:from>
      <cdr:x>0.43642</cdr:x>
      <cdr:y>0.54667</cdr:y>
    </cdr:from>
    <cdr:to>
      <cdr:x>0.61797</cdr:x>
      <cdr:y>0.62071</cdr:y>
    </cdr:to>
    <cdr:sp macro="" textlink="">
      <cdr:nvSpPr>
        <cdr:cNvPr id="2"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F000000}"/>
            </a:ext>
          </a:extLst>
        </cdr:cNvPr>
        <cdr:cNvSpPr txBox="1"/>
      </cdr:nvSpPr>
      <cdr:spPr>
        <a:xfrm xmlns:a="http://schemas.openxmlformats.org/drawingml/2006/main">
          <a:off x="1643048" y="1412815"/>
          <a:ext cx="683510" cy="1913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dr:relSizeAnchor xmlns:cdr="http://schemas.openxmlformats.org/drawingml/2006/chartDrawing">
    <cdr:from>
      <cdr:x>0.28335</cdr:x>
      <cdr:y>0.63219</cdr:y>
    </cdr:from>
    <cdr:to>
      <cdr:x>0.71244</cdr:x>
      <cdr:y>0.89261</cdr:y>
    </cdr:to>
    <cdr:sp macro="" textlink="'LANÇ. QUAL. PROJ'!$E$226">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33719" y="1633826"/>
          <a:ext cx="1868247" cy="6730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6DFF56A9-18BF-457F-B9C2-42E0E819CC2F}" type="TxLink">
            <a:rPr lang="en-US" sz="1100" b="1" i="0" u="none" strike="noStrike">
              <a:solidFill>
                <a:srgbClr val="000000"/>
              </a:solidFill>
              <a:latin typeface="Adobe Garamond Pro Bold" panose="02020702060506020403" pitchFamily="18" charset="0"/>
              <a:cs typeface="Calibri"/>
            </a:rPr>
            <a:pPr algn="ctr"/>
            <a:t>901</a:t>
          </a:fld>
          <a:endParaRPr lang="en-US" sz="1100" b="1" i="0" u="none" strike="noStrike">
            <a:solidFill>
              <a:srgbClr val="000000"/>
            </a:solidFill>
            <a:latin typeface="Adobe Garamond Pro Bold" panose="02020702060506020403" pitchFamily="18" charset="0"/>
            <a:cs typeface="Calibri"/>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0.42844</cdr:x>
      <cdr:y>0.51893</cdr:y>
    </cdr:from>
    <cdr:to>
      <cdr:x>0.57102</cdr:x>
      <cdr:y>0.60581</cdr:y>
    </cdr:to>
    <cdr:sp macro="" textlink="">
      <cdr:nvSpPr>
        <cdr:cNvPr id="2"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F000000}"/>
            </a:ext>
          </a:extLst>
        </cdr:cNvPr>
        <cdr:cNvSpPr txBox="1"/>
      </cdr:nvSpPr>
      <cdr:spPr>
        <a:xfrm xmlns:a="http://schemas.openxmlformats.org/drawingml/2006/main">
          <a:off x="1946275" y="1422400"/>
          <a:ext cx="647699" cy="2381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dr:relSizeAnchor xmlns:cdr="http://schemas.openxmlformats.org/drawingml/2006/chartDrawing">
    <cdr:from>
      <cdr:x>0.30046</cdr:x>
      <cdr:y>0.58478</cdr:y>
    </cdr:from>
    <cdr:to>
      <cdr:x>0.69102</cdr:x>
      <cdr:y>0.87677</cdr:y>
    </cdr:to>
    <cdr:sp macro="" textlink="'LANÇ. QUAL. PROJ'!$E$245">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370837" y="1581986"/>
          <a:ext cx="1781937" cy="7899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6511ADD-96A3-40BE-A16F-A5990805430E}"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0.26859</cdr:x>
      <cdr:y>0.60873</cdr:y>
    </cdr:from>
    <cdr:to>
      <cdr:x>0.7848</cdr:x>
      <cdr:y>0.89329</cdr:y>
    </cdr:to>
    <cdr:sp macro="" textlink="'LANÇ. QUAL. PROJ'!$E$283">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998587" y="1630061"/>
          <a:ext cx="1919201" cy="7619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70207A2-64A2-483C-A64E-BE28B16B3085}" type="TxLink">
            <a:rPr lang="en-US" sz="1100" b="0" i="0" u="none" strike="noStrike">
              <a:solidFill>
                <a:srgbClr val="000000"/>
              </a:solidFill>
              <a:latin typeface="Adobe Garamond Pro Bold" panose="02020702060506020403" pitchFamily="18" charset="0"/>
              <a:cs typeface="Calibri"/>
            </a:rPr>
            <a:pPr algn="ctr"/>
            <a:t>O Projetor atigiu o pior nível de Imagem! É necessário uma troca urgente!</a:t>
          </a:fld>
          <a:endParaRPr lang="en-US" sz="1100" b="0"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0.43531</cdr:x>
      <cdr:y>0.54185</cdr:y>
    </cdr:from>
    <cdr:to>
      <cdr:x>0.61827</cdr:x>
      <cdr:y>0.62962</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618434" y="1450970"/>
          <a:ext cx="680230" cy="2350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18.xml><?xml version="1.0" encoding="utf-8"?>
<c:userShapes xmlns:c="http://schemas.openxmlformats.org/drawingml/2006/chart">
  <cdr:relSizeAnchor xmlns:cdr="http://schemas.openxmlformats.org/drawingml/2006/chartDrawing">
    <cdr:from>
      <cdr:x>0.28909</cdr:x>
      <cdr:y>0.60444</cdr:y>
    </cdr:from>
    <cdr:to>
      <cdr:x>0.70816</cdr:x>
      <cdr:y>0.86597</cdr:y>
    </cdr:to>
    <cdr:sp macro="" textlink="'LANÇ. QUAL. PROJ'!$E$302">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313442" y="1571956"/>
          <a:ext cx="1904013" cy="68015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544EFDB-520B-4254-B202-03CBE95B31E8}" type="TxLink">
            <a:rPr lang="en-US" sz="1100" b="1" i="0" u="none" strike="noStrike">
              <a:solidFill>
                <a:srgbClr val="000000"/>
              </a:solidFill>
              <a:latin typeface="Adobe Garamond Pro Bold" panose="02020702060506020403" pitchFamily="18" charset="0"/>
              <a:cs typeface="Calibri"/>
            </a:rPr>
            <a:pPr algn="ctr"/>
            <a:t>241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0.43256</cdr:x>
      <cdr:y>0.53961</cdr:y>
    </cdr:from>
    <cdr:to>
      <cdr:x>0.57574</cdr:x>
      <cdr:y>0.62998</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65325" y="1403350"/>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19.xml><?xml version="1.0" encoding="utf-8"?>
<c:userShapes xmlns:c="http://schemas.openxmlformats.org/drawingml/2006/chart">
  <cdr:relSizeAnchor xmlns:cdr="http://schemas.openxmlformats.org/drawingml/2006/chartDrawing">
    <cdr:from>
      <cdr:x>0.24602</cdr:x>
      <cdr:y>0.58162</cdr:y>
    </cdr:from>
    <cdr:to>
      <cdr:x>0.76635</cdr:x>
      <cdr:y>0.84245</cdr:y>
    </cdr:to>
    <cdr:sp macro="" textlink="'LANÇ. QUAL. PROJ'!$E$321">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043048" y="1519215"/>
          <a:ext cx="2206077" cy="68130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9EE22E4-7106-4026-9957-30A5A813E478}" type="TxLink">
            <a:rPr lang="en-US" sz="1100" b="1" i="0" u="none" strike="noStrike">
              <a:solidFill>
                <a:srgbClr val="000000"/>
              </a:solidFill>
              <a:latin typeface="Adobe Garamond Pro Bold" panose="02020702060506020403" pitchFamily="18" charset="0"/>
              <a:cs typeface="Calibri"/>
            </a:rPr>
            <a:pPr algn="ctr"/>
            <a:t>301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0.42536</cdr:x>
      <cdr:y>0.54091</cdr:y>
    </cdr:from>
    <cdr:to>
      <cdr:x>0.57879</cdr:x>
      <cdr:y>0.63088</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03400" y="141287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0.xml><?xml version="1.0" encoding="utf-8"?>
<c:userShapes xmlns:c="http://schemas.openxmlformats.org/drawingml/2006/chart">
  <cdr:relSizeAnchor xmlns:cdr="http://schemas.openxmlformats.org/drawingml/2006/chartDrawing">
    <cdr:from>
      <cdr:x>0.2717</cdr:x>
      <cdr:y>0.59886</cdr:y>
    </cdr:from>
    <cdr:to>
      <cdr:x>0.75198</cdr:x>
      <cdr:y>0.85948</cdr:y>
    </cdr:to>
    <cdr:sp macro="" textlink="'LANÇ. QUAL. PROJ'!$E$340">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79091" y="1560854"/>
          <a:ext cx="2084319" cy="679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ED9FC167-7F7E-42E0-B232-25BFC238D1DD}"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0.43311</cdr:x>
      <cdr:y>0.54209</cdr:y>
    </cdr:from>
    <cdr:to>
      <cdr:x>0.61855</cdr:x>
      <cdr:y>0.63226</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611434" y="1412887"/>
          <a:ext cx="689952" cy="2350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1.xml><?xml version="1.0" encoding="utf-8"?>
<c:userShapes xmlns:c="http://schemas.openxmlformats.org/drawingml/2006/chart">
  <cdr:relSizeAnchor xmlns:cdr="http://schemas.openxmlformats.org/drawingml/2006/chartDrawing">
    <cdr:from>
      <cdr:x>0.28736</cdr:x>
      <cdr:y>0.57086</cdr:y>
    </cdr:from>
    <cdr:to>
      <cdr:x>0.71314</cdr:x>
      <cdr:y>0.83149</cdr:y>
    </cdr:to>
    <cdr:sp macro="" textlink="'LANÇ. QUAL. PROJ'!$E$359">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300103" y="1556795"/>
          <a:ext cx="1926388" cy="71073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E928DA0-3A7A-4503-999A-AE18A00966F9}" type="TxLink">
            <a:rPr lang="en-US" sz="1100" b="1" i="0" u="none" strike="noStrike">
              <a:solidFill>
                <a:srgbClr val="000000"/>
              </a:solidFill>
              <a:latin typeface="Adobe Garamond Pro Bold" panose="02020702060506020403" pitchFamily="18" charset="0"/>
              <a:cs typeface="Calibri"/>
            </a:rPr>
            <a:pPr algn="ctr"/>
            <a:t>1401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0.43439</cdr:x>
      <cdr:y>0.53905</cdr:y>
    </cdr:from>
    <cdr:to>
      <cdr:x>0.57817</cdr:x>
      <cdr:y>0.62523</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65325" y="147002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2.xml><?xml version="1.0" encoding="utf-8"?>
<c:userShapes xmlns:c="http://schemas.openxmlformats.org/drawingml/2006/chart">
  <cdr:relSizeAnchor xmlns:cdr="http://schemas.openxmlformats.org/drawingml/2006/chartDrawing">
    <cdr:from>
      <cdr:x>0.26706</cdr:x>
      <cdr:y>0.57273</cdr:y>
    </cdr:from>
    <cdr:to>
      <cdr:x>0.73889</cdr:x>
      <cdr:y>0.84181</cdr:y>
    </cdr:to>
    <cdr:sp macro="" textlink="'LANÇ. QUAL. PROJ'!$E$378">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41176" y="1568274"/>
          <a:ext cx="2016159" cy="7368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4948C11E-6736-4C41-A153-08DB91F5F4D8}" type="TxLink">
            <a:rPr lang="en-US" sz="1100" b="1" i="0" u="none" strike="noStrike">
              <a:solidFill>
                <a:srgbClr val="000000"/>
              </a:solidFill>
              <a:latin typeface="Adobe Garamond Pro Bold" panose="02020702060506020403" pitchFamily="18" charset="0"/>
              <a:cs typeface="Calibri"/>
            </a:rPr>
            <a:pPr algn="ctr"/>
            <a:t>1201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0.43318</cdr:x>
      <cdr:y>0.54033</cdr:y>
    </cdr:from>
    <cdr:to>
      <cdr:x>0.58542</cdr:x>
      <cdr:y>0.62615</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51025" y="1479550"/>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3.xml><?xml version="1.0" encoding="utf-8"?>
<c:userShapes xmlns:c="http://schemas.openxmlformats.org/drawingml/2006/chart">
  <cdr:relSizeAnchor xmlns:cdr="http://schemas.openxmlformats.org/drawingml/2006/chartDrawing">
    <cdr:from>
      <cdr:x>0.25723</cdr:x>
      <cdr:y>0.56766</cdr:y>
    </cdr:from>
    <cdr:to>
      <cdr:x>0.7399</cdr:x>
      <cdr:y>0.82828</cdr:y>
    </cdr:to>
    <cdr:sp macro="" textlink="'LANÇ. QUAL. PROJ'!$E$397">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979675" y="1560732"/>
          <a:ext cx="1838327" cy="7165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1330B7A-BB65-400E-9AF3-6AE3050776B4}" type="TxLink">
            <a:rPr lang="en-US" sz="1100" b="1" i="0" u="none" strike="noStrike">
              <a:solidFill>
                <a:srgbClr val="000000"/>
              </a:solidFill>
              <a:latin typeface="Adobe Garamond Pro Bold" panose="02020702060506020403" pitchFamily="18" charset="0"/>
              <a:cs typeface="Calibri"/>
            </a:rPr>
            <a:pPr algn="ctr"/>
            <a:t>SEM PROJETOR NESSA SALA</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0.4168</cdr:x>
      <cdr:y>0.53814</cdr:y>
    </cdr:from>
    <cdr:to>
      <cdr:x>0.61486</cdr:x>
      <cdr:y>0.62239</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587419" y="1479573"/>
          <a:ext cx="754332" cy="23163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4.xml><?xml version="1.0" encoding="utf-8"?>
<c:userShapes xmlns:c="http://schemas.openxmlformats.org/drawingml/2006/chart">
  <cdr:relSizeAnchor xmlns:cdr="http://schemas.openxmlformats.org/drawingml/2006/chartDrawing">
    <cdr:from>
      <cdr:x>0.27884</cdr:x>
      <cdr:y>0.58148</cdr:y>
    </cdr:from>
    <cdr:to>
      <cdr:x>0.70451</cdr:x>
      <cdr:y>0.84211</cdr:y>
    </cdr:to>
    <cdr:sp macro="" textlink="'LANÇ. QUAL. PROJ'!$E$416">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56272" y="1530783"/>
          <a:ext cx="1917782" cy="686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E8A2F30-759C-421F-AD93-457A97B12931}" type="TxLink">
            <a:rPr lang="en-US" sz="1100" b="1" i="0" u="none" strike="noStrike">
              <a:solidFill>
                <a:srgbClr val="000000"/>
              </a:solidFill>
              <a:latin typeface="Adobe Garamond Pro Bold" panose="02020702060506020403" pitchFamily="18" charset="0"/>
              <a:cs typeface="Calibri"/>
            </a:rPr>
            <a:pPr algn="ctr"/>
            <a:t>SEM PROJETOR NESSA SALA</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0.42777</cdr:x>
      <cdr:y>0.52946</cdr:y>
    </cdr:from>
    <cdr:to>
      <cdr:x>0.57215</cdr:x>
      <cdr:y>0.61874</cdr:y>
    </cdr:to>
    <cdr:sp macro="" textlink="">
      <cdr:nvSpPr>
        <cdr:cNvPr id="5"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27225" y="139382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5.xml><?xml version="1.0" encoding="utf-8"?>
<c:userShapes xmlns:c="http://schemas.openxmlformats.org/drawingml/2006/chart">
  <cdr:relSizeAnchor xmlns:cdr="http://schemas.openxmlformats.org/drawingml/2006/chartDrawing">
    <cdr:from>
      <cdr:x>0.25448</cdr:x>
      <cdr:y>0.60725</cdr:y>
    </cdr:from>
    <cdr:to>
      <cdr:x>0.7187</cdr:x>
      <cdr:y>0.86808</cdr:y>
    </cdr:to>
    <cdr:sp macro="" textlink="'LANÇ. QUAL. PROJ'!$E$435">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085744" y="1600836"/>
          <a:ext cx="1980553" cy="6876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DB2DE5D-75F3-41C6-8B0B-1614B58644B0}" type="TxLink">
            <a:rPr lang="en-US" sz="1100" b="1" i="0" u="none" strike="noStrike">
              <a:solidFill>
                <a:srgbClr val="000000"/>
              </a:solidFill>
              <a:latin typeface="Adobe Garamond Pro Bold" panose="02020702060506020403" pitchFamily="18" charset="0"/>
              <a:cs typeface="Calibri"/>
            </a:rPr>
            <a:pPr algn="ctr"/>
            <a:t>3301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0.43162</cdr:x>
      <cdr:y>0.53956</cdr:y>
    </cdr:from>
    <cdr:to>
      <cdr:x>0.5841</cdr:x>
      <cdr:y>0.62871</cdr:y>
    </cdr:to>
    <cdr:sp macro="" textlink="">
      <cdr:nvSpPr>
        <cdr:cNvPr id="5"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41500" y="1422400"/>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6.xml><?xml version="1.0" encoding="utf-8"?>
<c:userShapes xmlns:c="http://schemas.openxmlformats.org/drawingml/2006/chart">
  <cdr:relSizeAnchor xmlns:cdr="http://schemas.openxmlformats.org/drawingml/2006/chartDrawing">
    <cdr:from>
      <cdr:x>0.29061</cdr:x>
      <cdr:y>0.55971</cdr:y>
    </cdr:from>
    <cdr:to>
      <cdr:x>0.72314</cdr:x>
      <cdr:y>0.82055</cdr:y>
    </cdr:to>
    <cdr:sp macro="" textlink="'LANÇ. QUAL. PROJ'!$E$454">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45503" y="1460444"/>
          <a:ext cx="1704915" cy="6806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A528E04-7124-4364-970D-C336973DE318}" type="TxLink">
            <a:rPr lang="en-US" sz="1100" b="1" i="0" u="none" strike="noStrike">
              <a:solidFill>
                <a:srgbClr val="000000"/>
              </a:solidFill>
              <a:latin typeface="Adobe Garamond Pro Bold" panose="02020702060506020403" pitchFamily="18" charset="0"/>
              <a:cs typeface="Calibri"/>
            </a:rPr>
            <a:pPr algn="ctr"/>
            <a:t>1501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0.43344</cdr:x>
      <cdr:y>0.53052</cdr:y>
    </cdr:from>
    <cdr:to>
      <cdr:x>0.61337</cdr:x>
      <cdr:y>0.61827</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708502" y="1384287"/>
          <a:ext cx="709225" cy="2289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7.xml><?xml version="1.0" encoding="utf-8"?>
<c:userShapes xmlns:c="http://schemas.openxmlformats.org/drawingml/2006/chart">
  <cdr:relSizeAnchor xmlns:cdr="http://schemas.openxmlformats.org/drawingml/2006/chartDrawing">
    <cdr:from>
      <cdr:x>0.27869</cdr:x>
      <cdr:y>0.62015</cdr:y>
    </cdr:from>
    <cdr:to>
      <cdr:x>0.71822</cdr:x>
      <cdr:y>0.88077</cdr:y>
    </cdr:to>
    <cdr:sp macro="" textlink="'LANÇ. QUAL. PROJ'!$E$473">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52919" y="1664845"/>
          <a:ext cx="1976055" cy="69965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39479D5C-EA4C-4A2D-B234-37DAFD65F8B1}" type="TxLink">
            <a:rPr lang="en-US" sz="1100" b="1" i="0" u="none" strike="noStrike">
              <a:solidFill>
                <a:srgbClr val="000000"/>
              </a:solidFill>
              <a:latin typeface="Adobe Garamond Pro Bold" panose="02020702060506020403" pitchFamily="18" charset="0"/>
              <a:cs typeface="Calibri"/>
            </a:rPr>
            <a:pPr algn="ctr"/>
            <a:t>121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0.43291</cdr:x>
      <cdr:y>0.52629</cdr:y>
    </cdr:from>
    <cdr:to>
      <cdr:x>0.5776</cdr:x>
      <cdr:y>0.61384</cdr:y>
    </cdr:to>
    <cdr:sp macro="" textlink="">
      <cdr:nvSpPr>
        <cdr:cNvPr id="5"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46275" y="141287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8.xml><?xml version="1.0" encoding="utf-8"?>
<c:userShapes xmlns:c="http://schemas.openxmlformats.org/drawingml/2006/chart">
  <cdr:relSizeAnchor xmlns:cdr="http://schemas.openxmlformats.org/drawingml/2006/chartDrawing">
    <cdr:from>
      <cdr:x>0.30859</cdr:x>
      <cdr:y>0.65214</cdr:y>
    </cdr:from>
    <cdr:to>
      <cdr:x>0.73051</cdr:x>
      <cdr:y>0.91276</cdr:y>
    </cdr:to>
    <cdr:sp macro="" textlink="'LANÇ. QUAL. PROJ'!$E$492">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317158" y="1753342"/>
          <a:ext cx="1800861" cy="7007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8A208194-1E24-451C-9D05-BEBE54D30F13}" type="TxLink">
            <a:rPr lang="en-US" sz="1100" b="1" i="0" u="none" strike="noStrike">
              <a:solidFill>
                <a:srgbClr val="000000"/>
              </a:solidFill>
              <a:latin typeface="Adobe Garamond Pro Bold" panose="02020702060506020403" pitchFamily="18" charset="0"/>
              <a:cs typeface="Calibri"/>
            </a:rPr>
            <a:pPr algn="ctr"/>
            <a:t>3301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0.4292</cdr:x>
      <cdr:y>0.52905</cdr:y>
    </cdr:from>
    <cdr:to>
      <cdr:x>0.58161</cdr:x>
      <cdr:y>0.61646</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31975" y="1422400"/>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29.xml><?xml version="1.0" encoding="utf-8"?>
<c:userShapes xmlns:c="http://schemas.openxmlformats.org/drawingml/2006/chart">
  <cdr:relSizeAnchor xmlns:cdr="http://schemas.openxmlformats.org/drawingml/2006/chartDrawing">
    <cdr:from>
      <cdr:x>0.29782</cdr:x>
      <cdr:y>0.56023</cdr:y>
    </cdr:from>
    <cdr:to>
      <cdr:x>0.72374</cdr:x>
      <cdr:y>0.82086</cdr:y>
    </cdr:to>
    <cdr:sp macro="" textlink="'LANÇ. QUAL. PROJ'!$E$511">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48495" y="1517834"/>
          <a:ext cx="1642492" cy="70612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B9541E8-BD9B-48DA-8590-A82B810B42E8}" type="TxLink">
            <a:rPr lang="en-US" sz="1100" b="1" i="0" u="none" strike="noStrike">
              <a:solidFill>
                <a:srgbClr val="000000"/>
              </a:solidFill>
              <a:latin typeface="Adobe Garamond Pro Bold" panose="02020702060506020403" pitchFamily="18" charset="0"/>
              <a:cs typeface="Calibri"/>
            </a:rPr>
            <a:pPr algn="ctr"/>
            <a:t>1601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0.4262</cdr:x>
      <cdr:y>0.54962</cdr:y>
    </cdr:from>
    <cdr:to>
      <cdr:x>0.59246</cdr:x>
      <cdr:y>0.63636</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643572" y="1489084"/>
          <a:ext cx="641143" cy="2350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0.xml><?xml version="1.0" encoding="utf-8"?>
<c:userShapes xmlns:c="http://schemas.openxmlformats.org/drawingml/2006/chart">
  <cdr:relSizeAnchor xmlns:cdr="http://schemas.openxmlformats.org/drawingml/2006/chartDrawing">
    <cdr:from>
      <cdr:x>0.2871</cdr:x>
      <cdr:y>0.57794</cdr:y>
    </cdr:from>
    <cdr:to>
      <cdr:x>0.70704</cdr:x>
      <cdr:y>0.83857</cdr:y>
    </cdr:to>
    <cdr:sp macro="" textlink="'LANÇ. QUAL. PROJ'!$E$530">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00989" y="1555770"/>
          <a:ext cx="1610399" cy="70159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0322DC4-7FCF-45B7-B990-70CAC2F5EC65}" type="TxLink">
            <a:rPr lang="en-US" sz="1100" b="1" i="0" u="none" strike="noStrike">
              <a:solidFill>
                <a:srgbClr val="000000"/>
              </a:solidFill>
              <a:latin typeface="Adobe Garamond Pro Bold" panose="02020702060506020403" pitchFamily="18" charset="0"/>
              <a:cs typeface="Calibri"/>
            </a:rPr>
            <a:pPr algn="ctr"/>
            <a:t>3301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0.41612</cdr:x>
      <cdr:y>0.54962</cdr:y>
    </cdr:from>
    <cdr:to>
      <cdr:x>0.5852</cdr:x>
      <cdr:y>0.65324</cdr:y>
    </cdr:to>
    <cdr:sp macro="" textlink="">
      <cdr:nvSpPr>
        <cdr:cNvPr id="5"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595738" y="1479538"/>
          <a:ext cx="648417" cy="2789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1.xml><?xml version="1.0" encoding="utf-8"?>
<c:userShapes xmlns:c="http://schemas.openxmlformats.org/drawingml/2006/chart">
  <cdr:relSizeAnchor xmlns:cdr="http://schemas.openxmlformats.org/drawingml/2006/chartDrawing">
    <cdr:from>
      <cdr:x>0.27892</cdr:x>
      <cdr:y>0.56408</cdr:y>
    </cdr:from>
    <cdr:to>
      <cdr:x>0.7047</cdr:x>
      <cdr:y>0.8247</cdr:y>
    </cdr:to>
    <cdr:sp macro="" textlink="'LANÇ. QUAL. PROJ'!$E$549">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51312" y="1547585"/>
          <a:ext cx="1910166" cy="71502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B2445675-05C7-441E-A894-EE5542637BBC}" type="TxLink">
            <a:rPr lang="en-US" sz="1100" b="1" i="0" u="none" strike="noStrike">
              <a:solidFill>
                <a:srgbClr val="000000"/>
              </a:solidFill>
              <a:latin typeface="Adobe Garamond Pro Bold" panose="02020702060506020403" pitchFamily="18" charset="0"/>
              <a:cs typeface="Calibri"/>
            </a:rPr>
            <a:pPr algn="ctr"/>
            <a:t>1801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0.43171</cdr:x>
      <cdr:y>0.53716</cdr:y>
    </cdr:from>
    <cdr:to>
      <cdr:x>0.57671</cdr:x>
      <cdr:y>0.62194</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36750" y="148907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2.xml><?xml version="1.0" encoding="utf-8"?>
<c:userShapes xmlns:c="http://schemas.openxmlformats.org/drawingml/2006/chart">
  <cdr:relSizeAnchor xmlns:cdr="http://schemas.openxmlformats.org/drawingml/2006/chartDrawing">
    <cdr:from>
      <cdr:x>0.28738</cdr:x>
      <cdr:y>0.55656</cdr:y>
    </cdr:from>
    <cdr:to>
      <cdr:x>0.71632</cdr:x>
      <cdr:y>0.81718</cdr:y>
    </cdr:to>
    <cdr:sp macro="" textlink="'LANÇ. QUAL. PROJ'!$E$587">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89071" y="1499533"/>
          <a:ext cx="1924029" cy="70218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EE03F24-A758-4C79-9F7E-77419A8AA25A}" type="TxLink">
            <a:rPr lang="en-US" sz="1100" b="1" i="0" u="none" strike="noStrike">
              <a:solidFill>
                <a:srgbClr val="000000"/>
              </a:solidFill>
              <a:latin typeface="Adobe Garamond Pro Bold" panose="02020702060506020403" pitchFamily="18" charset="0"/>
              <a:cs typeface="Calibri"/>
            </a:rPr>
            <a:pPr algn="ctr"/>
            <a:t>501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0.42965</cdr:x>
      <cdr:y>0.54561</cdr:y>
    </cdr:from>
    <cdr:to>
      <cdr:x>0.57468</cdr:x>
      <cdr:y>0.63284</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927225" y="147002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3.xml><?xml version="1.0" encoding="utf-8"?>
<c:userShapes xmlns:c="http://schemas.openxmlformats.org/drawingml/2006/chart">
  <cdr:relSizeAnchor xmlns:cdr="http://schemas.openxmlformats.org/drawingml/2006/chartDrawing">
    <cdr:from>
      <cdr:x>0.29059</cdr:x>
      <cdr:y>0.57075</cdr:y>
    </cdr:from>
    <cdr:to>
      <cdr:x>0.71251</cdr:x>
      <cdr:y>0.83138</cdr:y>
    </cdr:to>
    <cdr:sp macro="" textlink="'LANÇ. QUAL. PROJ'!$E$606">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40341" y="1530658"/>
          <a:ext cx="1800881" cy="6989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D2F7FF40-2F88-4147-97F8-53016C075954}" type="TxLink">
            <a:rPr lang="en-US" sz="1100" b="1" i="0" u="none" strike="noStrike">
              <a:solidFill>
                <a:srgbClr val="000000"/>
              </a:solidFill>
              <a:latin typeface="Adobe Garamond Pro Bold" panose="02020702060506020403" pitchFamily="18" charset="0"/>
              <a:cs typeface="Calibri"/>
            </a:rPr>
            <a:pPr algn="ctr"/>
            <a:t>1631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0.4292</cdr:x>
      <cdr:y>0.53393</cdr:y>
    </cdr:from>
    <cdr:to>
      <cdr:x>0.58161</cdr:x>
      <cdr:y>0.62157</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31975" y="143192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4.xml><?xml version="1.0" encoding="utf-8"?>
<c:userShapes xmlns:c="http://schemas.openxmlformats.org/drawingml/2006/chart">
  <cdr:relSizeAnchor xmlns:cdr="http://schemas.openxmlformats.org/drawingml/2006/chartDrawing">
    <cdr:from>
      <cdr:x>0.26479</cdr:x>
      <cdr:y>0.57695</cdr:y>
    </cdr:from>
    <cdr:to>
      <cdr:x>0.72737</cdr:x>
      <cdr:y>0.84707</cdr:y>
    </cdr:to>
    <cdr:sp macro="" textlink="'LANÇ. QUAL. PROJ'!$E$264">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119394" y="1545183"/>
          <a:ext cx="1955532" cy="72341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0A464169-14B3-4281-8F24-32BAD7BCE23B}" type="TxLink">
            <a:rPr lang="en-US" sz="1100" b="1" i="0" u="none" strike="noStrike">
              <a:solidFill>
                <a:srgbClr val="000000"/>
              </a:solidFill>
              <a:latin typeface="Adobe Garamond Pro Bold" panose="02020702060506020403" pitchFamily="18" charset="0"/>
              <a:cs typeface="Calibri"/>
            </a:rPr>
            <a:pPr algn="ctr"/>
            <a:t>721</a:t>
          </a:fld>
          <a:endParaRPr lang="en-US" sz="1100" b="1" i="0" u="none" strike="noStrike">
            <a:solidFill>
              <a:srgbClr val="000000"/>
            </a:solidFill>
            <a:latin typeface="Adobe Garamond Pro Bold" panose="02020702060506020403" pitchFamily="18" charset="0"/>
            <a:cs typeface="Calibri"/>
          </a:endParaRPr>
        </a:p>
      </cdr:txBody>
    </cdr:sp>
  </cdr:relSizeAnchor>
  <cdr:relSizeAnchor xmlns:cdr="http://schemas.openxmlformats.org/drawingml/2006/chartDrawing">
    <cdr:from>
      <cdr:x>0.42659</cdr:x>
      <cdr:y>0.52044</cdr:y>
    </cdr:from>
    <cdr:to>
      <cdr:x>0.58047</cdr:x>
      <cdr:y>0.60819</cdr:y>
    </cdr:to>
    <cdr:sp macro="" textlink="">
      <cdr:nvSpPr>
        <cdr:cNvPr id="4"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371F76-4597-461A-B2E5-CBB43C135F9F}"/>
            </a:ext>
          </a:extLst>
        </cdr:cNvPr>
        <cdr:cNvSpPr txBox="1"/>
      </cdr:nvSpPr>
      <cdr:spPr>
        <a:xfrm xmlns:a="http://schemas.openxmlformats.org/drawingml/2006/main">
          <a:off x="1803400" y="1393825"/>
          <a:ext cx="650519" cy="2350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userShapes>
</file>

<file path=xl/drawings/drawing35.xml><?xml version="1.0" encoding="utf-8"?>
<c:userShapes xmlns:c="http://schemas.openxmlformats.org/drawingml/2006/chart">
  <cdr:relSizeAnchor xmlns:cdr="http://schemas.openxmlformats.org/drawingml/2006/chartDrawing">
    <cdr:from>
      <cdr:x>0.42778</cdr:x>
      <cdr:y>0.51448</cdr:y>
    </cdr:from>
    <cdr:to>
      <cdr:x>0.56944</cdr:x>
      <cdr:y>0.60129</cdr:y>
    </cdr:to>
    <cdr:sp macro="" textlink="">
      <cdr:nvSpPr>
        <cdr:cNvPr id="2" name="CaixaDeTexto 6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F000000}"/>
            </a:ext>
          </a:extLst>
        </cdr:cNvPr>
        <cdr:cNvSpPr txBox="1"/>
      </cdr:nvSpPr>
      <cdr:spPr>
        <a:xfrm xmlns:a="http://schemas.openxmlformats.org/drawingml/2006/main">
          <a:off x="1955810" y="1338946"/>
          <a:ext cx="647670" cy="2259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pt-BR" sz="1100" b="1">
              <a:latin typeface="Adobe Devanagari" panose="02040503050201020203" pitchFamily="18" charset="0"/>
              <a:cs typeface="Adobe Devanagari" panose="02040503050201020203" pitchFamily="18" charset="0"/>
            </a:rPr>
            <a:t>Lúmens</a:t>
          </a:r>
        </a:p>
      </cdr:txBody>
    </cdr:sp>
  </cdr:relSizeAnchor>
  <cdr:relSizeAnchor xmlns:cdr="http://schemas.openxmlformats.org/drawingml/2006/chartDrawing">
    <cdr:from>
      <cdr:x>0.28403</cdr:x>
      <cdr:y>0.60185</cdr:y>
    </cdr:from>
    <cdr:to>
      <cdr:x>0.70486</cdr:x>
      <cdr:y>0.86227</cdr:y>
    </cdr:to>
    <cdr:sp macro="" textlink="'LANÇ. QUAL. PROJ'!$E$188">
      <cdr:nvSpPr>
        <cdr:cNvPr id="3" name="CaixaDeTexto 61">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0000000-0008-0000-0A00-00003E000000}"/>
            </a:ext>
          </a:extLst>
        </cdr:cNvPr>
        <cdr:cNvSpPr txBox="1"/>
      </cdr:nvSpPr>
      <cdr:spPr>
        <a:xfrm xmlns:a="http://schemas.openxmlformats.org/drawingml/2006/main">
          <a:off x="1298575" y="1651000"/>
          <a:ext cx="1924051" cy="7143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A01AC5E-D622-4973-BDEA-B40D2DD5F1AE}" type="TxLink">
            <a:rPr lang="en-US" sz="1100" b="1" i="0" u="none" strike="noStrike">
              <a:solidFill>
                <a:srgbClr val="000000"/>
              </a:solidFill>
              <a:latin typeface="Adobe Garamond Pro Bold" panose="02020702060506020403" pitchFamily="18" charset="0"/>
              <a:cs typeface="Calibri"/>
            </a:rPr>
            <a:pPr algn="ctr"/>
            <a:t>2701</a:t>
          </a:fld>
          <a:endParaRPr lang="en-US" sz="1100" b="1" i="0" u="none" strike="noStrike">
            <a:solidFill>
              <a:srgbClr val="000000"/>
            </a:solidFill>
            <a:latin typeface="Adobe Garamond Pro Bold" panose="02020702060506020403" pitchFamily="18" charset="0"/>
            <a:cs typeface="Calibri"/>
          </a:endParaRPr>
        </a:p>
      </cdr:txBody>
    </cdr:sp>
  </cdr:relSizeAnchor>
</c:userShapes>
</file>

<file path=xl/drawings/drawing36.xml><?xml version="1.0" encoding="utf-8"?>
<xdr:wsDr xmlns:xdr="http://schemas.openxmlformats.org/drawingml/2006/spreadsheetDrawing" xmlns:a="http://schemas.openxmlformats.org/drawingml/2006/main">
  <xdr:twoCellAnchor>
    <xdr:from>
      <xdr:col>23</xdr:col>
      <xdr:colOff>600808</xdr:colOff>
      <xdr:row>1</xdr:row>
      <xdr:rowOff>0</xdr:rowOff>
    </xdr:from>
    <xdr:to>
      <xdr:col>26</xdr:col>
      <xdr:colOff>249116</xdr:colOff>
      <xdr:row>6</xdr:row>
      <xdr:rowOff>36635</xdr:rowOff>
    </xdr:to>
    <xdr:sp macro="" textlink="$E$37">
      <xdr:nvSpPr>
        <xdr:cNvPr id="37" name="CaixaDeTexto 36">
          <a:extLst>
            <a:ext uri="{FF2B5EF4-FFF2-40B4-BE49-F238E27FC236}">
              <a16:creationId xmlns:a16="http://schemas.microsoft.com/office/drawing/2014/main" id="{00000000-0008-0000-1300-000025000000}"/>
            </a:ext>
          </a:extLst>
        </xdr:cNvPr>
        <xdr:cNvSpPr txBox="1"/>
      </xdr:nvSpPr>
      <xdr:spPr>
        <a:xfrm>
          <a:off x="16192500" y="197827"/>
          <a:ext cx="1472712" cy="101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09B81A-107C-4089-8935-27587F66A0AF}" type="TxLink">
            <a:rPr lang="en-US" sz="1100" b="0" i="0" u="none" strike="noStrike">
              <a:solidFill>
                <a:srgbClr val="000000"/>
              </a:solidFill>
              <a:latin typeface="Calibri"/>
              <a:cs typeface="Calibri"/>
            </a:rPr>
            <a:pPr algn="ctr"/>
            <a:t>721</a:t>
          </a:fld>
          <a:endParaRPr lang="pt-B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lson/Documents/excel-2016-treinamento-essencial/funcoes-recursos-adiciona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ilson/Documents/Curso-Excel-2016-Treinamento-Essencial-M&#243;dulo-I/Excel%202016%20-%20Treinamento%20Essenci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ilson/Desktop/excel-basico-avancado-arquivos-fontes/formulas_e_recursos_adicionais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turamento Mensal"/>
      <sheetName val="Hotéis Smart"/>
      <sheetName val="CONCATENAR"/>
      <sheetName val="Subtotais"/>
    </sheetNames>
    <sheetDataSet>
      <sheetData sheetId="0"/>
      <sheetData sheetId="1">
        <row r="3">
          <cell r="C3">
            <v>220000</v>
          </cell>
        </row>
        <row r="4">
          <cell r="C4">
            <v>530000</v>
          </cell>
        </row>
        <row r="5">
          <cell r="C5">
            <v>150000</v>
          </cell>
        </row>
        <row r="6">
          <cell r="C6">
            <v>210000</v>
          </cell>
        </row>
        <row r="7">
          <cell r="C7">
            <v>750000</v>
          </cell>
        </row>
        <row r="8">
          <cell r="C8">
            <v>400000</v>
          </cell>
        </row>
        <row r="9">
          <cell r="C9">
            <v>70000</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e de Produtos"/>
      <sheetName val="Notas dos Alunos"/>
      <sheetName val="Compras a Prazo"/>
      <sheetName val="Financiamento de Imóveis"/>
      <sheetName val="PROCV e PROCH"/>
      <sheetName val="Hotéis Smart Análise"/>
    </sheetNames>
    <sheetDataSet>
      <sheetData sheetId="0"/>
      <sheetData sheetId="1"/>
      <sheetData sheetId="2"/>
      <sheetData sheetId="3"/>
      <sheetData sheetId="4">
        <row r="12">
          <cell r="I12">
            <v>0</v>
          </cell>
          <cell r="J12">
            <v>100</v>
          </cell>
          <cell r="K12">
            <v>500</v>
          </cell>
          <cell r="L12">
            <v>1000</v>
          </cell>
        </row>
        <row r="13">
          <cell r="I13">
            <v>0.2</v>
          </cell>
          <cell r="J13">
            <v>0.15</v>
          </cell>
          <cell r="K13">
            <v>0.1</v>
          </cell>
          <cell r="L13">
            <v>0.05</v>
          </cell>
        </row>
      </sheetData>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erências Absolutas"/>
      <sheetName val="Salvador"/>
      <sheetName val="Fortaleza"/>
      <sheetName val="Rio de Janeiro"/>
      <sheetName val="Abas Diferentes"/>
      <sheetName val="Referências 3D"/>
      <sheetName val="Copiando e Colando Fórmulas"/>
      <sheetName val="Transpor com Fórmula"/>
      <sheetName val="Nomes de Intervalos"/>
      <sheetName val="Formatação Condicional"/>
      <sheetName val="Gerenciando Regras"/>
      <sheetName val="Regras de Primeiros e Últimos"/>
      <sheetName val="Barras de Dados"/>
      <sheetName val="Escalas de Cor"/>
      <sheetName val="Conjuntos de Ícones"/>
      <sheetName val="Regras Personalizadas"/>
      <sheetName val="Com base em Fórmulas"/>
      <sheetName val="Lição de Casa"/>
    </sheetNames>
    <sheetDataSet>
      <sheetData sheetId="0"/>
      <sheetData sheetId="1"/>
      <sheetData sheetId="2"/>
      <sheetData sheetId="3"/>
      <sheetData sheetId="4"/>
      <sheetData sheetId="5"/>
      <sheetData sheetId="6"/>
      <sheetData sheetId="7"/>
      <sheetData sheetId="8">
        <row r="4">
          <cell r="G4">
            <v>1.4999999999999999E-2</v>
          </cell>
        </row>
      </sheetData>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dor" refreshedDate="44508.379736574076" createdVersion="7" refreshedVersion="7" minRefreshableVersion="3" recordCount="744" xr:uid="{00000000-000A-0000-FFFF-FFFF00000000}">
  <cacheSource type="worksheet">
    <worksheetSource name="PILHAS1"/>
  </cacheSource>
  <cacheFields count="12">
    <cacheField name="ID" numFmtId="0">
      <sharedItems containsNonDate="0" containsString="0" containsBlank="1"/>
    </cacheField>
    <cacheField name="SALA DE AULA" numFmtId="0">
      <sharedItems count="22">
        <s v="A2"/>
        <s v="A4"/>
        <s v="C1"/>
        <s v="C2"/>
        <s v="A5"/>
        <s v="C6"/>
        <s v="C7"/>
        <s v="C9"/>
        <s v="C10"/>
        <s v="A6"/>
        <s v="A7"/>
        <s v="A8"/>
        <s v="C11"/>
        <s v="C3"/>
        <s v="C4"/>
        <s v="C5"/>
        <s v="C8"/>
        <s v="D1"/>
        <s v="D2"/>
        <s v="E2"/>
        <s v="A1"/>
        <s v="A3"/>
      </sharedItems>
    </cacheField>
    <cacheField name="DATA" numFmtId="14">
      <sharedItems containsSemiMixedTypes="0" containsNonDate="0" containsDate="1" containsString="0" minDate="2021-01-25T00:00:00" maxDate="2021-10-16T00:00:00" count="141">
        <d v="2021-03-30T00:00:00"/>
        <d v="2021-04-01T00:00:00"/>
        <d v="2021-04-07T00:00:00"/>
        <d v="2021-04-12T00:00:00"/>
        <d v="2021-04-13T00:00:00"/>
        <d v="2021-04-19T00:00:00"/>
        <d v="2021-04-23T00:00:00"/>
        <d v="2021-04-30T00:00:00"/>
        <d v="2021-05-24T00:00:00"/>
        <d v="2021-06-08T00:00:00"/>
        <d v="2021-06-14T00:00:00"/>
        <d v="2021-06-15T00:00:00"/>
        <d v="2021-06-17T00:00:00"/>
        <d v="2021-03-26T00:00:00"/>
        <d v="2021-03-31T00:00:00"/>
        <d v="2021-04-09T00:00:00"/>
        <d v="2021-05-04T00:00:00"/>
        <d v="2021-05-05T00:00:00"/>
        <d v="2021-05-31T00:00:00"/>
        <d v="2021-06-02T00:00:00"/>
        <d v="2021-06-07T00:00:00"/>
        <d v="2021-06-10T00:00:00"/>
        <d v="2021-07-02T00:00:00"/>
        <d v="2021-07-05T00:00:00"/>
        <d v="2021-07-06T00:00:00"/>
        <d v="2021-07-08T00:00:00"/>
        <d v="2021-07-09T00:00:00"/>
        <d v="2021-07-26T00:00:00"/>
        <d v="2021-07-27T00:00:00"/>
        <d v="2021-07-28T00:00:00"/>
        <d v="2021-07-29T00:00:00"/>
        <d v="2021-07-30T00:00:00"/>
        <d v="2021-03-23T00:00:00"/>
        <d v="2021-04-06T00:00:00"/>
        <d v="2021-05-06T00:00:00"/>
        <d v="2021-06-01T00:00:00"/>
        <d v="2021-04-15T00:00:00"/>
        <d v="2021-05-03T00:00:00"/>
        <d v="2021-05-14T00:00:00"/>
        <d v="2021-04-17T00:00:00"/>
        <d v="2021-04-18T00:00:00"/>
        <d v="2021-05-21T00:00:00"/>
        <d v="2021-06-18T00:00:00"/>
        <d v="2021-03-25T00:00:00"/>
        <d v="2021-05-13T00:00:00"/>
        <d v="2021-05-26T00:00:00"/>
        <d v="2021-06-09T00:00:00"/>
        <d v="2021-03-18T00:00:00"/>
        <d v="2021-04-16T00:00:00"/>
        <d v="2021-05-11T00:00:00"/>
        <d v="2021-05-12T00:00:00"/>
        <d v="2021-05-20T00:00:00"/>
        <d v="2021-05-25T00:00:00"/>
        <d v="2021-05-28T00:00:00"/>
        <d v="2021-06-11T00:00:00"/>
        <d v="2021-03-10T00:00:00"/>
        <d v="2021-03-12T00:00:00"/>
        <d v="2021-03-15T00:00:00"/>
        <d v="2021-03-16T00:00:00"/>
        <d v="2021-03-19T00:00:00"/>
        <d v="2021-03-22T00:00:00"/>
        <d v="2021-04-05T00:00:00"/>
        <d v="2021-04-20T00:00:00"/>
        <d v="2021-01-25T00:00:00"/>
        <d v="2021-02-08T00:00:00"/>
        <d v="2021-02-10T00:00:00"/>
        <d v="2021-02-11T00:00:00"/>
        <d v="2021-02-18T00:00:00"/>
        <d v="2021-04-22T00:00:00"/>
        <d v="2021-05-27T00:00:00"/>
        <d v="2021-02-25T00:00:00"/>
        <d v="2021-05-07T00:00:00"/>
        <d v="2021-06-16T00:00:00"/>
        <d v="2021-02-02T00:00:00"/>
        <d v="2021-02-22T00:00:00"/>
        <d v="2021-03-29T00:00:00"/>
        <d v="2021-04-14T00:00:00"/>
        <d v="2021-01-26T00:00:00"/>
        <d v="2021-01-28T00:00:00"/>
        <d v="2021-05-10T00:00:00"/>
        <d v="2021-02-01T00:00:00"/>
        <d v="2021-02-09T00:00:00"/>
        <d v="2021-04-08T00:00:00"/>
        <d v="2021-02-04T00:00:00"/>
        <d v="2021-03-08T00:00:00"/>
        <d v="2021-01-29T00:00:00"/>
        <d v="2021-02-05T00:00:00"/>
        <d v="2021-03-09T00:00:00"/>
        <d v="2021-03-24T00:00:00"/>
        <d v="2021-06-04T00:00:00"/>
        <d v="2021-02-23T00:00:00"/>
        <d v="2021-03-17T00:00:00"/>
        <d v="2021-02-12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6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10T00:00:00"/>
        <d v="2021-10-13T00:00:00"/>
        <d v="2021-10-14T00:00:00"/>
        <d v="2021-10-15T00:00:00"/>
      </sharedItems>
    </cacheField>
    <cacheField name="SOLICITANTE" numFmtId="0">
      <sharedItems/>
    </cacheField>
    <cacheField name="ATENDENTE" numFmtId="0">
      <sharedItems/>
    </cacheField>
    <cacheField name="DEFEITO" numFmtId="0">
      <sharedItems count="26">
        <s v="PILHAS DESCARREGADAS"/>
        <s v="MICROFONE - HEADSET "/>
        <s v="MICROFONE"/>
        <s v="COMPUTADOR"/>
        <s v="SOM HOME THEATERS"/>
        <s v="MICROFONE - BLUETOOH"/>
        <s v="CÂMERA GO PRO"/>
        <s v="MONITOR"/>
        <s v="INTERNET"/>
        <s v="PROJETOR"/>
        <s v="LOUSA DIGITAL"/>
        <s v="PILHAS DESCARREGADAS "/>
        <s v="PICO DE ENERGIA"/>
        <s v="CELULAR"/>
        <s v="CABO - CONEXÃO"/>
        <s v=" INTERNET"/>
        <s v="PROBLEMA DE ÁUDIO"/>
        <s v="PROJETOR "/>
        <s v="LOUSA - DIGITAL"/>
        <s v="PROBLEMA DE SOM"/>
        <s v="PROBLEMA NO COMPUTADOR"/>
        <s v="PROBLEMA DE PROJEÇÃO"/>
        <s v="MICROFONE "/>
        <s v="TECLADO"/>
        <s v="AÚDIO"/>
        <s v="INTERFERÊNCIA"/>
      </sharedItems>
    </cacheField>
    <cacheField name="DESCRIÇÃO DO DEFEITO" numFmtId="0">
      <sharedItems containsBlank="1"/>
    </cacheField>
    <cacheField name="Valor total" numFmtId="0">
      <sharedItems containsSemiMixedTypes="0" containsString="0" containsNumber="1" containsInteger="1" minValue="1" maxValue="1"/>
    </cacheField>
    <cacheField name="STATUS" numFmtId="0">
      <sharedItems/>
    </cacheField>
    <cacheField name="Ano" numFmtId="0">
      <sharedItems containsSemiMixedTypes="0" containsString="0" containsNumber="1" containsInteger="1" minValue="2021" maxValue="2021"/>
    </cacheField>
    <cacheField name="Mês" numFmtId="0">
      <sharedItems containsSemiMixedTypes="0" containsString="0" containsNumber="1" containsInteger="1" minValue="1" maxValue="10"/>
    </cacheField>
    <cacheField name="Dia" numFmtId="0">
      <sharedItems containsSemiMixedTypes="0" containsString="0" containsNumber="1" containsInteger="1" minValue="1" maxValue="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dor" refreshedDate="44526.639309143517" createdVersion="7" refreshedVersion="7" minRefreshableVersion="3" recordCount="19" xr:uid="{ECDAB076-F1B1-4508-9308-DC85A95835C3}">
  <cacheSource type="worksheet">
    <worksheetSource name="Tabela9"/>
  </cacheSource>
  <cacheFields count="8">
    <cacheField name="Data" numFmtId="0">
      <sharedItems containsNonDate="0" containsDate="1" containsString="0" containsBlank="1" minDate="2021-08-31T00:00:00" maxDate="2021-10-30T00:00:00" count="12">
        <d v="2021-08-31T00:00:00"/>
        <d v="2021-09-10T00:00:00"/>
        <d v="2021-09-02T00:00:00"/>
        <d v="2021-09-09T00:00:00"/>
        <d v="2021-09-14T00:00:00"/>
        <d v="2021-09-15T00:00:00"/>
        <d v="2021-09-21T00:00:00"/>
        <d v="2021-09-24T00:00:00"/>
        <d v="2021-10-05T00:00:00"/>
        <d v="2021-10-21T00:00:00"/>
        <d v="2021-10-29T00:00:00"/>
        <m/>
      </sharedItems>
      <fieldGroup par="7" base="0">
        <rangePr groupBy="days" startDate="2021-08-31T00:00:00" endDate="2021-10-30T00:00:00"/>
        <groupItems count="368">
          <s v="(vazio)"/>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30/10/2021"/>
        </groupItems>
      </fieldGroup>
    </cacheField>
    <cacheField name="Horário" numFmtId="0">
      <sharedItems containsBlank="1"/>
    </cacheField>
    <cacheField name="Professores" numFmtId="0">
      <sharedItems containsBlank="1" count="9">
        <s v="Gracyelle"/>
        <s v="Cíntia"/>
        <s v="Izabela"/>
        <s v="Adriana"/>
        <m/>
        <s v="Carla" u="1"/>
        <s v="Eunice" u="1"/>
        <s v="Julia Silveira" u="1"/>
        <s v="Claúdia" u="1"/>
      </sharedItems>
    </cacheField>
    <cacheField name="Turma" numFmtId="0">
      <sharedItems containsBlank="1"/>
    </cacheField>
    <cacheField name="Assunto" numFmtId="0">
      <sharedItems containsBlank="1"/>
    </cacheField>
    <cacheField name="Total de Atendimento" numFmtId="0">
      <sharedItems containsString="0" containsBlank="1" containsNumber="1" containsInteger="1" minValue="1" maxValue="1"/>
    </cacheField>
    <cacheField name="Rerserva" numFmtId="0">
      <sharedItems containsNonDate="0" containsString="0" containsBlank="1"/>
    </cacheField>
    <cacheField name="Meses" numFmtId="0" databaseField="0">
      <fieldGroup base="0">
        <rangePr groupBy="months" startDate="2021-08-31T00:00:00" endDate="2021-10-30T00:00:00"/>
        <groupItems count="14">
          <s v="&lt;31/08/2021"/>
          <s v="jan"/>
          <s v="fev"/>
          <s v="mar"/>
          <s v="abr"/>
          <s v="mai"/>
          <s v="jun"/>
          <s v="jul"/>
          <s v="ago"/>
          <s v="set"/>
          <s v="out"/>
          <s v="nov"/>
          <s v="dez"/>
          <s v="&gt;30/10/2021"/>
        </groupItems>
      </fieldGroup>
    </cacheField>
  </cacheFields>
  <extLst>
    <ext xmlns:x14="http://schemas.microsoft.com/office/spreadsheetml/2009/9/main" uri="{725AE2AE-9491-48be-B2B4-4EB974FC3084}">
      <x14:pivotCacheDefinition pivotCacheId="8967837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4">
  <r>
    <m/>
    <x v="0"/>
    <x v="0"/>
    <s v="PROFESSORES"/>
    <s v="FELIPE"/>
    <x v="0"/>
    <s v="PILHAS DESCARREGADAS"/>
    <n v="1"/>
    <s v="Finalizado"/>
    <n v="2021"/>
    <n v="3"/>
    <n v="30"/>
  </r>
  <r>
    <m/>
    <x v="0"/>
    <x v="0"/>
    <s v="PROFESSORES"/>
    <s v="FELIPE"/>
    <x v="1"/>
    <s v="RECLAMAÇÃO MICROFONE C/ RUÍDOS"/>
    <n v="1"/>
    <s v="Finalizado"/>
    <n v="2021"/>
    <n v="3"/>
    <n v="30"/>
  </r>
  <r>
    <m/>
    <x v="0"/>
    <x v="0"/>
    <s v="PROFESSORES"/>
    <s v="FELIPE"/>
    <x v="2"/>
    <s v="TROCA DE EQUIPAMENTO BLUETOOTH"/>
    <n v="1"/>
    <s v="Finalizado"/>
    <n v="2021"/>
    <n v="3"/>
    <n v="30"/>
  </r>
  <r>
    <m/>
    <x v="0"/>
    <x v="1"/>
    <s v="PROFESSORES"/>
    <s v="FELIPE"/>
    <x v="3"/>
    <s v="COMPUTADOR REINICIOU"/>
    <n v="1"/>
    <s v="Finalizado"/>
    <n v="2021"/>
    <n v="4"/>
    <n v="1"/>
  </r>
  <r>
    <m/>
    <x v="0"/>
    <x v="2"/>
    <s v="PROFESSORES"/>
    <s v="FELIPE"/>
    <x v="1"/>
    <s v="RECLAMAÇÃO MICROFONE C/ RUÍDOS"/>
    <n v="1"/>
    <s v="Finalizado"/>
    <n v="2021"/>
    <n v="4"/>
    <n v="7"/>
  </r>
  <r>
    <m/>
    <x v="0"/>
    <x v="2"/>
    <s v="PROFESSORES"/>
    <s v="FELIPE"/>
    <x v="3"/>
    <s v="COMPUTADOR REINICIOU"/>
    <n v="1"/>
    <s v="Finalizado"/>
    <n v="2021"/>
    <n v="4"/>
    <n v="7"/>
  </r>
  <r>
    <m/>
    <x v="0"/>
    <x v="3"/>
    <s v="PROFESSORES"/>
    <s v="FELIPE"/>
    <x v="3"/>
    <s v="COMPUTADOR ATUALIZANDO"/>
    <n v="1"/>
    <s v="Finalizado"/>
    <n v="2021"/>
    <n v="4"/>
    <n v="12"/>
  </r>
  <r>
    <m/>
    <x v="0"/>
    <x v="4"/>
    <s v="PROFESSORES"/>
    <s v="FELIPE"/>
    <x v="3"/>
    <s v="REINICIOU SO E VOLTOU"/>
    <n v="1"/>
    <s v="Finalizado"/>
    <n v="2021"/>
    <n v="4"/>
    <n v="13"/>
  </r>
  <r>
    <m/>
    <x v="0"/>
    <x v="4"/>
    <s v="PROFESSORES"/>
    <s v="FELIPE"/>
    <x v="3"/>
    <s v="SISTEMA OPERACIONAL/ TELA AZUL"/>
    <n v="1"/>
    <s v="Finalizado"/>
    <n v="2021"/>
    <n v="4"/>
    <n v="13"/>
  </r>
  <r>
    <m/>
    <x v="0"/>
    <x v="5"/>
    <s v="FERNANDA"/>
    <s v="FELIPE"/>
    <x v="4"/>
    <s v="SAIDA DE SOM O PROF. NÃO OUVE OS ALUNOS"/>
    <n v="1"/>
    <s v="Finalizado"/>
    <n v="2021"/>
    <n v="4"/>
    <n v="19"/>
  </r>
  <r>
    <m/>
    <x v="0"/>
    <x v="6"/>
    <s v="PÂMELA"/>
    <s v="FELIPE"/>
    <x v="1"/>
    <s v="AUMENTA O VOLUME DO MICROFONE"/>
    <n v="1"/>
    <s v="Finalizado"/>
    <n v="2021"/>
    <n v="4"/>
    <n v="23"/>
  </r>
  <r>
    <m/>
    <x v="0"/>
    <x v="7"/>
    <s v="LOUIZE"/>
    <s v="FELIPE"/>
    <x v="5"/>
    <s v="PROBLEMA COM BT/ RECONECTOU"/>
    <n v="1"/>
    <s v="Finalizado"/>
    <n v="2021"/>
    <n v="4"/>
    <n v="30"/>
  </r>
  <r>
    <m/>
    <x v="0"/>
    <x v="8"/>
    <s v="ADRIANA"/>
    <s v="FELIPE"/>
    <x v="5"/>
    <s v="MICROFONE BLUETOOTH"/>
    <n v="1"/>
    <s v="Finalizado"/>
    <n v="2021"/>
    <n v="5"/>
    <n v="24"/>
  </r>
  <r>
    <m/>
    <x v="0"/>
    <x v="9"/>
    <s v="THAIS"/>
    <s v="FELIPE"/>
    <x v="5"/>
    <s v="FONE BT, NÃO CONSEGUE OUVIR OS ALUNOS"/>
    <n v="1"/>
    <s v="Finalizado"/>
    <n v="2021"/>
    <n v="6"/>
    <n v="8"/>
  </r>
  <r>
    <m/>
    <x v="0"/>
    <x v="9"/>
    <s v="ANDRE"/>
    <s v="FELIPE"/>
    <x v="1"/>
    <s v="MICROFONE BAIXO"/>
    <n v="1"/>
    <s v="Finalizado"/>
    <n v="2021"/>
    <n v="6"/>
    <n v="8"/>
  </r>
  <r>
    <m/>
    <x v="0"/>
    <x v="10"/>
    <s v="JULIA MATOS"/>
    <s v="FELIPE"/>
    <x v="5"/>
    <s v="LEVAR CELULAR E BT"/>
    <n v="1"/>
    <s v="Finalizado"/>
    <n v="2021"/>
    <n v="6"/>
    <n v="14"/>
  </r>
  <r>
    <m/>
    <x v="0"/>
    <x v="11"/>
    <s v="ANDRE"/>
    <s v="FELIPE"/>
    <x v="5"/>
    <s v="LEVAR CELULAR E BT"/>
    <n v="1"/>
    <s v="Finalizado"/>
    <n v="2021"/>
    <n v="6"/>
    <n v="15"/>
  </r>
  <r>
    <m/>
    <x v="0"/>
    <x v="11"/>
    <s v="ELIANE"/>
    <s v="FELIPE"/>
    <x v="5"/>
    <s v="DESCONECTOU O BT"/>
    <n v="1"/>
    <s v="Finalizado"/>
    <n v="2021"/>
    <n v="6"/>
    <n v="15"/>
  </r>
  <r>
    <m/>
    <x v="0"/>
    <x v="11"/>
    <s v="ANDRE"/>
    <s v="FELIPE"/>
    <x v="5"/>
    <s v="DESCONECTOU O BT"/>
    <n v="1"/>
    <s v="Finalizado"/>
    <n v="2021"/>
    <n v="6"/>
    <n v="15"/>
  </r>
  <r>
    <m/>
    <x v="0"/>
    <x v="12"/>
    <s v="ADRIANA"/>
    <s v="FELIPE"/>
    <x v="5"/>
    <s v="FONE BT PERDEU CONEXÃO COM O CELULAR"/>
    <n v="1"/>
    <s v="Finalizado"/>
    <n v="2021"/>
    <n v="6"/>
    <n v="17"/>
  </r>
  <r>
    <m/>
    <x v="1"/>
    <x v="13"/>
    <s v="PROFESSORES"/>
    <s v="FELIPE"/>
    <x v="0"/>
    <s v="PILHAS DESCARREGADAS"/>
    <n v="1"/>
    <s v="Finalizado"/>
    <n v="2021"/>
    <n v="3"/>
    <n v="26"/>
  </r>
  <r>
    <m/>
    <x v="1"/>
    <x v="13"/>
    <s v="PROFESSORES"/>
    <s v="FELIPE"/>
    <x v="1"/>
    <s v="RECLAMAÇÃO MICROFONE C/ RUÍDOS"/>
    <n v="1"/>
    <s v="Finalizado"/>
    <n v="2021"/>
    <n v="3"/>
    <n v="26"/>
  </r>
  <r>
    <m/>
    <x v="1"/>
    <x v="14"/>
    <s v="PROFESSORES"/>
    <s v="FELIPE"/>
    <x v="1"/>
    <s v="RECLAMAÇÃO MICROFONE C/ RUÍDOS"/>
    <n v="1"/>
    <s v="Finalizado"/>
    <n v="2021"/>
    <n v="3"/>
    <n v="31"/>
  </r>
  <r>
    <m/>
    <x v="1"/>
    <x v="1"/>
    <s v="PROFESSORES"/>
    <s v="FELIPE"/>
    <x v="1"/>
    <s v="RECLAMAÇÃO MICROFONE C/ RUÍDOS"/>
    <n v="1"/>
    <s v="Finalizado"/>
    <n v="2021"/>
    <n v="4"/>
    <n v="1"/>
  </r>
  <r>
    <m/>
    <x v="1"/>
    <x v="1"/>
    <s v="PROFESSORES"/>
    <s v="FELIPE"/>
    <x v="0"/>
    <s v="PILHAS DESCARREGADAS"/>
    <n v="1"/>
    <s v="Finalizado"/>
    <n v="2021"/>
    <n v="4"/>
    <n v="1"/>
  </r>
  <r>
    <m/>
    <x v="1"/>
    <x v="15"/>
    <s v="PROFESSORES"/>
    <s v="FELIPE"/>
    <x v="1"/>
    <s v="MICROFONE BAIXO"/>
    <n v="1"/>
    <s v="Finalizado"/>
    <n v="2021"/>
    <n v="4"/>
    <n v="9"/>
  </r>
  <r>
    <m/>
    <x v="1"/>
    <x v="15"/>
    <s v="PROFESSORES"/>
    <s v="FELIPE"/>
    <x v="1"/>
    <s v="MICROFONE COM RUIDO"/>
    <n v="1"/>
    <s v="Finalizado"/>
    <n v="2021"/>
    <n v="4"/>
    <n v="9"/>
  </r>
  <r>
    <m/>
    <x v="1"/>
    <x v="3"/>
    <s v="PROFESSORES"/>
    <s v="FELIPE"/>
    <x v="5"/>
    <s v="LEVAR O BLUETOOTH"/>
    <n v="1"/>
    <s v="Finalizado"/>
    <n v="2021"/>
    <n v="4"/>
    <n v="12"/>
  </r>
  <r>
    <m/>
    <x v="1"/>
    <x v="4"/>
    <s v="PROFESSORES"/>
    <s v="EDSON"/>
    <x v="1"/>
    <s v="RECLAMAÇÃO MICROFONE C/ RUÍDOS"/>
    <n v="1"/>
    <s v="Finalizado"/>
    <n v="2021"/>
    <n v="4"/>
    <n v="13"/>
  </r>
  <r>
    <m/>
    <x v="1"/>
    <x v="5"/>
    <s v="NATALIA"/>
    <s v="FELIPE"/>
    <x v="1"/>
    <s v="RECLAMAÇÃO MICROFONE C/ RUÍDOS"/>
    <n v="1"/>
    <s v="Finalizado"/>
    <n v="2021"/>
    <n v="4"/>
    <n v="19"/>
  </r>
  <r>
    <m/>
    <x v="1"/>
    <x v="16"/>
    <s v="PROFESSORES"/>
    <s v="FELIPE"/>
    <x v="0"/>
    <s v="PILHAS DESCARREGADAS"/>
    <n v="1"/>
    <s v="Finalizado"/>
    <n v="2021"/>
    <n v="5"/>
    <n v="4"/>
  </r>
  <r>
    <m/>
    <x v="1"/>
    <x v="17"/>
    <s v="VITORIA"/>
    <s v="FELIPE"/>
    <x v="1"/>
    <s v="RECLAMAÇÃO MICROFONE C/ RUÍDOS"/>
    <n v="1"/>
    <s v="Finalizado"/>
    <n v="2021"/>
    <n v="5"/>
    <n v="5"/>
  </r>
  <r>
    <m/>
    <x v="1"/>
    <x v="18"/>
    <s v="NATALIA"/>
    <s v="EDSON"/>
    <x v="1"/>
    <s v="RECLAMAÇÃO MICROFONE C/ RUÍDOS"/>
    <n v="1"/>
    <s v="Finalizado"/>
    <n v="2021"/>
    <n v="5"/>
    <n v="31"/>
  </r>
  <r>
    <m/>
    <x v="1"/>
    <x v="19"/>
    <s v="ADRIANA"/>
    <s v="FELIPE"/>
    <x v="1"/>
    <s v="RECLAMAÇÃO MICROFONE C/ RUÍDOS"/>
    <n v="1"/>
    <s v="Finalizado"/>
    <n v="2021"/>
    <n v="6"/>
    <n v="2"/>
  </r>
  <r>
    <m/>
    <x v="1"/>
    <x v="20"/>
    <s v="NATALIA"/>
    <s v="FELIPE"/>
    <x v="0"/>
    <s v="PILHAS DESCARREGADAS"/>
    <n v="1"/>
    <s v="Finalizado"/>
    <n v="2021"/>
    <n v="6"/>
    <n v="7"/>
  </r>
  <r>
    <m/>
    <x v="1"/>
    <x v="20"/>
    <s v="ADRIANA"/>
    <s v="FELIPE"/>
    <x v="1"/>
    <s v="RECLAMAÇÃO MICROFONE C/ RUÍDOS"/>
    <n v="1"/>
    <s v="Finalizado"/>
    <n v="2021"/>
    <n v="6"/>
    <n v="7"/>
  </r>
  <r>
    <m/>
    <x v="1"/>
    <x v="21"/>
    <s v="VITORIA"/>
    <s v="FELIPE"/>
    <x v="1"/>
    <s v="MICROFONE FALHANDO"/>
    <n v="1"/>
    <s v="Finalizado"/>
    <n v="2021"/>
    <n v="6"/>
    <n v="10"/>
  </r>
  <r>
    <m/>
    <x v="2"/>
    <x v="22"/>
    <s v="PROFESSORES"/>
    <s v="FELIPE"/>
    <x v="0"/>
    <s v="PILHAS DESCARREGADAS "/>
    <n v="1"/>
    <s v="Finalizado"/>
    <n v="2021"/>
    <n v="7"/>
    <n v="23"/>
  </r>
  <r>
    <m/>
    <x v="3"/>
    <x v="23"/>
    <s v="PROFESSORES"/>
    <s v="FELIPE"/>
    <x v="1"/>
    <s v="MICROFONE FALHANDO"/>
    <n v="1"/>
    <s v="Finalizado"/>
    <n v="2021"/>
    <n v="7"/>
    <n v="23"/>
  </r>
  <r>
    <m/>
    <x v="0"/>
    <x v="24"/>
    <s v="PROFESSORES"/>
    <s v="FELIPE"/>
    <x v="1"/>
    <s v="INTERFERENCIA DE SINAL"/>
    <n v="1"/>
    <s v="Finalizado"/>
    <n v="2021"/>
    <n v="7"/>
    <n v="30"/>
  </r>
  <r>
    <m/>
    <x v="1"/>
    <x v="25"/>
    <s v="PROFESSORES"/>
    <s v="FELIPE"/>
    <x v="0"/>
    <s v="PILHAS DESCARREGADAS "/>
    <n v="1"/>
    <s v="Finalizado"/>
    <n v="2021"/>
    <n v="7"/>
    <n v="30"/>
  </r>
  <r>
    <m/>
    <x v="4"/>
    <x v="26"/>
    <s v="PROFESSORES"/>
    <s v="FELIPE"/>
    <x v="1"/>
    <s v="RECLAMAÇÃO DE CHIADO NO MICROFONE"/>
    <n v="1"/>
    <s v="Finalizado"/>
    <n v="2021"/>
    <n v="7"/>
    <n v="31"/>
  </r>
  <r>
    <m/>
    <x v="5"/>
    <x v="27"/>
    <s v="PROFESSORES"/>
    <s v="FELIPE"/>
    <x v="0"/>
    <s v="PILHAS DESCARREGADAS "/>
    <n v="1"/>
    <s v="Finalizado"/>
    <n v="2021"/>
    <n v="7"/>
    <n v="1"/>
  </r>
  <r>
    <m/>
    <x v="6"/>
    <x v="28"/>
    <s v="PROFESSORES"/>
    <s v="FELIPE"/>
    <x v="1"/>
    <s v="MICROFONE FALHANDO"/>
    <n v="1"/>
    <s v="Finalizado"/>
    <n v="2021"/>
    <n v="7"/>
    <n v="1"/>
  </r>
  <r>
    <m/>
    <x v="7"/>
    <x v="29"/>
    <s v="PROFESSORES"/>
    <s v="FELIPE"/>
    <x v="1"/>
    <s v="MICROFONE FALHANDO"/>
    <n v="1"/>
    <s v="Finalizado"/>
    <n v="2021"/>
    <n v="7"/>
    <n v="1"/>
  </r>
  <r>
    <m/>
    <x v="8"/>
    <x v="30"/>
    <s v="PROFESSORES"/>
    <s v="FELIPE"/>
    <x v="1"/>
    <s v="MICROFONE FALHANDO"/>
    <n v="1"/>
    <s v="Finalizado"/>
    <n v="2021"/>
    <n v="7"/>
    <n v="1"/>
  </r>
  <r>
    <m/>
    <x v="6"/>
    <x v="31"/>
    <s v="PROFESSORES"/>
    <s v="FELIPE"/>
    <x v="1"/>
    <s v="MICROFONE FALHANDO"/>
    <n v="1"/>
    <s v="Finalizado"/>
    <n v="2021"/>
    <n v="7"/>
    <n v="6"/>
  </r>
  <r>
    <m/>
    <x v="4"/>
    <x v="32"/>
    <s v="PROFESSORES"/>
    <s v="FELIPE"/>
    <x v="1"/>
    <s v="RECLAMAÇÃO MICROFONE C/ RUÍDOS"/>
    <n v="1"/>
    <s v="Finalizado"/>
    <n v="2021"/>
    <n v="3"/>
    <n v="9"/>
  </r>
  <r>
    <m/>
    <x v="4"/>
    <x v="32"/>
    <s v="PROFESSORES"/>
    <s v="EDSON"/>
    <x v="1"/>
    <s v="RECLAMAÇÃO MICROFONE C/ RUÍDOS"/>
    <n v="1"/>
    <s v="Finalizado"/>
    <n v="2021"/>
    <n v="3"/>
    <n v="19"/>
  </r>
  <r>
    <m/>
    <x v="4"/>
    <x v="0"/>
    <s v="PROFESSORES"/>
    <s v="FELIPE"/>
    <x v="1"/>
    <s v="RECLAMAÇÃO MICROFONE C/ RUÍDOS"/>
    <n v="1"/>
    <s v="Finalizado"/>
    <n v="2021"/>
    <n v="3"/>
    <n v="19"/>
  </r>
  <r>
    <m/>
    <x v="4"/>
    <x v="0"/>
    <s v="PROFESSORES"/>
    <s v="FELIPE"/>
    <x v="0"/>
    <s v="PILHAS DESCARREGADAS"/>
    <n v="1"/>
    <s v="Finalizado"/>
    <n v="2021"/>
    <n v="3"/>
    <n v="6"/>
  </r>
  <r>
    <m/>
    <x v="4"/>
    <x v="14"/>
    <s v="PROFESSORES"/>
    <s v="EDSON"/>
    <x v="1"/>
    <s v="RECLAMAÇÃO MICROFONE C/ RUÍDOS"/>
    <n v="1"/>
    <s v="Finalizado"/>
    <n v="2021"/>
    <n v="3"/>
    <n v="19"/>
  </r>
  <r>
    <m/>
    <x v="4"/>
    <x v="1"/>
    <s v="PROFESSORES"/>
    <s v="FELIPE"/>
    <x v="4"/>
    <s v="NÃO ESTAVA SAINDO O SOM"/>
    <n v="1"/>
    <s v="Finalizado"/>
    <n v="2021"/>
    <n v="4"/>
    <n v="31"/>
  </r>
  <r>
    <m/>
    <x v="4"/>
    <x v="1"/>
    <s v="PROFESSORES"/>
    <s v="FELIPE"/>
    <x v="1"/>
    <s v="RECLAMAÇÃO MICROFONE C/ RUÍDOS"/>
    <n v="1"/>
    <s v="Finalizado"/>
    <n v="2021"/>
    <n v="4"/>
    <n v="1"/>
  </r>
  <r>
    <m/>
    <x v="4"/>
    <x v="1"/>
    <s v="PROFESSORES"/>
    <s v="FELIPE"/>
    <x v="1"/>
    <s v="RECLAMAÇÃO MICROFONE C/ RUÍDOS"/>
    <n v="1"/>
    <s v="Finalizado"/>
    <n v="2021"/>
    <n v="4"/>
    <n v="14"/>
  </r>
  <r>
    <m/>
    <x v="4"/>
    <x v="1"/>
    <s v="PROFESSORES"/>
    <s v="FELIPE"/>
    <x v="0"/>
    <s v="PILHAS DESCARREGADAS"/>
    <n v="1"/>
    <s v="Finalizado"/>
    <n v="2021"/>
    <n v="4"/>
    <n v="14"/>
  </r>
  <r>
    <m/>
    <x v="4"/>
    <x v="33"/>
    <s v="PROFESSORES"/>
    <s v="FELIPE"/>
    <x v="1"/>
    <s v="RECLAMAÇÃO MICROFONE C/ RUÍDOS"/>
    <n v="1"/>
    <s v="Finalizado"/>
    <n v="2021"/>
    <n v="4"/>
    <n v="17"/>
  </r>
  <r>
    <m/>
    <x v="4"/>
    <x v="15"/>
    <s v="PROFESSORES"/>
    <s v="FELIPE"/>
    <x v="1"/>
    <s v="MICROFONE BAIXO"/>
    <n v="1"/>
    <s v="Finalizado"/>
    <n v="2021"/>
    <n v="4"/>
    <n v="13"/>
  </r>
  <r>
    <m/>
    <x v="4"/>
    <x v="5"/>
    <s v="NATALIA"/>
    <s v="FELIPE"/>
    <x v="1"/>
    <s v="RECLAMAÇÃO MICROFONE C/ RUÍDOS"/>
    <n v="1"/>
    <s v="Finalizado"/>
    <n v="2021"/>
    <n v="4"/>
    <n v="13"/>
  </r>
  <r>
    <m/>
    <x v="4"/>
    <x v="5"/>
    <s v="PROFESSORES"/>
    <s v="FELIPE"/>
    <x v="0"/>
    <s v="PILHAS DESCARREGADAS"/>
    <n v="1"/>
    <s v="Finalizado"/>
    <n v="2021"/>
    <n v="4"/>
    <n v="15"/>
  </r>
  <r>
    <m/>
    <x v="4"/>
    <x v="34"/>
    <s v="PÂMELA"/>
    <s v="FELIPE"/>
    <x v="1"/>
    <s v="RECLAMAÇÃO MICROFONE C/ RUÍDOS"/>
    <n v="1"/>
    <s v="Finalizado"/>
    <n v="2021"/>
    <n v="5"/>
    <n v="3"/>
  </r>
  <r>
    <m/>
    <x v="4"/>
    <x v="5"/>
    <s v="JULIA"/>
    <s v="FELIPE"/>
    <x v="6"/>
    <s v="LEVAR CÂMERA"/>
    <n v="1"/>
    <s v="Finalizado"/>
    <n v="2021"/>
    <n v="4"/>
    <n v="14"/>
  </r>
  <r>
    <m/>
    <x v="4"/>
    <x v="18"/>
    <s v="NATALIA"/>
    <s v="FELIPE"/>
    <x v="1"/>
    <s v="RECLAMAÇÃO MICROFONE C/ RUÍDOS"/>
    <n v="1"/>
    <s v="Finalizado"/>
    <n v="2021"/>
    <n v="5"/>
    <n v="14"/>
  </r>
  <r>
    <m/>
    <x v="4"/>
    <x v="35"/>
    <s v="CASSIA"/>
    <s v="FELIPE"/>
    <x v="1"/>
    <s v="RECLAMAÇÃO MICROFONE C/ RUÍDOS"/>
    <n v="1"/>
    <s v="Finalizado"/>
    <n v="2021"/>
    <n v="6"/>
    <n v="17"/>
  </r>
  <r>
    <m/>
    <x v="4"/>
    <x v="10"/>
    <s v="PROFESSORES"/>
    <s v="FELIPE"/>
    <x v="0"/>
    <s v="PILHAS DESCARREGADAS"/>
    <n v="1"/>
    <s v="Finalizado"/>
    <n v="2021"/>
    <n v="6"/>
    <n v="18"/>
  </r>
  <r>
    <m/>
    <x v="4"/>
    <x v="10"/>
    <s v="JULIA MATOS"/>
    <s v="FELIPE"/>
    <x v="7"/>
    <s v="NÃO ESTAVA APARECENDO IMAGEM NO MONITOR"/>
    <n v="1"/>
    <s v="Finalizado"/>
    <n v="2021"/>
    <n v="6"/>
    <n v="18"/>
  </r>
  <r>
    <m/>
    <x v="4"/>
    <x v="12"/>
    <s v="CARLA"/>
    <s v="EDSON"/>
    <x v="1"/>
    <s v="PILHAS MICROFONE/ALTERAR SAIDA DE SOM"/>
    <n v="1"/>
    <s v="Finalizado"/>
    <n v="2021"/>
    <n v="6"/>
    <n v="21"/>
  </r>
  <r>
    <m/>
    <x v="9"/>
    <x v="4"/>
    <s v="PROFESSORES"/>
    <s v="FELIPE"/>
    <x v="0"/>
    <s v="PILHAS DESCARREGADAS"/>
    <n v="1"/>
    <s v="Finalizado"/>
    <n v="2021"/>
    <n v="4"/>
    <n v="21"/>
  </r>
  <r>
    <m/>
    <x v="9"/>
    <x v="4"/>
    <s v="PROFESSORES"/>
    <s v="FELIPE"/>
    <x v="1"/>
    <s v="RECLAMAÇÃO MICROFONE C/ RUÍDOS"/>
    <n v="1"/>
    <s v="Finalizado"/>
    <n v="2021"/>
    <n v="4"/>
    <n v="15"/>
  </r>
  <r>
    <m/>
    <x v="9"/>
    <x v="36"/>
    <s v="VITORIA"/>
    <s v="EDSON"/>
    <x v="1"/>
    <s v="RECLAMAÇÃO MICROFONE C/ RUÍDOS"/>
    <n v="1"/>
    <s v="Finalizado"/>
    <n v="2021"/>
    <n v="4"/>
    <n v="17"/>
  </r>
  <r>
    <m/>
    <x v="9"/>
    <x v="37"/>
    <s v="NATALIA"/>
    <s v="FELIPE"/>
    <x v="1"/>
    <s v="MICROFONE MAL CONTATO"/>
    <n v="1"/>
    <s v="Finalizado"/>
    <n v="2021"/>
    <n v="5"/>
    <n v="18"/>
  </r>
  <r>
    <m/>
    <x v="9"/>
    <x v="38"/>
    <s v="PÂMELA"/>
    <s v="FELIPE"/>
    <x v="1"/>
    <s v="RECLAMAÇÃO MICROFONE C/ RUÍDOS"/>
    <n v="1"/>
    <s v="Finalizado"/>
    <n v="2021"/>
    <n v="5"/>
    <n v="25"/>
  </r>
  <r>
    <m/>
    <x v="9"/>
    <x v="38"/>
    <s v="PROFESSORES"/>
    <s v="FELIPE"/>
    <x v="0"/>
    <s v="PILHAS DESCARREGADAS"/>
    <n v="1"/>
    <s v="Finalizado"/>
    <n v="2021"/>
    <n v="5"/>
    <n v="25"/>
  </r>
  <r>
    <m/>
    <x v="9"/>
    <x v="39"/>
    <s v="NATALIA"/>
    <s v="FELIPE"/>
    <x v="1"/>
    <s v="RECLAMAÇÃO MICROFONE C/ RUÍDOS"/>
    <n v="1"/>
    <s v="Finalizado"/>
    <n v="2021"/>
    <n v="4"/>
    <n v="26"/>
  </r>
  <r>
    <m/>
    <x v="9"/>
    <x v="40"/>
    <s v="PÂMELA"/>
    <s v="EDSON"/>
    <x v="1"/>
    <s v="RECLAMAÇÃO MICROFONE C/ RUÍDOS"/>
    <n v="1"/>
    <s v="Finalizado"/>
    <n v="2021"/>
    <n v="4"/>
    <n v="12"/>
  </r>
  <r>
    <m/>
    <x v="9"/>
    <x v="40"/>
    <s v="IZABELA"/>
    <s v="FELIPE"/>
    <x v="7"/>
    <s v="MONITOR PISCANDO"/>
    <n v="1"/>
    <s v="Finalizado"/>
    <n v="2021"/>
    <n v="4"/>
    <n v="15"/>
  </r>
  <r>
    <m/>
    <x v="9"/>
    <x v="41"/>
    <s v="PÂMELA"/>
    <s v="FELIPE"/>
    <x v="1"/>
    <s v="RECLAMAÇÃO MICROFONE C/ RUÍDOS"/>
    <n v="1"/>
    <s v="Finalizado"/>
    <n v="2021"/>
    <n v="5"/>
    <n v="19"/>
  </r>
  <r>
    <m/>
    <x v="9"/>
    <x v="41"/>
    <s v="PROFESSORES"/>
    <s v="FELIPE"/>
    <x v="0"/>
    <s v="PILHAS DESCARREGADAS"/>
    <n v="1"/>
    <s v="Finalizado"/>
    <n v="2021"/>
    <n v="5"/>
    <n v="19"/>
  </r>
  <r>
    <m/>
    <x v="9"/>
    <x v="11"/>
    <s v="RAYANE"/>
    <s v="EDSON"/>
    <x v="1"/>
    <s v="MICROFONE COM INTERFERENCIA"/>
    <n v="1"/>
    <s v="Finalizado"/>
    <n v="2021"/>
    <n v="6"/>
    <n v="19"/>
  </r>
  <r>
    <m/>
    <x v="9"/>
    <x v="12"/>
    <s v="CLAUDIA"/>
    <s v="EDSON"/>
    <x v="3"/>
    <s v="SPONTE (ATUALIZAR A PAGINA)"/>
    <n v="1"/>
    <s v="Finalizado"/>
    <n v="2021"/>
    <n v="6"/>
    <n v="23"/>
  </r>
  <r>
    <m/>
    <x v="9"/>
    <x v="42"/>
    <s v="PAMELA"/>
    <s v="FELIPE"/>
    <x v="3"/>
    <s v="LIVRO DE INGLES, ATUALIZAR A PAGINA"/>
    <n v="1"/>
    <s v="Finalizado"/>
    <n v="2021"/>
    <n v="6"/>
    <n v="4"/>
  </r>
  <r>
    <m/>
    <x v="10"/>
    <x v="43"/>
    <s v="PROFESSORES"/>
    <s v="FELIPE"/>
    <x v="0"/>
    <s v="PILHAS DESCARREGADAS"/>
    <n v="1"/>
    <s v="Finalizado"/>
    <n v="2021"/>
    <n v="3"/>
    <n v="4"/>
  </r>
  <r>
    <m/>
    <x v="10"/>
    <x v="43"/>
    <s v="PROFESSORES"/>
    <s v="FELIPE"/>
    <x v="1"/>
    <s v="RECLAMAÇÃO MICROFONE C/ RUÍDOS"/>
    <n v="1"/>
    <s v="Finalizado"/>
    <n v="2021"/>
    <n v="3"/>
    <n v="13"/>
  </r>
  <r>
    <m/>
    <x v="10"/>
    <x v="13"/>
    <s v="PROFESSORES"/>
    <s v="FELIPE"/>
    <x v="1"/>
    <s v="RECLAMAÇÃO MICROFONE C/ RUÍDOS"/>
    <n v="1"/>
    <s v="Finalizado"/>
    <n v="2021"/>
    <n v="3"/>
    <n v="17"/>
  </r>
  <r>
    <m/>
    <x v="10"/>
    <x v="3"/>
    <s v="PROFESSORES"/>
    <s v="EDSON"/>
    <x v="1"/>
    <s v="RECLAMAÇÃO MICROFONE C/ RUÍDOS"/>
    <n v="1"/>
    <s v="Finalizado"/>
    <n v="2021"/>
    <n v="4"/>
    <n v="17"/>
  </r>
  <r>
    <m/>
    <x v="10"/>
    <x v="36"/>
    <s v="GRACYELE"/>
    <s v="FELIPE"/>
    <x v="8"/>
    <s v="SEM CONEXÃO "/>
    <n v="1"/>
    <s v="Finalizado"/>
    <n v="2021"/>
    <n v="4"/>
    <n v="24"/>
  </r>
  <r>
    <m/>
    <x v="10"/>
    <x v="5"/>
    <s v="GRACYELE"/>
    <s v="FELIPE"/>
    <x v="1"/>
    <s v="RECLAMAÇÃO MICROFONE C/ RUÍDOS"/>
    <n v="1"/>
    <s v="Finalizado"/>
    <n v="2021"/>
    <n v="4"/>
    <n v="26"/>
  </r>
  <r>
    <m/>
    <x v="10"/>
    <x v="5"/>
    <s v="PROFESSORES"/>
    <s v="FELIPE"/>
    <x v="0"/>
    <s v="PILHAS DESCARREGADAS"/>
    <n v="1"/>
    <s v="Finalizado"/>
    <n v="2021"/>
    <n v="4"/>
    <n v="9"/>
  </r>
  <r>
    <m/>
    <x v="10"/>
    <x v="5"/>
    <s v="GRACYELLE"/>
    <s v="FELIPE"/>
    <x v="7"/>
    <s v="MONITOR APAGOU"/>
    <n v="1"/>
    <s v="Finalizado"/>
    <n v="2021"/>
    <n v="4"/>
    <n v="14"/>
  </r>
  <r>
    <m/>
    <x v="10"/>
    <x v="6"/>
    <s v="GRACYELE"/>
    <s v="FELIPE"/>
    <x v="1"/>
    <s v="RECLAMAÇÃO MICROFONE C/ RUÍDOS"/>
    <n v="1"/>
    <s v="Finalizado"/>
    <n v="2021"/>
    <n v="4"/>
    <n v="14"/>
  </r>
  <r>
    <m/>
    <x v="10"/>
    <x v="16"/>
    <s v="PÂMELA"/>
    <s v="FELIPE"/>
    <x v="1"/>
    <s v="MICROFONE MAL CONTATO"/>
    <n v="1"/>
    <s v="Finalizado"/>
    <n v="2021"/>
    <n v="5"/>
    <n v="15"/>
  </r>
  <r>
    <m/>
    <x v="10"/>
    <x v="16"/>
    <s v="GRACYELE"/>
    <s v="FELIPE"/>
    <x v="1"/>
    <s v="MICROFONE MAL CONTATO"/>
    <n v="1"/>
    <s v="Finalizado"/>
    <n v="2021"/>
    <n v="5"/>
    <n v="18"/>
  </r>
  <r>
    <m/>
    <x v="10"/>
    <x v="44"/>
    <s v="NATALIA"/>
    <s v="FELIPE"/>
    <x v="1"/>
    <s v="MICROFONE BAIXO"/>
    <n v="1"/>
    <s v="Finalizado"/>
    <n v="2021"/>
    <n v="5"/>
    <n v="18"/>
  </r>
  <r>
    <m/>
    <x v="10"/>
    <x v="39"/>
    <s v="PROFESSORES"/>
    <s v="FELIPE"/>
    <x v="0"/>
    <s v="PILHAS DESCARREGADAS"/>
    <n v="1"/>
    <s v="Finalizado"/>
    <n v="2021"/>
    <n v="4"/>
    <n v="25"/>
  </r>
  <r>
    <m/>
    <x v="10"/>
    <x v="39"/>
    <s v="GRACYELE"/>
    <s v="EDSON"/>
    <x v="1"/>
    <s v="RECLAMAÇÃO MICROFONE C/ RUÍDOS"/>
    <n v="1"/>
    <s v="Finalizado"/>
    <n v="2021"/>
    <n v="4"/>
    <n v="25"/>
  </r>
  <r>
    <m/>
    <x v="10"/>
    <x v="8"/>
    <s v="PÂMELA"/>
    <s v="EDSON"/>
    <x v="1"/>
    <s v="RECLAMAÇÃO MICROFONE C/ RUÍDOS"/>
    <n v="1"/>
    <s v="Finalizado"/>
    <n v="2021"/>
    <n v="5"/>
    <n v="12"/>
  </r>
  <r>
    <m/>
    <x v="10"/>
    <x v="45"/>
    <s v="NATALIA"/>
    <s v="FELIPE"/>
    <x v="1"/>
    <s v="RECLAMAÇÃO MICROFONE C/ RUÍDOS"/>
    <n v="1"/>
    <s v="Finalizado"/>
    <n v="2021"/>
    <n v="5"/>
    <n v="16"/>
  </r>
  <r>
    <m/>
    <x v="10"/>
    <x v="46"/>
    <s v="PAMELA"/>
    <s v="EDSON"/>
    <x v="1"/>
    <s v="RECLAMAÇÃO MICROFONE C/ RUÍDOS"/>
    <n v="1"/>
    <s v="Finalizado"/>
    <n v="2021"/>
    <n v="6"/>
    <n v="16"/>
  </r>
  <r>
    <m/>
    <x v="10"/>
    <x v="10"/>
    <s v="LAUANA"/>
    <s v="FELIPE"/>
    <x v="1"/>
    <s v="RECLAMAÇÃO MICROFONE C/ RUÍDOS"/>
    <n v="1"/>
    <s v="Finalizado"/>
    <n v="2021"/>
    <n v="6"/>
    <n v="30"/>
  </r>
  <r>
    <m/>
    <x v="10"/>
    <x v="10"/>
    <s v="PROFESSORES"/>
    <s v="FELIPE"/>
    <x v="0"/>
    <s v="PILHAS DESCARREGADAS"/>
    <n v="1"/>
    <s v="Finalizado"/>
    <n v="2021"/>
    <n v="6"/>
    <n v="11"/>
  </r>
  <r>
    <m/>
    <x v="10"/>
    <x v="11"/>
    <s v="GRACYELE"/>
    <s v="FELIPE"/>
    <x v="1"/>
    <s v="RECLAMAÇÃO MICROFONE C/ RUÍDOS"/>
    <n v="1"/>
    <s v="Finalizado"/>
    <n v="2021"/>
    <n v="6"/>
    <n v="12"/>
  </r>
  <r>
    <m/>
    <x v="11"/>
    <x v="47"/>
    <s v="PROFESSORES"/>
    <s v="FELIPE"/>
    <x v="0"/>
    <s v="PILHAS E MICROFONE"/>
    <n v="1"/>
    <s v="Finalizado"/>
    <n v="2021"/>
    <n v="3"/>
    <n v="17"/>
  </r>
  <r>
    <m/>
    <x v="11"/>
    <x v="47"/>
    <s v="ANDRÉ"/>
    <s v="FELIPE"/>
    <x v="1"/>
    <s v="RECLAMAÇÃO MICROFONE C/ RUÍDOS"/>
    <n v="1"/>
    <s v="Finalizado"/>
    <n v="2021"/>
    <n v="3"/>
    <n v="20"/>
  </r>
  <r>
    <m/>
    <x v="11"/>
    <x v="43"/>
    <s v="PROFESSORES"/>
    <s v="EDSON"/>
    <x v="1"/>
    <s v="RECLAMAÇÃO MICROFONE C/ RUÍDOS"/>
    <n v="1"/>
    <s v="Finalizado"/>
    <n v="2021"/>
    <n v="3"/>
    <n v="21"/>
  </r>
  <r>
    <m/>
    <x v="11"/>
    <x v="43"/>
    <s v="PROFESSORES"/>
    <s v="FELIPE"/>
    <x v="1"/>
    <s v="RECLAMAÇÃO MICROFONE C/ RUÍDOS"/>
    <n v="1"/>
    <s v="Finalizado"/>
    <n v="2021"/>
    <n v="3"/>
    <n v="25"/>
  </r>
  <r>
    <m/>
    <x v="11"/>
    <x v="3"/>
    <s v="PROFESSORES"/>
    <s v="EDSON"/>
    <x v="3"/>
    <s v="COMPUTADOR REINICIOU"/>
    <n v="1"/>
    <s v="Finalizado"/>
    <n v="2021"/>
    <n v="4"/>
    <n v="28"/>
  </r>
  <r>
    <m/>
    <x v="11"/>
    <x v="48"/>
    <s v="PAMELA"/>
    <s v="FELIPE"/>
    <x v="1"/>
    <s v="RECLAMAÇÃO MICROFONE C/ RUÍDOS"/>
    <n v="1"/>
    <s v="Finalizado"/>
    <n v="2021"/>
    <n v="4"/>
    <n v="28"/>
  </r>
  <r>
    <m/>
    <x v="11"/>
    <x v="48"/>
    <s v="GRACYELE "/>
    <s v="FELIPE"/>
    <x v="1"/>
    <s v="RECLAMAÇÃO MICROFONE C/ RUÍDOS"/>
    <n v="1"/>
    <s v="Finalizado"/>
    <n v="2021"/>
    <n v="4"/>
    <n v="31"/>
  </r>
  <r>
    <m/>
    <x v="11"/>
    <x v="7"/>
    <s v="GRACYELE"/>
    <s v="EDSON"/>
    <x v="7"/>
    <s v="TELA COM MAL CONTATO"/>
    <n v="1"/>
    <s v="Finalizado"/>
    <n v="2021"/>
    <n v="4"/>
    <n v="1"/>
  </r>
  <r>
    <m/>
    <x v="11"/>
    <x v="49"/>
    <s v="PROFESSORES"/>
    <s v="FELIPE"/>
    <x v="0"/>
    <s v="PILHAS E MICROFONE"/>
    <n v="1"/>
    <s v="Finalizado"/>
    <n v="2021"/>
    <n v="5"/>
    <n v="7"/>
  </r>
  <r>
    <m/>
    <x v="11"/>
    <x v="50"/>
    <s v="GRACYELE"/>
    <s v="FELIPE"/>
    <x v="6"/>
    <s v="LIGAR CÂMERA"/>
    <n v="1"/>
    <s v="Finalizado"/>
    <n v="2021"/>
    <n v="5"/>
    <n v="11"/>
  </r>
  <r>
    <m/>
    <x v="11"/>
    <x v="39"/>
    <s v="PÂMELA"/>
    <s v="EDSON"/>
    <x v="1"/>
    <s v="RECLAMAÇÃO MICROFONE C/ RUÍDOS"/>
    <n v="1"/>
    <s v="Finalizado"/>
    <n v="2021"/>
    <n v="4"/>
    <n v="18"/>
  </r>
  <r>
    <m/>
    <x v="11"/>
    <x v="51"/>
    <s v="PÂMELA"/>
    <s v="FELIPE"/>
    <x v="1"/>
    <s v="RECLAMAÇÃO MICROFONE C/ RUÍDOS"/>
    <n v="1"/>
    <s v="Finalizado"/>
    <n v="2021"/>
    <n v="5"/>
    <n v="10"/>
  </r>
  <r>
    <m/>
    <x v="11"/>
    <x v="41"/>
    <s v="PÂMELA"/>
    <s v="FELIPE"/>
    <x v="1"/>
    <s v="RECLAMAÇÃO MICROFONE C/ RUÍDOS"/>
    <n v="1"/>
    <s v="Finalizado"/>
    <n v="2021"/>
    <n v="5"/>
    <n v="12"/>
  </r>
  <r>
    <m/>
    <x v="11"/>
    <x v="52"/>
    <s v="RAYANE"/>
    <s v="FELIPE"/>
    <x v="0"/>
    <s v="PILHAS DESCARREGADAS"/>
    <n v="1"/>
    <s v="Finalizado"/>
    <n v="2021"/>
    <n v="5"/>
    <n v="15"/>
  </r>
  <r>
    <m/>
    <x v="11"/>
    <x v="53"/>
    <s v="ANGELICA"/>
    <s v="FELIPE"/>
    <x v="8"/>
    <s v="INTERNET"/>
    <n v="1"/>
    <s v="Finalizado"/>
    <n v="2021"/>
    <n v="5"/>
    <n v="15"/>
  </r>
  <r>
    <m/>
    <x v="11"/>
    <x v="53"/>
    <s v="PAMELA"/>
    <s v="FELIPE"/>
    <x v="1"/>
    <s v="RECLAMAÇÃO MICROFONE C/ RUÍDOS"/>
    <n v="1"/>
    <s v="Finalizado"/>
    <n v="2021"/>
    <n v="5"/>
    <n v="15"/>
  </r>
  <r>
    <m/>
    <x v="11"/>
    <x v="18"/>
    <s v="PAMELA"/>
    <s v="EDSON"/>
    <x v="3"/>
    <s v="ATUALIZAÇÃO DE NAVEGADOR"/>
    <n v="1"/>
    <s v="Finalizado"/>
    <n v="2021"/>
    <n v="5"/>
    <n v="15"/>
  </r>
  <r>
    <m/>
    <x v="11"/>
    <x v="35"/>
    <s v="PAMELA"/>
    <s v="FELIPE"/>
    <x v="1"/>
    <s v="RECLAMAÇÃO MICROFONE C/ RUÍDOS"/>
    <n v="1"/>
    <s v="Finalizado"/>
    <n v="2021"/>
    <n v="6"/>
    <n v="16"/>
  </r>
  <r>
    <m/>
    <x v="11"/>
    <x v="20"/>
    <s v="ANGELICA"/>
    <s v="FELIPE"/>
    <x v="0"/>
    <s v="PILHAS DESCARREGADAS"/>
    <n v="1"/>
    <s v="Finalizado"/>
    <n v="2021"/>
    <n v="6"/>
    <n v="19"/>
  </r>
  <r>
    <m/>
    <x v="11"/>
    <x v="54"/>
    <s v="ANGELICA"/>
    <s v="FELIPE"/>
    <x v="1"/>
    <s v="RECLAMAÇÃO MICROFONE C/ RUÍDOS"/>
    <n v="1"/>
    <s v="Finalizado"/>
    <n v="2021"/>
    <n v="6"/>
    <n v="22"/>
  </r>
  <r>
    <m/>
    <x v="11"/>
    <x v="42"/>
    <s v="PAMELA"/>
    <s v="FELIPE"/>
    <x v="6"/>
    <s v="CÂMERA DESLIGOU"/>
    <n v="1"/>
    <s v="Finalizado"/>
    <n v="2021"/>
    <n v="6"/>
    <n v="22"/>
  </r>
  <r>
    <m/>
    <x v="2"/>
    <x v="55"/>
    <s v="ANDRÉ"/>
    <s v="EDSON"/>
    <x v="0"/>
    <s v="PILHAS DESCARREGADAS"/>
    <n v="1"/>
    <s v="Finalizado"/>
    <n v="2021"/>
    <n v="3"/>
    <n v="23"/>
  </r>
  <r>
    <m/>
    <x v="2"/>
    <x v="56"/>
    <s v="ROSANA"/>
    <s v="EDSON"/>
    <x v="6"/>
    <s v="CÂMERA DESLIGADA"/>
    <n v="1"/>
    <s v="Finalizado"/>
    <n v="2021"/>
    <n v="3"/>
    <n v="1"/>
  </r>
  <r>
    <m/>
    <x v="2"/>
    <x v="57"/>
    <s v="VIVIAN"/>
    <s v="EDSON"/>
    <x v="1"/>
    <s v="RECLAMAÇÃO OS ALUNOS NÃO OUVEM A PROFESSORA"/>
    <n v="1"/>
    <s v="Finalizado"/>
    <n v="2021"/>
    <n v="3"/>
    <n v="1"/>
  </r>
  <r>
    <m/>
    <x v="2"/>
    <x v="57"/>
    <s v="ROSANA"/>
    <s v="EDSON"/>
    <x v="0"/>
    <s v="PILHAS DESCARREGADAS"/>
    <n v="1"/>
    <s v="Finalizado"/>
    <n v="2021"/>
    <n v="3"/>
    <n v="1"/>
  </r>
  <r>
    <m/>
    <x v="2"/>
    <x v="57"/>
    <s v="ROSANA"/>
    <s v="EDSON"/>
    <x v="4"/>
    <s v="SOM DESCONECTADO"/>
    <n v="1"/>
    <s v="Finalizado"/>
    <n v="2021"/>
    <n v="3"/>
    <n v="5"/>
  </r>
  <r>
    <m/>
    <x v="2"/>
    <x v="57"/>
    <s v="ANA PAULA"/>
    <s v="EDSON"/>
    <x v="1"/>
    <s v="RECLAMAÇÃO OS ALUNOS NÃO OUVEM A PROFESSORA"/>
    <n v="1"/>
    <s v="Finalizado"/>
    <n v="2021"/>
    <n v="3"/>
    <n v="6"/>
  </r>
  <r>
    <m/>
    <x v="2"/>
    <x v="58"/>
    <s v="CLAUDIA"/>
    <s v="FELIPE"/>
    <x v="1"/>
    <s v="RECLAMAÇÃO MICROFONE C/ RUÍDOS"/>
    <n v="1"/>
    <s v="Finalizado"/>
    <n v="2021"/>
    <n v="3"/>
    <n v="16"/>
  </r>
  <r>
    <m/>
    <x v="2"/>
    <x v="59"/>
    <s v="FLÁVIA"/>
    <s v="EDSON"/>
    <x v="1"/>
    <s v="RECLAMAÇÃO MICROFONE C/ RUÍDOS"/>
    <n v="1"/>
    <s v="Finalizado"/>
    <n v="2021"/>
    <n v="3"/>
    <n v="20"/>
  </r>
  <r>
    <m/>
    <x v="2"/>
    <x v="60"/>
    <s v="VIVIAN"/>
    <s v="EDSON"/>
    <x v="6"/>
    <s v="CÂMERA DESLIGADA"/>
    <n v="1"/>
    <s v="Finalizado"/>
    <n v="2021"/>
    <n v="3"/>
    <n v="20"/>
  </r>
  <r>
    <m/>
    <x v="2"/>
    <x v="60"/>
    <s v="PROFESSORES"/>
    <s v="FELIPE"/>
    <x v="6"/>
    <s v="CÂMERA DESLIGADA"/>
    <n v="1"/>
    <s v="Finalizado"/>
    <n v="2021"/>
    <n v="3"/>
    <n v="20"/>
  </r>
  <r>
    <m/>
    <x v="2"/>
    <x v="32"/>
    <s v="PROFESSORES"/>
    <s v="FELIPE"/>
    <x v="0"/>
    <s v="PILHAS DESCARREGADAS"/>
    <n v="1"/>
    <s v="Finalizado"/>
    <n v="2021"/>
    <n v="3"/>
    <n v="24"/>
  </r>
  <r>
    <m/>
    <x v="2"/>
    <x v="1"/>
    <s v="PROFESSORES"/>
    <s v="FELIPE"/>
    <x v="1"/>
    <s v="RECLAMAÇÃO MICROFONE C/ RUÍDOS"/>
    <n v="1"/>
    <s v="Finalizado"/>
    <n v="2021"/>
    <n v="4"/>
    <n v="25"/>
  </r>
  <r>
    <m/>
    <x v="2"/>
    <x v="1"/>
    <s v="PROFESSORES"/>
    <s v="FELIPE"/>
    <x v="0"/>
    <s v="PILHAS DESCARREGADAS"/>
    <n v="1"/>
    <s v="Finalizado"/>
    <n v="2021"/>
    <n v="4"/>
    <n v="25"/>
  </r>
  <r>
    <m/>
    <x v="2"/>
    <x v="1"/>
    <s v="PROFESSORES"/>
    <s v="FELIPE"/>
    <x v="1"/>
    <s v="RECLAMAÇÃO MICROFONE C/ RUÍDOS"/>
    <n v="1"/>
    <s v="Finalizado"/>
    <n v="2021"/>
    <n v="4"/>
    <n v="8"/>
  </r>
  <r>
    <m/>
    <x v="2"/>
    <x v="61"/>
    <s v="PROFESSORES"/>
    <s v="EDSON"/>
    <x v="9"/>
    <s v="DESLIGANDO"/>
    <n v="1"/>
    <s v="Finalizado"/>
    <n v="2021"/>
    <n v="4"/>
    <n v="10"/>
  </r>
  <r>
    <m/>
    <x v="2"/>
    <x v="33"/>
    <s v="PROFESSORES"/>
    <s v="FELIPE"/>
    <x v="1"/>
    <s v="RECLAMAÇÃO MICROFONE C/ RUÍDOS"/>
    <n v="1"/>
    <s v="Finalizado"/>
    <n v="2021"/>
    <n v="4"/>
    <n v="11"/>
  </r>
  <r>
    <m/>
    <x v="2"/>
    <x v="48"/>
    <s v="FLAVIO"/>
    <s v="FELIPE"/>
    <x v="1"/>
    <s v="RECLAMAÇÃO MICROFONE C/ RUÍDOS"/>
    <n v="1"/>
    <s v="Finalizado"/>
    <n v="2021"/>
    <n v="4"/>
    <n v="18"/>
  </r>
  <r>
    <m/>
    <x v="2"/>
    <x v="62"/>
    <s v="PROFESSORES"/>
    <s v="FELIPE"/>
    <x v="0"/>
    <s v="PILHAS DESCARREGADAS"/>
    <n v="1"/>
    <s v="Finalizado"/>
    <n v="2021"/>
    <n v="4"/>
    <n v="22"/>
  </r>
  <r>
    <m/>
    <x v="2"/>
    <x v="62"/>
    <s v="ELIZABETH"/>
    <s v="FELIPE"/>
    <x v="1"/>
    <s v="RECLAMAÇÃO MICROFONE C/ RUÍDOS"/>
    <n v="1"/>
    <s v="Finalizado"/>
    <n v="2021"/>
    <n v="4"/>
    <n v="22"/>
  </r>
  <r>
    <m/>
    <x v="2"/>
    <x v="62"/>
    <s v="LAURA"/>
    <s v="EDSON"/>
    <x v="10"/>
    <s v="LOUSA DESCALIBRADA"/>
    <n v="1"/>
    <s v="Finalizado"/>
    <n v="2021"/>
    <n v="4"/>
    <n v="23"/>
  </r>
  <r>
    <m/>
    <x v="2"/>
    <x v="8"/>
    <s v="CLAUDIA"/>
    <s v="FELIPE"/>
    <x v="9"/>
    <s v="DESLIGANDO"/>
    <n v="1"/>
    <s v="Finalizado"/>
    <n v="2021"/>
    <n v="5"/>
    <n v="23"/>
  </r>
  <r>
    <m/>
    <x v="8"/>
    <x v="63"/>
    <s v="LUCAS "/>
    <s v="EDSON"/>
    <x v="11"/>
    <s v="PILHAS DESCARREGADAS "/>
    <n v="1"/>
    <s v="Finalizado"/>
    <n v="2021"/>
    <n v="1"/>
    <n v="23"/>
  </r>
  <r>
    <m/>
    <x v="8"/>
    <x v="63"/>
    <s v="ANA PAULA"/>
    <s v="EDSON"/>
    <x v="1"/>
    <s v="RECLAMAÇÃO DE CHIADO NO MICROFONE"/>
    <n v="1"/>
    <s v="Finalizado"/>
    <n v="2021"/>
    <n v="1"/>
    <n v="23"/>
  </r>
  <r>
    <m/>
    <x v="8"/>
    <x v="64"/>
    <s v="RAIRY"/>
    <s v="EDSON"/>
    <x v="1"/>
    <s v="RECLAMAÇÃO MICROFONE C/ RUÍDOS"/>
    <n v="1"/>
    <s v="Finalizado"/>
    <n v="2021"/>
    <n v="2"/>
    <n v="30"/>
  </r>
  <r>
    <m/>
    <x v="8"/>
    <x v="65"/>
    <s v="ROSANA"/>
    <s v="EDSON"/>
    <x v="6"/>
    <s v="CÂMERA DESLIGADA"/>
    <n v="1"/>
    <s v="Finalizado"/>
    <n v="2021"/>
    <n v="2"/>
    <n v="7"/>
  </r>
  <r>
    <m/>
    <x v="8"/>
    <x v="66"/>
    <s v="LUCAS "/>
    <s v="EDSON"/>
    <x v="1"/>
    <s v="RECLAMAÇÃO MICROFONE C/ RUÍDOS"/>
    <n v="1"/>
    <s v="Finalizado"/>
    <n v="2021"/>
    <n v="2"/>
    <n v="13"/>
  </r>
  <r>
    <m/>
    <x v="8"/>
    <x v="67"/>
    <s v="LUCAS "/>
    <s v="EDSON"/>
    <x v="11"/>
    <s v="PILHAS DESCARREGADAS "/>
    <n v="1"/>
    <s v="Finalizado"/>
    <n v="2021"/>
    <n v="2"/>
    <n v="16"/>
  </r>
  <r>
    <m/>
    <x v="8"/>
    <x v="60"/>
    <s v="GISELY"/>
    <s v="EDSON"/>
    <x v="11"/>
    <s v="PILHAS DESCARREGADAS "/>
    <n v="1"/>
    <s v="Finalizado"/>
    <n v="2021"/>
    <n v="3"/>
    <n v="22"/>
  </r>
  <r>
    <m/>
    <x v="8"/>
    <x v="60"/>
    <s v="PROFESSORES"/>
    <s v="FELIPE"/>
    <x v="0"/>
    <s v="PILHAS DESCARREGADAS "/>
    <n v="1"/>
    <s v="Finalizado"/>
    <n v="2021"/>
    <n v="3"/>
    <n v="13"/>
  </r>
  <r>
    <m/>
    <x v="8"/>
    <x v="32"/>
    <s v="PROFESSORES"/>
    <s v="FELIPE"/>
    <x v="1"/>
    <s v="RECLAMAÇÃO MICROFONE C/ RUÍDOS"/>
    <n v="1"/>
    <s v="Finalizado"/>
    <n v="2021"/>
    <n v="3"/>
    <n v="14"/>
  </r>
  <r>
    <m/>
    <x v="8"/>
    <x v="32"/>
    <s v="PROFESSORES"/>
    <s v="FELIPE"/>
    <x v="1"/>
    <s v="RECLAMAÇÃO MICROFONE C/ RUÍDOS"/>
    <n v="1"/>
    <s v="Finalizado"/>
    <n v="2021"/>
    <n v="3"/>
    <n v="14"/>
  </r>
  <r>
    <m/>
    <x v="8"/>
    <x v="32"/>
    <s v="PROFESSORES"/>
    <s v="FELIPE"/>
    <x v="1"/>
    <s v="RECLAMAÇÃO MICROFONE C/ RUÍDOS"/>
    <n v="1"/>
    <s v="Finalizado"/>
    <n v="2021"/>
    <n v="3"/>
    <n v="14"/>
  </r>
  <r>
    <m/>
    <x v="8"/>
    <x v="32"/>
    <s v="GISELY"/>
    <s v="EDSON"/>
    <x v="11"/>
    <s v="PILHAS DESCARREGADAS "/>
    <n v="1"/>
    <s v="Finalizado"/>
    <n v="2021"/>
    <n v="3"/>
    <n v="19"/>
  </r>
  <r>
    <m/>
    <x v="8"/>
    <x v="0"/>
    <s v="PROFESSORES"/>
    <s v="FELIPE"/>
    <x v="8"/>
    <s v="REDE COM PROBLEMAS"/>
    <n v="1"/>
    <s v="Finalizado"/>
    <n v="2021"/>
    <n v="3"/>
    <n v="27"/>
  </r>
  <r>
    <m/>
    <x v="8"/>
    <x v="2"/>
    <s v="PROFESSORES"/>
    <s v="FELIPE"/>
    <x v="1"/>
    <s v="RECLAMAÇÃO MICROFONE C/ RUÍDOS"/>
    <n v="1"/>
    <s v="Finalizado"/>
    <n v="2021"/>
    <n v="4"/>
    <n v="27"/>
  </r>
  <r>
    <m/>
    <x v="8"/>
    <x v="4"/>
    <s v="PROFESSORES"/>
    <s v="FELIPE"/>
    <x v="9"/>
    <s v="DESLIGANDO"/>
    <n v="1"/>
    <s v="Finalizado"/>
    <n v="2021"/>
    <n v="4"/>
    <n v="31"/>
  </r>
  <r>
    <m/>
    <x v="8"/>
    <x v="48"/>
    <s v="CARLA"/>
    <s v="FELIPE"/>
    <x v="0"/>
    <s v="PILHAS DESCARREGADAS "/>
    <n v="1"/>
    <s v="Finalizado"/>
    <n v="2021"/>
    <n v="4"/>
    <n v="18"/>
  </r>
  <r>
    <m/>
    <x v="8"/>
    <x v="68"/>
    <s v="LUCAS "/>
    <s v="EDSON"/>
    <x v="1"/>
    <s v="RECLAMAÇÃO MICROFONE C/ RUÍDOS"/>
    <n v="1"/>
    <s v="Finalizado"/>
    <n v="2021"/>
    <n v="4"/>
    <n v="18"/>
  </r>
  <r>
    <m/>
    <x v="8"/>
    <x v="44"/>
    <s v="ROSANA"/>
    <s v="FELIPE"/>
    <x v="1"/>
    <s v="MICROFONE BAIXO"/>
    <n v="1"/>
    <s v="Finalizado"/>
    <n v="2021"/>
    <n v="5"/>
    <n v="25"/>
  </r>
  <r>
    <m/>
    <x v="8"/>
    <x v="38"/>
    <s v="ROSANA"/>
    <s v="EDSON"/>
    <x v="1"/>
    <s v="RECLAMAÇÃO MICROFONE C/ RUÍDOS"/>
    <n v="1"/>
    <s v="Finalizado"/>
    <n v="2021"/>
    <n v="5"/>
    <n v="15"/>
  </r>
  <r>
    <m/>
    <x v="8"/>
    <x v="38"/>
    <s v="CARLA"/>
    <s v="FELIPE"/>
    <x v="0"/>
    <s v="PILHAS DESCARREGADAS "/>
    <n v="1"/>
    <s v="Finalizado"/>
    <n v="2021"/>
    <n v="5"/>
    <n v="16"/>
  </r>
  <r>
    <m/>
    <x v="8"/>
    <x v="38"/>
    <s v="CARLA"/>
    <s v="EDSON"/>
    <x v="6"/>
    <s v="CÂMERA DESLIGADA"/>
    <n v="1"/>
    <s v="Finalizado"/>
    <n v="2021"/>
    <n v="5"/>
    <n v="18"/>
  </r>
  <r>
    <m/>
    <x v="8"/>
    <x v="5"/>
    <s v="ELIZABETH"/>
    <s v="EDSON"/>
    <x v="1"/>
    <s v="RECLAMAÇÃO MICROFONE C/ RUÍDOS"/>
    <n v="1"/>
    <s v="Finalizado"/>
    <n v="2021"/>
    <n v="4"/>
    <n v="22"/>
  </r>
  <r>
    <m/>
    <x v="8"/>
    <x v="69"/>
    <s v="JOÃO"/>
    <s v="FELIPE"/>
    <x v="1"/>
    <s v="MICROFONE CHIANDO"/>
    <n v="1"/>
    <s v="Finalizado"/>
    <n v="2021"/>
    <n v="5"/>
    <n v="25"/>
  </r>
  <r>
    <m/>
    <x v="8"/>
    <x v="69"/>
    <s v="JOÃO"/>
    <s v="FELIPE"/>
    <x v="1"/>
    <s v="MICROFONE MAL CONTATO"/>
    <n v="1"/>
    <s v="Finalizado"/>
    <n v="2021"/>
    <n v="5"/>
    <n v="25"/>
  </r>
  <r>
    <m/>
    <x v="8"/>
    <x v="18"/>
    <s v="JOÃO"/>
    <s v="FELIPE"/>
    <x v="6"/>
    <s v="CÂMERA DESLIGADA"/>
    <n v="1"/>
    <s v="Finalizado"/>
    <n v="2021"/>
    <n v="5"/>
    <n v="25"/>
  </r>
  <r>
    <m/>
    <x v="12"/>
    <x v="67"/>
    <s v="CARLA"/>
    <s v="EDSON"/>
    <x v="6"/>
    <s v="CÂMERA DESLIGADA"/>
    <n v="1"/>
    <s v="Finalizado"/>
    <n v="2021"/>
    <n v="2"/>
    <n v="9"/>
  </r>
  <r>
    <m/>
    <x v="12"/>
    <x v="67"/>
    <s v="RAIRY"/>
    <s v="EDSON"/>
    <x v="3"/>
    <s v="ATUALIZAÇÃO DE COMPUTADOR"/>
    <n v="1"/>
    <s v="Finalizado"/>
    <n v="2021"/>
    <n v="2"/>
    <n v="12"/>
  </r>
  <r>
    <m/>
    <x v="12"/>
    <x v="70"/>
    <s v="ROGÉRIO"/>
    <s v="EDSON"/>
    <x v="11"/>
    <s v="PILHAS DESCARREGADAS "/>
    <n v="1"/>
    <s v="Finalizado"/>
    <n v="2021"/>
    <n v="2"/>
    <n v="30"/>
  </r>
  <r>
    <m/>
    <x v="12"/>
    <x v="57"/>
    <s v="RAIRY"/>
    <s v="EDSON"/>
    <x v="11"/>
    <s v="PILHAS DESCARREGADAS "/>
    <n v="1"/>
    <s v="Finalizado"/>
    <n v="2021"/>
    <n v="3"/>
    <n v="3"/>
  </r>
  <r>
    <m/>
    <x v="12"/>
    <x v="58"/>
    <s v="DIEGO"/>
    <s v="EDSON"/>
    <x v="11"/>
    <s v="PILHAS DESCARREGADAS "/>
    <n v="1"/>
    <s v="Finalizado"/>
    <n v="2021"/>
    <n v="3"/>
    <n v="4"/>
  </r>
  <r>
    <m/>
    <x v="12"/>
    <x v="47"/>
    <s v="LUCAS "/>
    <s v="EDSON"/>
    <x v="3"/>
    <s v="REINICIANDO SOZINHO"/>
    <n v="1"/>
    <s v="Finalizado"/>
    <n v="2021"/>
    <n v="3"/>
    <n v="7"/>
  </r>
  <r>
    <m/>
    <x v="12"/>
    <x v="60"/>
    <s v="PROFESSORES"/>
    <s v="FELIPE"/>
    <x v="1"/>
    <s v="RECLAMAÇÃO MICROFONE C/ RUÍDOS"/>
    <n v="1"/>
    <s v="Finalizado"/>
    <n v="2021"/>
    <n v="3"/>
    <n v="13"/>
  </r>
  <r>
    <m/>
    <x v="12"/>
    <x v="43"/>
    <s v="PROFESSORES"/>
    <s v="FELIPE"/>
    <x v="0"/>
    <s v="PILHAS DESCARREGADAS"/>
    <n v="1"/>
    <s v="Finalizado"/>
    <n v="2021"/>
    <n v="3"/>
    <n v="18"/>
  </r>
  <r>
    <m/>
    <x v="12"/>
    <x v="43"/>
    <s v="PROFESSORES"/>
    <s v="FELIPE"/>
    <x v="1"/>
    <s v="RECLAMAÇÃO MICROFONE C/ RUÍDOS"/>
    <n v="1"/>
    <s v="Finalizado"/>
    <n v="2021"/>
    <n v="3"/>
    <n v="19"/>
  </r>
  <r>
    <m/>
    <x v="12"/>
    <x v="43"/>
    <s v="PROFESSORES"/>
    <s v="FELIPE"/>
    <x v="6"/>
    <s v="RELIGAR CÂMERA"/>
    <n v="1"/>
    <s v="Finalizado"/>
    <n v="2021"/>
    <n v="3"/>
    <n v="21"/>
  </r>
  <r>
    <m/>
    <x v="12"/>
    <x v="15"/>
    <s v="PROFESSORES"/>
    <s v="EDSON"/>
    <x v="0"/>
    <s v="PILHAS DESCARREGADAS"/>
    <n v="1"/>
    <s v="Finalizado"/>
    <n v="2021"/>
    <n v="4"/>
    <n v="31"/>
  </r>
  <r>
    <m/>
    <x v="12"/>
    <x v="3"/>
    <s v="PROFESSORES"/>
    <s v="FELIPE"/>
    <x v="0"/>
    <s v="PILHAS DESCARREGADAS"/>
    <n v="1"/>
    <s v="Finalizado"/>
    <n v="2021"/>
    <n v="4"/>
    <n v="8"/>
  </r>
  <r>
    <m/>
    <x v="12"/>
    <x v="7"/>
    <s v="CLAUDIA"/>
    <s v="FELIPE"/>
    <x v="0"/>
    <s v="PILHAS DESCARREGADAS"/>
    <n v="1"/>
    <s v="Finalizado"/>
    <n v="2021"/>
    <n v="4"/>
    <n v="16"/>
  </r>
  <r>
    <m/>
    <x v="12"/>
    <x v="37"/>
    <s v="RAIRY"/>
    <s v="FELIPE"/>
    <x v="1"/>
    <s v="MICROFONE MAL CONTATO"/>
    <n v="1"/>
    <s v="Finalizado"/>
    <n v="2021"/>
    <n v="5"/>
    <n v="12"/>
  </r>
  <r>
    <m/>
    <x v="12"/>
    <x v="16"/>
    <s v="LUCAS "/>
    <s v="EDSON"/>
    <x v="1"/>
    <s v="MICROFONE MAL CONTATO"/>
    <n v="1"/>
    <s v="Finalizado"/>
    <n v="2021"/>
    <n v="5"/>
    <n v="2"/>
  </r>
  <r>
    <m/>
    <x v="12"/>
    <x v="71"/>
    <s v="CARLA"/>
    <s v="EDSON"/>
    <x v="0"/>
    <s v="PILHAS DESCARREGADAS"/>
    <n v="1"/>
    <s v="Finalizado"/>
    <n v="2021"/>
    <n v="5"/>
    <n v="2"/>
  </r>
  <r>
    <m/>
    <x v="12"/>
    <x v="44"/>
    <s v="ROSANA"/>
    <s v="EDSON"/>
    <x v="1"/>
    <s v="RECLAMAÇÃO MICROFONE C/ RUÍDOS"/>
    <n v="1"/>
    <s v="Finalizado"/>
    <n v="2021"/>
    <n v="5"/>
    <n v="22"/>
  </r>
  <r>
    <m/>
    <x v="12"/>
    <x v="40"/>
    <s v="LUCAS "/>
    <s v="FELIPE"/>
    <x v="1"/>
    <s v="RECLAMAÇÃO MICROFONE C/ RUÍDOS"/>
    <n v="1"/>
    <s v="Finalizado"/>
    <n v="2021"/>
    <n v="4"/>
    <n v="22"/>
  </r>
  <r>
    <m/>
    <x v="12"/>
    <x v="5"/>
    <s v="ROSANA"/>
    <s v="FELIPE"/>
    <x v="6"/>
    <s v="CÂMERA DESLIGOU"/>
    <n v="1"/>
    <s v="Finalizado"/>
    <n v="2021"/>
    <n v="4"/>
    <n v="22"/>
  </r>
  <r>
    <m/>
    <x v="12"/>
    <x v="41"/>
    <s v="CARLA"/>
    <s v="EDSON"/>
    <x v="0"/>
    <s v="PILHAS DESCARREGADAS"/>
    <n v="1"/>
    <s v="Finalizado"/>
    <n v="2021"/>
    <n v="5"/>
    <n v="29"/>
  </r>
  <r>
    <m/>
    <x v="12"/>
    <x v="18"/>
    <s v="CLAUDIA"/>
    <s v="EDSON"/>
    <x v="1"/>
    <s v="RECLAMAÇÃO MICROFONE C/ RUÍDOS"/>
    <n v="1"/>
    <s v="Finalizado"/>
    <n v="2021"/>
    <n v="5"/>
    <n v="30"/>
  </r>
  <r>
    <m/>
    <x v="12"/>
    <x v="9"/>
    <s v="CLAUDIA"/>
    <s v="FELIPE"/>
    <x v="0"/>
    <s v="PILHAS DESCARREGADAS"/>
    <n v="1"/>
    <s v="Finalizado"/>
    <n v="2021"/>
    <n v="6"/>
    <n v="31"/>
  </r>
  <r>
    <m/>
    <x v="12"/>
    <x v="72"/>
    <s v="CLAUDIA"/>
    <s v="FELIPE"/>
    <x v="0"/>
    <s v="PILHAS DESCARREGADAS"/>
    <n v="1"/>
    <s v="Finalizado"/>
    <n v="2021"/>
    <n v="6"/>
    <n v="31"/>
  </r>
  <r>
    <m/>
    <x v="12"/>
    <x v="56"/>
    <s v="CARLA"/>
    <s v="EDSON"/>
    <x v="1"/>
    <s v="SALA SEM MICROFONE O PROF.DEIXOU NA COORDENAÇÃO"/>
    <n v="1"/>
    <s v="Finalizado"/>
    <n v="2021"/>
    <n v="3"/>
    <n v="1"/>
  </r>
  <r>
    <m/>
    <x v="3"/>
    <x v="73"/>
    <s v="ROGÉRIO"/>
    <s v="EDSON"/>
    <x v="0"/>
    <s v="PILHAS DESCARREGADAS"/>
    <n v="1"/>
    <s v="Finalizado"/>
    <n v="2021"/>
    <n v="2"/>
    <n v="5"/>
  </r>
  <r>
    <m/>
    <x v="3"/>
    <x v="73"/>
    <s v="ANDRÉ"/>
    <s v="EDSON"/>
    <x v="12"/>
    <s v="O COMPUTADOR DESLIGOU"/>
    <n v="1"/>
    <s v="Finalizado"/>
    <n v="2021"/>
    <n v="2"/>
    <n v="5"/>
  </r>
  <r>
    <m/>
    <x v="3"/>
    <x v="74"/>
    <s v="PEDRO FELIX"/>
    <s v="EDSON"/>
    <x v="1"/>
    <s v="RECLAMAÇÃO DE CHIADO NO MICROFONE"/>
    <n v="1"/>
    <s v="Finalizado"/>
    <n v="2021"/>
    <n v="2"/>
    <n v="7"/>
  </r>
  <r>
    <m/>
    <x v="3"/>
    <x v="74"/>
    <s v="ROGÉRIO"/>
    <s v="EDSON"/>
    <x v="0"/>
    <s v="PILHAS DESCARREGADAS"/>
    <n v="1"/>
    <s v="Finalizado"/>
    <n v="2021"/>
    <n v="2"/>
    <n v="7"/>
  </r>
  <r>
    <m/>
    <x v="3"/>
    <x v="60"/>
    <s v="PROFESSORES"/>
    <s v="FELIPE"/>
    <x v="1"/>
    <s v="RECLAMAÇÃO MICROFONE C/ RUÍDOS"/>
    <n v="1"/>
    <s v="Finalizado"/>
    <n v="2021"/>
    <n v="3"/>
    <n v="7"/>
  </r>
  <r>
    <m/>
    <x v="3"/>
    <x v="75"/>
    <s v="PROFESSORES"/>
    <s v="FELIPE"/>
    <x v="5"/>
    <s v="BLUETOOTH"/>
    <n v="1"/>
    <s v="Finalizado"/>
    <n v="2021"/>
    <n v="3"/>
    <n v="12"/>
  </r>
  <r>
    <m/>
    <x v="3"/>
    <x v="0"/>
    <s v="PROFESSORES"/>
    <s v="FELIPE"/>
    <x v="5"/>
    <s v="BLUETOOTH"/>
    <n v="1"/>
    <s v="Finalizado"/>
    <n v="2021"/>
    <n v="3"/>
    <n v="13"/>
  </r>
  <r>
    <m/>
    <x v="3"/>
    <x v="14"/>
    <s v="ROGÉRIO"/>
    <s v="EDSON"/>
    <x v="0"/>
    <s v="PILHAS DESCARREGADAS"/>
    <n v="1"/>
    <s v="Finalizado"/>
    <n v="2021"/>
    <n v="3"/>
    <n v="14"/>
  </r>
  <r>
    <m/>
    <x v="3"/>
    <x v="14"/>
    <s v="PROFESSORES"/>
    <s v="EDSON"/>
    <x v="1"/>
    <s v="RECLAMAÇÃO MICROFONE C/ RUÍDOS"/>
    <n v="1"/>
    <s v="Finalizado"/>
    <n v="2021"/>
    <n v="3"/>
    <n v="14"/>
  </r>
  <r>
    <m/>
    <x v="3"/>
    <x v="1"/>
    <s v="PROFESSORES"/>
    <s v="FELIPE"/>
    <x v="5"/>
    <s v="BLUETOOTH"/>
    <n v="1"/>
    <s v="Finalizado"/>
    <n v="2021"/>
    <n v="4"/>
    <n v="14"/>
  </r>
  <r>
    <m/>
    <x v="3"/>
    <x v="61"/>
    <s v="PROFESSORES"/>
    <s v="FELIPE"/>
    <x v="1"/>
    <s v="RECLAMAÇÃO MICROFONE C/ RUÍDOS"/>
    <n v="1"/>
    <s v="Finalizado"/>
    <n v="2021"/>
    <n v="4"/>
    <n v="19"/>
  </r>
  <r>
    <m/>
    <x v="3"/>
    <x v="61"/>
    <s v="ROGÉRIO"/>
    <s v="EDSON"/>
    <x v="0"/>
    <s v="PILHAS DESCARREGADAS"/>
    <n v="1"/>
    <s v="Finalizado"/>
    <n v="2021"/>
    <n v="4"/>
    <n v="20"/>
  </r>
  <r>
    <m/>
    <x v="3"/>
    <x v="2"/>
    <s v="PROFESSORES"/>
    <s v="EDSON"/>
    <x v="1"/>
    <s v="RECLAMAÇÃO MICROFONE C/ RUÍDOS"/>
    <n v="1"/>
    <s v="Finalizado"/>
    <n v="2021"/>
    <n v="4"/>
    <n v="20"/>
  </r>
  <r>
    <m/>
    <x v="3"/>
    <x v="2"/>
    <s v="PROFESSORES"/>
    <s v="FELIPE"/>
    <x v="1"/>
    <s v="RECLAMAÇÃO MICROFONE C/ RUÍDOS"/>
    <n v="1"/>
    <s v="Finalizado"/>
    <n v="2021"/>
    <n v="4"/>
    <n v="4"/>
  </r>
  <r>
    <m/>
    <x v="3"/>
    <x v="2"/>
    <s v="PROFESSORES"/>
    <s v="FELIPE"/>
    <x v="1"/>
    <s v="RECLAMAÇÃO MICROFONE C/ RUÍDOS"/>
    <n v="1"/>
    <s v="Finalizado"/>
    <n v="2021"/>
    <n v="4"/>
    <n v="5"/>
  </r>
  <r>
    <m/>
    <x v="3"/>
    <x v="3"/>
    <s v="PROFESSORES"/>
    <s v="FELIPE"/>
    <x v="6"/>
    <s v="CAMERÂ DESLIGADA"/>
    <n v="1"/>
    <s v="Finalizado"/>
    <n v="2021"/>
    <n v="4"/>
    <n v="6"/>
  </r>
  <r>
    <m/>
    <x v="3"/>
    <x v="4"/>
    <s v="PROFESSORES"/>
    <s v="FELIPE"/>
    <x v="5"/>
    <s v="LEVAR BT"/>
    <n v="1"/>
    <s v="Finalizado"/>
    <n v="2021"/>
    <n v="4"/>
    <n v="11"/>
  </r>
  <r>
    <m/>
    <x v="3"/>
    <x v="76"/>
    <s v="ANGELICA"/>
    <s v="EDSON"/>
    <x v="1"/>
    <s v="RECLAMAÇÃO MICROFONE C/ RUÍDOS"/>
    <n v="1"/>
    <s v="Finalizado"/>
    <n v="2021"/>
    <n v="4"/>
    <n v="18"/>
  </r>
  <r>
    <m/>
    <x v="3"/>
    <x v="76"/>
    <s v="PÂMELA"/>
    <s v="FELIPE"/>
    <x v="1"/>
    <s v="RECLAMAÇÃO MICROFONE C/ RUÍDOS"/>
    <n v="1"/>
    <s v="Finalizado"/>
    <n v="2021"/>
    <n v="4"/>
    <n v="19"/>
  </r>
  <r>
    <m/>
    <x v="3"/>
    <x v="76"/>
    <s v="ROGÉRIO"/>
    <s v="EDSON"/>
    <x v="0"/>
    <s v="PILHAS DESCARREGADAS"/>
    <n v="1"/>
    <s v="Finalizado"/>
    <n v="2021"/>
    <n v="4"/>
    <n v="28"/>
  </r>
  <r>
    <m/>
    <x v="3"/>
    <x v="5"/>
    <s v="ANGELICA"/>
    <s v="FELIPE"/>
    <x v="5"/>
    <s v="LEVAR MICROFONE BLUETOOTH"/>
    <n v="1"/>
    <s v="Finalizado"/>
    <n v="2021"/>
    <n v="4"/>
    <n v="28"/>
  </r>
  <r>
    <m/>
    <x v="3"/>
    <x v="62"/>
    <s v="ROGÉRIO"/>
    <s v="EDSON"/>
    <x v="0"/>
    <s v="PILHAS DESCARREGADAS"/>
    <n v="1"/>
    <s v="Finalizado"/>
    <n v="2021"/>
    <n v="4"/>
    <n v="9"/>
  </r>
  <r>
    <m/>
    <x v="3"/>
    <x v="62"/>
    <s v="PÂMELA"/>
    <s v="FELIPE"/>
    <x v="1"/>
    <s v="MICROFONE SEM BORRACHA"/>
    <n v="1"/>
    <s v="Finalizado"/>
    <n v="2021"/>
    <n v="4"/>
    <n v="15"/>
  </r>
  <r>
    <m/>
    <x v="3"/>
    <x v="16"/>
    <s v="PÂMELA"/>
    <s v="FELIPE"/>
    <x v="13"/>
    <s v="LIGAR O CELULAR"/>
    <n v="1"/>
    <s v="Finalizado"/>
    <n v="2021"/>
    <n v="5"/>
    <n v="26"/>
  </r>
  <r>
    <m/>
    <x v="3"/>
    <x v="17"/>
    <s v="CASSIA"/>
    <s v="FELIPE"/>
    <x v="5"/>
    <s v="CONECTAR MICROFONE BLUETOOTH"/>
    <n v="1"/>
    <s v="Finalizado"/>
    <n v="2021"/>
    <n v="5"/>
    <n v="26"/>
  </r>
  <r>
    <m/>
    <x v="3"/>
    <x v="34"/>
    <s v="ANDRÉ"/>
    <s v="FELIPE"/>
    <x v="5"/>
    <s v="CONECTAR MICROFONE BLUETOOTH"/>
    <n v="1"/>
    <s v="Finalizado"/>
    <n v="2021"/>
    <n v="5"/>
    <n v="28"/>
  </r>
  <r>
    <m/>
    <x v="3"/>
    <x v="49"/>
    <s v="VITORIA"/>
    <s v="FELIPE"/>
    <x v="5"/>
    <s v="LEVAR MICROFONE BLUETOOTH"/>
    <n v="1"/>
    <s v="Finalizado"/>
    <n v="2021"/>
    <n v="5"/>
    <n v="26"/>
  </r>
  <r>
    <m/>
    <x v="3"/>
    <x v="40"/>
    <s v="ANDRE"/>
    <s v="FELIPE"/>
    <x v="4"/>
    <s v="SOM HOME TEATHER/ ALTERAR SAIDA DE SOM"/>
    <n v="1"/>
    <s v="Finalizado"/>
    <n v="2021"/>
    <n v="4"/>
    <n v="29"/>
  </r>
  <r>
    <m/>
    <x v="3"/>
    <x v="5"/>
    <s v="VITORIA"/>
    <s v="FELIPE"/>
    <x v="13"/>
    <s v="LEVAR CELULAR NA SALA"/>
    <n v="1"/>
    <s v="Finalizado"/>
    <n v="2021"/>
    <n v="4"/>
    <n v="29"/>
  </r>
  <r>
    <m/>
    <x v="3"/>
    <x v="53"/>
    <s v="ANA PAULA"/>
    <s v="FELIPE"/>
    <x v="6"/>
    <s v="CÂMERA DESLIGOU"/>
    <n v="1"/>
    <s v="Finalizado"/>
    <n v="2021"/>
    <n v="5"/>
    <n v="29"/>
  </r>
  <r>
    <m/>
    <x v="3"/>
    <x v="53"/>
    <s v="ROGÉRIO"/>
    <s v="EDSON"/>
    <x v="0"/>
    <s v="PILHAS DESCARREGADAS"/>
    <n v="1"/>
    <s v="Finalizado"/>
    <n v="2021"/>
    <n v="5"/>
    <n v="30"/>
  </r>
  <r>
    <m/>
    <x v="3"/>
    <x v="46"/>
    <s v="VIVIAN"/>
    <s v="FELIPE"/>
    <x v="6"/>
    <s v="CÂMERA DESLIGOU"/>
    <n v="1"/>
    <s v="Finalizado"/>
    <n v="2021"/>
    <n v="6"/>
    <n v="13"/>
  </r>
  <r>
    <m/>
    <x v="3"/>
    <x v="11"/>
    <s v="VIVIAN"/>
    <s v="FELIPE"/>
    <x v="6"/>
    <s v="CÂMERA DESLIGOU"/>
    <n v="1"/>
    <s v="Finalizado"/>
    <n v="2021"/>
    <n v="6"/>
    <n v="13"/>
  </r>
  <r>
    <m/>
    <x v="13"/>
    <x v="77"/>
    <s v="ROGÉRIO"/>
    <s v="EDSON"/>
    <x v="0"/>
    <s v="PILHAS DESCARREGADAS"/>
    <n v="1"/>
    <s v="Finalizado"/>
    <n v="2021"/>
    <n v="1"/>
    <n v="14"/>
  </r>
  <r>
    <m/>
    <x v="13"/>
    <x v="77"/>
    <s v="VIVIAN"/>
    <s v="EDSON"/>
    <x v="1"/>
    <s v="RECLAMAÇÃO DE CHIADO NO MICROFONE"/>
    <n v="1"/>
    <s v="Finalizado"/>
    <n v="2021"/>
    <n v="1"/>
    <n v="19"/>
  </r>
  <r>
    <m/>
    <x v="13"/>
    <x v="78"/>
    <s v="VIVIAN"/>
    <s v="EDSON"/>
    <x v="1"/>
    <s v="RECLAMAÇÃO DE CHIADO NO MICROFONE"/>
    <n v="1"/>
    <s v="Finalizado"/>
    <n v="2021"/>
    <n v="1"/>
    <n v="19"/>
  </r>
  <r>
    <m/>
    <x v="13"/>
    <x v="13"/>
    <s v="PROFESSORES"/>
    <s v="EDSON"/>
    <x v="1"/>
    <s v="RECLAMAÇÃO MICROFONE C/ RUÍDOS"/>
    <n v="1"/>
    <s v="Finalizado"/>
    <n v="2021"/>
    <n v="3"/>
    <n v="20"/>
  </r>
  <r>
    <m/>
    <x v="13"/>
    <x v="75"/>
    <s v="ROGÉRIO"/>
    <s v="EDSON"/>
    <x v="0"/>
    <s v="PILHAS DESCARREGADAS"/>
    <n v="1"/>
    <s v="Finalizado"/>
    <n v="2021"/>
    <n v="3"/>
    <n v="20"/>
  </r>
  <r>
    <m/>
    <x v="13"/>
    <x v="75"/>
    <s v="PROFESSORES"/>
    <s v="FELIPE"/>
    <x v="1"/>
    <s v="RECLAMAÇÃO MICROFONE C/ RUÍDOS"/>
    <n v="1"/>
    <s v="Finalizado"/>
    <n v="2021"/>
    <n v="3"/>
    <n v="23"/>
  </r>
  <r>
    <m/>
    <x v="13"/>
    <x v="75"/>
    <s v="PROFESSORES"/>
    <s v="FELIPE"/>
    <x v="1"/>
    <s v="RECLAMAÇÃO MICROFONE C/ RUÍDOS"/>
    <n v="1"/>
    <s v="Finalizado"/>
    <n v="2021"/>
    <n v="3"/>
    <n v="23"/>
  </r>
  <r>
    <m/>
    <x v="13"/>
    <x v="0"/>
    <s v="PROFESSORES"/>
    <s v="EDSON"/>
    <x v="1"/>
    <s v="RECLAMAÇÃO MICROFONE C/ RUÍDOS"/>
    <n v="1"/>
    <s v="Finalizado"/>
    <n v="2021"/>
    <n v="3"/>
    <n v="23"/>
  </r>
  <r>
    <m/>
    <x v="13"/>
    <x v="4"/>
    <s v="PROFESSORES"/>
    <s v="FELIPE"/>
    <x v="4"/>
    <s v="SOM HOME TEATHER/ ALTERAR SAIDA DE SOM"/>
    <n v="1"/>
    <s v="Finalizado"/>
    <n v="2021"/>
    <n v="4"/>
    <n v="30"/>
  </r>
  <r>
    <m/>
    <x v="13"/>
    <x v="4"/>
    <s v="ROGÉRIO"/>
    <s v="EDSON"/>
    <x v="0"/>
    <s v="PILHAS DESCARREGADAS"/>
    <n v="1"/>
    <s v="Finalizado"/>
    <n v="2021"/>
    <n v="4"/>
    <n v="10"/>
  </r>
  <r>
    <m/>
    <x v="13"/>
    <x v="76"/>
    <s v="VITORIA"/>
    <s v="FELIPE"/>
    <x v="1"/>
    <s v="RECLAMAÇÃO MICROFONE C/ RUÍDOS"/>
    <n v="1"/>
    <s v="Finalizado"/>
    <n v="2021"/>
    <n v="4"/>
    <n v="20"/>
  </r>
  <r>
    <m/>
    <x v="13"/>
    <x v="5"/>
    <s v="FERNANDA"/>
    <s v="FELIPE"/>
    <x v="1"/>
    <s v="RECLAMAÇÃO MICROFONE C/ RUÍDOS"/>
    <n v="1"/>
    <s v="Finalizado"/>
    <n v="2021"/>
    <n v="4"/>
    <n v="21"/>
  </r>
  <r>
    <m/>
    <x v="13"/>
    <x v="5"/>
    <s v="ROGÉRIO"/>
    <s v="EDSON"/>
    <x v="0"/>
    <s v="PILHAS DESCARREGADAS"/>
    <n v="1"/>
    <s v="Finalizado"/>
    <n v="2021"/>
    <n v="4"/>
    <n v="24"/>
  </r>
  <r>
    <m/>
    <x v="13"/>
    <x v="62"/>
    <s v="FERNANDA"/>
    <s v="FELIPE"/>
    <x v="4"/>
    <s v="NÃO ESTAVA SAINDO SOM"/>
    <n v="1"/>
    <s v="Finalizado"/>
    <n v="2021"/>
    <n v="4"/>
    <n v="24"/>
  </r>
  <r>
    <m/>
    <x v="13"/>
    <x v="62"/>
    <s v="RAYANE"/>
    <s v="FELIPE"/>
    <x v="5"/>
    <s v="LEVAR MICROFONE BLUETOOTH"/>
    <n v="1"/>
    <s v="Finalizado"/>
    <n v="2021"/>
    <n v="4"/>
    <n v="10"/>
  </r>
  <r>
    <m/>
    <x v="13"/>
    <x v="6"/>
    <s v="FERNANDA"/>
    <s v="FELIPE"/>
    <x v="1"/>
    <s v="MICROFONE MAL CONTATO"/>
    <n v="1"/>
    <s v="Finalizado"/>
    <n v="2021"/>
    <n v="4"/>
    <n v="14"/>
  </r>
  <r>
    <m/>
    <x v="13"/>
    <x v="6"/>
    <s v="VITORIA"/>
    <s v="FELIPE"/>
    <x v="5"/>
    <s v="LEVAR BT"/>
    <n v="1"/>
    <s v="Finalizado"/>
    <n v="2021"/>
    <n v="4"/>
    <n v="16"/>
  </r>
  <r>
    <m/>
    <x v="13"/>
    <x v="6"/>
    <s v="VITORIA"/>
    <s v="FELIPE"/>
    <x v="5"/>
    <s v="MICROFONE BT FALHANDO"/>
    <n v="1"/>
    <s v="Finalizado"/>
    <n v="2021"/>
    <n v="4"/>
    <n v="25"/>
  </r>
  <r>
    <m/>
    <x v="13"/>
    <x v="7"/>
    <s v="VITORIA"/>
    <s v="EDSON"/>
    <x v="5"/>
    <s v="LEVAR BT"/>
    <n v="1"/>
    <s v="Finalizado"/>
    <n v="2021"/>
    <n v="4"/>
    <n v="25"/>
  </r>
  <r>
    <m/>
    <x v="13"/>
    <x v="79"/>
    <s v="TATA"/>
    <s v="FELIPE"/>
    <x v="4"/>
    <s v="ALTERAR SAIDA DE SOM"/>
    <n v="1"/>
    <s v="Finalizado"/>
    <n v="2021"/>
    <n v="5"/>
    <n v="26"/>
  </r>
  <r>
    <m/>
    <x v="13"/>
    <x v="51"/>
    <s v="ANDRÉ"/>
    <s v="FELIPE"/>
    <x v="4"/>
    <s v="ALTERAR SAIDA DE SOM"/>
    <n v="1"/>
    <s v="Finalizado"/>
    <n v="2021"/>
    <n v="5"/>
    <n v="28"/>
  </r>
  <r>
    <m/>
    <x v="13"/>
    <x v="41"/>
    <s v="VITORIA"/>
    <s v="FELIPE"/>
    <x v="1"/>
    <s v="RECLAMAÇÃO MICROFONE C/ RUÍDOS"/>
    <n v="1"/>
    <s v="Finalizado"/>
    <n v="2021"/>
    <n v="5"/>
    <n v="28"/>
  </r>
  <r>
    <m/>
    <x v="13"/>
    <x v="8"/>
    <s v="ROGÉRIO"/>
    <s v="EDSON"/>
    <x v="0"/>
    <s v="PILHAS DESCARREGADAS"/>
    <n v="1"/>
    <s v="Finalizado"/>
    <n v="2021"/>
    <n v="5"/>
    <n v="1"/>
  </r>
  <r>
    <m/>
    <x v="13"/>
    <x v="8"/>
    <s v="ANGELICA"/>
    <s v="FELIPE"/>
    <x v="1"/>
    <s v="RECLAMAÇÃO DE CHIADO NO MICROFONE"/>
    <n v="1"/>
    <s v="Finalizado"/>
    <n v="2021"/>
    <n v="5"/>
    <n v="9"/>
  </r>
  <r>
    <m/>
    <x v="13"/>
    <x v="21"/>
    <s v="GISELY"/>
    <s v="FELIPE"/>
    <x v="6"/>
    <s v="AJUSTAR A CÂMERA"/>
    <n v="1"/>
    <s v="Finalizado"/>
    <n v="2021"/>
    <n v="6"/>
    <n v="10"/>
  </r>
  <r>
    <m/>
    <x v="13"/>
    <x v="10"/>
    <s v="ROSANA"/>
    <s v="EDSON"/>
    <x v="0"/>
    <s v="PILHAS DESCARREGADAS"/>
    <n v="1"/>
    <s v="Finalizado"/>
    <n v="2021"/>
    <n v="6"/>
    <n v="11"/>
  </r>
  <r>
    <m/>
    <x v="13"/>
    <x v="72"/>
    <s v="ROSANA"/>
    <s v="FELIPE"/>
    <x v="6"/>
    <s v="AJUSTAR A CÂMERA"/>
    <n v="1"/>
    <s v="Finalizado"/>
    <n v="2021"/>
    <n v="6"/>
    <n v="25"/>
  </r>
  <r>
    <m/>
    <x v="14"/>
    <x v="63"/>
    <s v="ROGÉRIO"/>
    <s v="EDSON"/>
    <x v="11"/>
    <s v="PILHAS DESCARREGADAS "/>
    <n v="1"/>
    <s v="Finalizado"/>
    <n v="2021"/>
    <n v="1"/>
    <n v="10"/>
  </r>
  <r>
    <m/>
    <x v="14"/>
    <x v="63"/>
    <s v="VIVIAN"/>
    <s v="EDSON"/>
    <x v="1"/>
    <s v="RECLAMAÇÃO DE CHIADO NO MICROFONE"/>
    <n v="1"/>
    <s v="Finalizado"/>
    <n v="2021"/>
    <n v="1"/>
    <n v="10"/>
  </r>
  <r>
    <m/>
    <x v="14"/>
    <x v="77"/>
    <s v="ANA PAULA"/>
    <s v="EDSON"/>
    <x v="1"/>
    <s v="RECLAMAÇÃO MICROFONE C/ RUÍDOS"/>
    <n v="1"/>
    <s v="Finalizado"/>
    <n v="2021"/>
    <n v="1"/>
    <n v="16"/>
  </r>
  <r>
    <m/>
    <x v="14"/>
    <x v="78"/>
    <s v="GISELY"/>
    <s v="EDSON"/>
    <x v="6"/>
    <s v="CÂMERA DESLIGADA"/>
    <n v="1"/>
    <s v="Finalizado"/>
    <n v="2021"/>
    <n v="1"/>
    <n v="16"/>
  </r>
  <r>
    <m/>
    <x v="14"/>
    <x v="78"/>
    <s v="ROGÉRIO"/>
    <s v="EDSON"/>
    <x v="11"/>
    <s v="PILHAS DESCARREGADAS "/>
    <n v="1"/>
    <s v="Finalizado"/>
    <n v="2021"/>
    <n v="1"/>
    <n v="18"/>
  </r>
  <r>
    <m/>
    <x v="14"/>
    <x v="80"/>
    <s v="GISELY"/>
    <s v="EDSON"/>
    <x v="1"/>
    <s v="RECLAMAÇÃO MICROFONE C/ RUÍDOS"/>
    <n v="1"/>
    <s v="Finalizado"/>
    <n v="2021"/>
    <n v="2"/>
    <n v="29"/>
  </r>
  <r>
    <m/>
    <x v="14"/>
    <x v="81"/>
    <s v="FLÁVIA"/>
    <s v="EDSON / ROGÉRIO"/>
    <x v="1"/>
    <s v="RECLAMAÇÃO MICROFONE C/ RUÍDOS"/>
    <n v="1"/>
    <s v="Finalizado"/>
    <n v="2021"/>
    <n v="2"/>
    <n v="29"/>
  </r>
  <r>
    <m/>
    <x v="14"/>
    <x v="65"/>
    <s v="PAULO"/>
    <s v="EDSON"/>
    <x v="6"/>
    <s v="CÂMERA SEM FOCO PARA OS ALUNOS QUE ESTÃO EM E.A.D"/>
    <n v="1"/>
    <s v="Finalizado"/>
    <n v="2021"/>
    <n v="2"/>
    <n v="30"/>
  </r>
  <r>
    <m/>
    <x v="14"/>
    <x v="66"/>
    <s v="CLAUDIA"/>
    <s v="EDSON"/>
    <x v="1"/>
    <s v="RECLAMAÇÃO MICROFONE C/ RUÍDOS"/>
    <n v="1"/>
    <s v="Finalizado"/>
    <n v="2021"/>
    <n v="2"/>
    <n v="5"/>
  </r>
  <r>
    <m/>
    <x v="14"/>
    <x v="70"/>
    <s v="JOÃO"/>
    <s v="EDSON"/>
    <x v="1"/>
    <s v="RECLAMAÇÃO DE CHIADO NO MICROFONE"/>
    <n v="1"/>
    <s v="Finalizado"/>
    <n v="2021"/>
    <n v="2"/>
    <n v="5"/>
  </r>
  <r>
    <m/>
    <x v="14"/>
    <x v="55"/>
    <s v="LUCAS "/>
    <s v="EDSON"/>
    <x v="0"/>
    <s v="PILHAS DESCARREGADAS "/>
    <n v="1"/>
    <s v="Finalizado"/>
    <n v="2021"/>
    <n v="3"/>
    <n v="6"/>
  </r>
  <r>
    <m/>
    <x v="14"/>
    <x v="55"/>
    <s v="ANA PAULA"/>
    <s v="EDSON"/>
    <x v="1"/>
    <s v="RECLAMAÇÃO DE CHIADO NO MICROFONE"/>
    <n v="1"/>
    <s v="Finalizado"/>
    <n v="2021"/>
    <n v="3"/>
    <n v="8"/>
  </r>
  <r>
    <m/>
    <x v="14"/>
    <x v="58"/>
    <s v="ANDRÉ"/>
    <s v="FELIPE"/>
    <x v="1"/>
    <s v="RECLAMAÇÃO MICROFONE C/ RUÍDOS"/>
    <n v="1"/>
    <s v="Finalizado"/>
    <n v="2021"/>
    <n v="3"/>
    <n v="8"/>
  </r>
  <r>
    <m/>
    <x v="14"/>
    <x v="58"/>
    <s v="ROGÉRIO"/>
    <s v="EDSON"/>
    <x v="0"/>
    <s v="PILHAS DESCARREGADAS"/>
    <n v="1"/>
    <s v="Finalizado"/>
    <n v="2021"/>
    <n v="3"/>
    <n v="8"/>
  </r>
  <r>
    <m/>
    <x v="14"/>
    <x v="47"/>
    <s v="JOÃO"/>
    <s v="EDSON"/>
    <x v="3"/>
    <s v="REINICIANDO SOZINHO"/>
    <n v="1"/>
    <s v="Finalizado"/>
    <n v="2021"/>
    <n v="3"/>
    <n v="12"/>
  </r>
  <r>
    <m/>
    <x v="14"/>
    <x v="75"/>
    <s v="PROFESSORES"/>
    <s v="FELIPE"/>
    <x v="1"/>
    <s v="RECLAMAÇÃO MICROFONE C/ RUÍDOS"/>
    <n v="1"/>
    <s v="Finalizado"/>
    <n v="2021"/>
    <n v="3"/>
    <n v="19"/>
  </r>
  <r>
    <m/>
    <x v="14"/>
    <x v="75"/>
    <s v="ROGÉRIO"/>
    <s v="EDSON"/>
    <x v="0"/>
    <s v="PILHAS DESCARREGADAS "/>
    <n v="1"/>
    <s v="Finalizado"/>
    <n v="2021"/>
    <n v="3"/>
    <n v="19"/>
  </r>
  <r>
    <m/>
    <x v="14"/>
    <x v="0"/>
    <s v="PROFESSORES"/>
    <s v="FELIPE"/>
    <x v="1"/>
    <s v="RECLAMAÇÃO MICROFONE C/ RUÍDOS"/>
    <n v="1"/>
    <s v="Finalizado"/>
    <n v="2021"/>
    <n v="3"/>
    <n v="22"/>
  </r>
  <r>
    <m/>
    <x v="14"/>
    <x v="61"/>
    <s v="PROFESSORES"/>
    <s v="EDSON"/>
    <x v="6"/>
    <s v="AJUSTE CÂMERA"/>
    <n v="1"/>
    <s v="Finalizado"/>
    <n v="2021"/>
    <n v="4"/>
    <n v="23"/>
  </r>
  <r>
    <m/>
    <x v="14"/>
    <x v="61"/>
    <s v="PROFESSORES"/>
    <s v="FELIPE"/>
    <x v="6"/>
    <s v="LIGAR CÂMERA"/>
    <n v="1"/>
    <s v="Finalizado"/>
    <n v="2021"/>
    <n v="4"/>
    <n v="3"/>
  </r>
  <r>
    <m/>
    <x v="14"/>
    <x v="33"/>
    <s v="PROFESSORES"/>
    <s v="EDSON"/>
    <x v="1"/>
    <s v="RECLAMAÇÃO MICROFONE C/ RUÍDOS"/>
    <n v="1"/>
    <s v="Finalizado"/>
    <n v="2021"/>
    <n v="4"/>
    <n v="4"/>
  </r>
  <r>
    <m/>
    <x v="14"/>
    <x v="82"/>
    <s v="ROGÉRIO"/>
    <s v="EDSON"/>
    <x v="0"/>
    <s v="PILHAS DESCARREGADAS"/>
    <n v="1"/>
    <s v="Finalizado"/>
    <n v="2021"/>
    <n v="4"/>
    <n v="5"/>
  </r>
  <r>
    <m/>
    <x v="14"/>
    <x v="82"/>
    <s v="PROFESSORES"/>
    <s v="EDSON"/>
    <x v="3"/>
    <s v="ATUALIZAÇÃO DO SISTEMA OPERACIONAL"/>
    <n v="1"/>
    <s v="Finalizado"/>
    <n v="2021"/>
    <n v="4"/>
    <n v="6"/>
  </r>
  <r>
    <m/>
    <x v="14"/>
    <x v="82"/>
    <s v="PROFESSORES"/>
    <s v="FELIPE"/>
    <x v="6"/>
    <s v="CÂMERA DESLIGADA"/>
    <n v="1"/>
    <s v="Finalizado"/>
    <n v="2021"/>
    <n v="4"/>
    <n v="10"/>
  </r>
  <r>
    <m/>
    <x v="14"/>
    <x v="3"/>
    <s v="PROFESSORES"/>
    <s v="EDSON"/>
    <x v="6"/>
    <s v="CÂMERA DESLIGADA"/>
    <n v="1"/>
    <s v="Finalizado"/>
    <n v="2021"/>
    <n v="4"/>
    <n v="10"/>
  </r>
  <r>
    <m/>
    <x v="14"/>
    <x v="5"/>
    <s v="GISELY"/>
    <s v="EDSON"/>
    <x v="1"/>
    <s v="RECLAMAÇÃO MICROFONE C/ RUÍDOS"/>
    <n v="1"/>
    <s v="Finalizado"/>
    <n v="2021"/>
    <n v="4"/>
    <n v="17"/>
  </r>
  <r>
    <m/>
    <x v="14"/>
    <x v="5"/>
    <s v="GISELY"/>
    <s v="EDSON"/>
    <x v="3"/>
    <s v="ENTRAR NO GOOGLE"/>
    <n v="1"/>
    <s v="Finalizado"/>
    <n v="2021"/>
    <n v="4"/>
    <n v="24"/>
  </r>
  <r>
    <m/>
    <x v="14"/>
    <x v="68"/>
    <s v="CARLA"/>
    <s v="EDSON"/>
    <x v="1"/>
    <s v="RECLAMAÇÃO MICROFONE C/ RUÍDOS"/>
    <n v="1"/>
    <s v="Finalizado"/>
    <n v="2021"/>
    <n v="4"/>
    <n v="24"/>
  </r>
  <r>
    <m/>
    <x v="14"/>
    <x v="6"/>
    <s v="CARLA"/>
    <s v="FELIPE"/>
    <x v="0"/>
    <s v="PILHAS DESCARREGADAS"/>
    <n v="1"/>
    <s v="Finalizado"/>
    <n v="2021"/>
    <n v="4"/>
    <n v="1"/>
  </r>
  <r>
    <m/>
    <x v="14"/>
    <x v="37"/>
    <s v="GISELY"/>
    <s v="FELIPE"/>
    <x v="1"/>
    <s v="MICROFONE MAL CONTATO"/>
    <n v="1"/>
    <s v="Finalizado"/>
    <n v="2021"/>
    <n v="5"/>
    <n v="8"/>
  </r>
  <r>
    <m/>
    <x v="14"/>
    <x v="16"/>
    <s v="FLAVIA"/>
    <s v="EDSON"/>
    <x v="1"/>
    <s v="MICROFONE MAL CONTATO"/>
    <n v="1"/>
    <s v="Finalizado"/>
    <n v="2021"/>
    <n v="5"/>
    <n v="10"/>
  </r>
  <r>
    <m/>
    <x v="14"/>
    <x v="17"/>
    <s v="ELIZABETH"/>
    <s v="FELIPE"/>
    <x v="3"/>
    <s v="DESBLOQUEOU SOM NO NAVEGADOR"/>
    <n v="1"/>
    <s v="Finalizado"/>
    <n v="2021"/>
    <n v="5"/>
    <n v="14"/>
  </r>
  <r>
    <m/>
    <x v="14"/>
    <x v="34"/>
    <s v="JOÃO"/>
    <s v="FELIPE"/>
    <x v="6"/>
    <s v="CÂMERA DESCONECTOU"/>
    <n v="1"/>
    <s v="Finalizado"/>
    <n v="2021"/>
    <n v="5"/>
    <n v="15"/>
  </r>
  <r>
    <m/>
    <x v="14"/>
    <x v="79"/>
    <s v="CARLA"/>
    <s v="FELIPE"/>
    <x v="0"/>
    <s v="PILHAS DESCARREGADAS"/>
    <n v="1"/>
    <s v="Finalizado"/>
    <n v="2021"/>
    <n v="5"/>
    <n v="15"/>
  </r>
  <r>
    <m/>
    <x v="14"/>
    <x v="79"/>
    <s v="GISELY"/>
    <s v="FELIPE"/>
    <x v="3"/>
    <s v="NÃO CONSEGUIO ENTRAR NO MEET"/>
    <n v="1"/>
    <s v="Finalizado"/>
    <n v="2021"/>
    <n v="5"/>
    <n v="15"/>
  </r>
  <r>
    <m/>
    <x v="14"/>
    <x v="39"/>
    <s v="ANDRÉ"/>
    <s v="FELIPE"/>
    <x v="6"/>
    <s v="CÂMERA DESLIGOU"/>
    <n v="1"/>
    <s v="Finalizado"/>
    <n v="2021"/>
    <n v="4"/>
    <n v="16"/>
  </r>
  <r>
    <m/>
    <x v="14"/>
    <x v="8"/>
    <s v="ANDRÉ"/>
    <s v="FELIPE"/>
    <x v="6"/>
    <s v="CÂMERA DESLIGOU"/>
    <n v="1"/>
    <s v="Finalizado"/>
    <n v="2021"/>
    <n v="5"/>
    <n v="16"/>
  </r>
  <r>
    <m/>
    <x v="14"/>
    <x v="8"/>
    <s v="ANDRÉ"/>
    <s v="FELIPE"/>
    <x v="0"/>
    <s v="PILHAS DESCARREGADAS"/>
    <n v="1"/>
    <s v="Finalizado"/>
    <n v="2021"/>
    <n v="5"/>
    <n v="25"/>
  </r>
  <r>
    <m/>
    <x v="14"/>
    <x v="35"/>
    <s v="RAIRY"/>
    <s v="EDSON"/>
    <x v="3"/>
    <s v="PC TRAVOU GERAL"/>
    <n v="1"/>
    <s v="Finalizado"/>
    <n v="2021"/>
    <n v="6"/>
    <n v="25"/>
  </r>
  <r>
    <m/>
    <x v="14"/>
    <x v="9"/>
    <s v="GISELY"/>
    <s v="FELIPE"/>
    <x v="6"/>
    <s v="CÂMERA DESLIGOU"/>
    <n v="1"/>
    <s v="Finalizado"/>
    <n v="2021"/>
    <n v="6"/>
    <n v="4"/>
  </r>
  <r>
    <m/>
    <x v="14"/>
    <x v="21"/>
    <s v="CARLA"/>
    <s v="EDSON"/>
    <x v="0"/>
    <s v="PILHAS DESCARREGADAS"/>
    <n v="1"/>
    <s v="Finalizado"/>
    <n v="2021"/>
    <n v="6"/>
    <n v="4"/>
  </r>
  <r>
    <m/>
    <x v="14"/>
    <x v="10"/>
    <s v="RAIRY"/>
    <s v="EDSON"/>
    <x v="6"/>
    <s v="CÂMERA DESLIGOU"/>
    <n v="1"/>
    <s v="Finalizado"/>
    <n v="2021"/>
    <n v="6"/>
    <n v="18"/>
  </r>
  <r>
    <m/>
    <x v="14"/>
    <x v="11"/>
    <s v="RAIRY"/>
    <s v="EDSON"/>
    <x v="0"/>
    <s v="PILHAS DESCARREGADAS"/>
    <n v="1"/>
    <s v="Finalizado"/>
    <n v="2021"/>
    <n v="6"/>
    <n v="18"/>
  </r>
  <r>
    <m/>
    <x v="14"/>
    <x v="11"/>
    <s v="GISELY"/>
    <s v="FELIPE"/>
    <x v="6"/>
    <s v="CÂMERA DESLIGOU"/>
    <n v="1"/>
    <s v="Finalizado"/>
    <n v="2021"/>
    <n v="6"/>
    <n v="18"/>
  </r>
  <r>
    <m/>
    <x v="14"/>
    <x v="11"/>
    <s v="DIEGO"/>
    <s v="FELIPE"/>
    <x v="1"/>
    <s v=" HEADSET ESTRAGOU"/>
    <n v="1"/>
    <s v="Finalizado"/>
    <n v="2021"/>
    <n v="6"/>
    <n v="19"/>
  </r>
  <r>
    <m/>
    <x v="14"/>
    <x v="72"/>
    <s v="ROSANA"/>
    <s v="EDSON"/>
    <x v="6"/>
    <s v="CÂMERA DESLIGOU"/>
    <n v="1"/>
    <s v="Finalizado"/>
    <n v="2021"/>
    <n v="6"/>
    <n v="8"/>
  </r>
  <r>
    <m/>
    <x v="14"/>
    <x v="72"/>
    <s v="ELIZABETH"/>
    <s v="FELIPE"/>
    <x v="6"/>
    <s v="CÂMERA DESLIGOU"/>
    <n v="1"/>
    <s v="Finalizado"/>
    <n v="2021"/>
    <n v="6"/>
    <n v="8"/>
  </r>
  <r>
    <m/>
    <x v="15"/>
    <x v="63"/>
    <s v="ROGÉRIO"/>
    <s v="FELIPE"/>
    <x v="0"/>
    <s v="PILHAS DESCARREGADAS"/>
    <n v="1"/>
    <s v="Finalizado"/>
    <n v="2021"/>
    <n v="1"/>
    <n v="10"/>
  </r>
  <r>
    <m/>
    <x v="15"/>
    <x v="63"/>
    <s v="VIVIAN"/>
    <s v="EDSON"/>
    <x v="6"/>
    <s v="A CÂMERA DESCONECTOU"/>
    <n v="1"/>
    <s v="Finalizado"/>
    <n v="2021"/>
    <n v="1"/>
    <n v="14"/>
  </r>
  <r>
    <m/>
    <x v="15"/>
    <x v="83"/>
    <s v="RAIRY"/>
    <s v="EDSON"/>
    <x v="1"/>
    <s v="RECLAMAÇÃO DE CHIADO NO MICROFONE"/>
    <n v="1"/>
    <s v="Finalizado"/>
    <n v="2021"/>
    <n v="2"/>
    <n v="16"/>
  </r>
  <r>
    <m/>
    <x v="15"/>
    <x v="83"/>
    <s v="ROGÉRIO"/>
    <s v="FELIPE"/>
    <x v="0"/>
    <s v="PILHAS DESCARREGADAS"/>
    <n v="1"/>
    <s v="Finalizado"/>
    <n v="2021"/>
    <n v="2"/>
    <n v="16"/>
  </r>
  <r>
    <m/>
    <x v="15"/>
    <x v="40"/>
    <s v="FLAVIA"/>
    <s v="EDSON"/>
    <x v="1"/>
    <s v="RECLAMAÇÃO MICROFONE C/ RUÍDOS"/>
    <n v="1"/>
    <s v="Finalizado"/>
    <n v="2021"/>
    <n v="4"/>
    <n v="18"/>
  </r>
  <r>
    <m/>
    <x v="15"/>
    <x v="40"/>
    <s v="ANA PAULA"/>
    <s v="FELIPE"/>
    <x v="1"/>
    <s v="RECLAMAÇÃO MICROFONE C/ RUÍDOS"/>
    <n v="1"/>
    <s v="Finalizado"/>
    <n v="2021"/>
    <n v="4"/>
    <n v="25"/>
  </r>
  <r>
    <m/>
    <x v="15"/>
    <x v="40"/>
    <s v="ANA PAULA"/>
    <s v="FELIPE"/>
    <x v="0"/>
    <s v="PILHAS DESCARREGADAS"/>
    <n v="1"/>
    <s v="Finalizado"/>
    <n v="2021"/>
    <n v="4"/>
    <n v="25"/>
  </r>
  <r>
    <m/>
    <x v="15"/>
    <x v="5"/>
    <s v="ELIZABETH"/>
    <s v="FELIPE"/>
    <x v="1"/>
    <s v="RECLAMAÇÃO MICROFONE C/ RUÍDOS"/>
    <n v="1"/>
    <s v="Finalizado"/>
    <n v="2021"/>
    <n v="4"/>
    <n v="26"/>
  </r>
  <r>
    <m/>
    <x v="15"/>
    <x v="9"/>
    <s v="ROGÉRIO"/>
    <s v="FELIPE"/>
    <x v="0"/>
    <s v="PILHAS DESCARREGADAS"/>
    <n v="1"/>
    <s v="Finalizado"/>
    <n v="2021"/>
    <n v="6"/>
    <n v="1"/>
  </r>
  <r>
    <m/>
    <x v="15"/>
    <x v="9"/>
    <s v="RAIRY"/>
    <s v="FELIPE"/>
    <x v="14"/>
    <s v="CABO E HOME TEATHER DANIFICADO"/>
    <n v="1"/>
    <s v="Finalizado"/>
    <n v="2021"/>
    <n v="6"/>
    <n v="2"/>
  </r>
  <r>
    <m/>
    <x v="15"/>
    <x v="21"/>
    <s v="ROSANA"/>
    <s v="FELIPE"/>
    <x v="1"/>
    <s v="RECLAMAÇÃO DE CHIADO NO MICROFONE"/>
    <n v="1"/>
    <s v="Finalizado"/>
    <n v="2021"/>
    <n v="6"/>
    <n v="8"/>
  </r>
  <r>
    <m/>
    <x v="15"/>
    <x v="10"/>
    <s v="RAIRY"/>
    <s v="EDSON"/>
    <x v="0"/>
    <s v="PILHAS DESCARREGADAS"/>
    <n v="1"/>
    <s v="Finalizado"/>
    <n v="2021"/>
    <n v="6"/>
    <n v="9"/>
  </r>
  <r>
    <m/>
    <x v="15"/>
    <x v="72"/>
    <s v="ANA PAULA"/>
    <s v="FELIPE"/>
    <x v="7"/>
    <s v="MONITOR COM RESOLUÇÃO ALTERADA"/>
    <n v="1"/>
    <s v="Finalizado"/>
    <n v="2021"/>
    <n v="6"/>
    <n v="18"/>
  </r>
  <r>
    <m/>
    <x v="15"/>
    <x v="72"/>
    <s v="ROSANA"/>
    <s v="FELIPE"/>
    <x v="14"/>
    <s v="CABO E HOME TEATHER DANIFICADO"/>
    <n v="1"/>
    <s v="Finalizado"/>
    <n v="2021"/>
    <n v="6"/>
    <n v="18"/>
  </r>
  <r>
    <m/>
    <x v="15"/>
    <x v="42"/>
    <s v="CLAUDIA"/>
    <s v="FELIPE"/>
    <x v="0"/>
    <s v="PILHAS PARA O PROJETOR "/>
    <n v="1"/>
    <s v="Finalizado"/>
    <n v="2021"/>
    <n v="6"/>
    <n v="25"/>
  </r>
  <r>
    <m/>
    <x v="5"/>
    <x v="63"/>
    <s v="VIVIAN"/>
    <s v="EDSON"/>
    <x v="11"/>
    <s v="PILHAS DESCARREGADAS "/>
    <n v="1"/>
    <s v="Finalizado"/>
    <n v="2021"/>
    <n v="1"/>
    <n v="25"/>
  </r>
  <r>
    <m/>
    <x v="5"/>
    <x v="63"/>
    <s v="LOUIZE"/>
    <s v="EDSON"/>
    <x v="1"/>
    <s v="RECLAMAÇÃO DE CHIADO NO MICROFONE"/>
    <n v="1"/>
    <s v="Finalizado"/>
    <n v="2021"/>
    <n v="1"/>
    <n v="8"/>
  </r>
  <r>
    <m/>
    <x v="5"/>
    <x v="77"/>
    <s v="VIVIAN"/>
    <s v="EDSON"/>
    <x v="6"/>
    <s v="A CÂMERA DESCONECTOU"/>
    <n v="1"/>
    <s v="Finalizado"/>
    <n v="2021"/>
    <n v="1"/>
    <n v="8"/>
  </r>
  <r>
    <m/>
    <x v="5"/>
    <x v="80"/>
    <s v="LUCAS "/>
    <s v="EDSON"/>
    <x v="8"/>
    <s v="INSTABILIDADE DE CONEXÃO"/>
    <n v="1"/>
    <s v="Finalizado"/>
    <n v="2021"/>
    <n v="2"/>
    <n v="15"/>
  </r>
  <r>
    <m/>
    <x v="5"/>
    <x v="73"/>
    <s v="VIVIAN"/>
    <s v="EDSON"/>
    <x v="1"/>
    <s v="RECLAMAÇÃO DE CHIADO NO MICROFONE"/>
    <n v="1"/>
    <s v="Finalizado"/>
    <n v="2021"/>
    <n v="2"/>
    <n v="15"/>
  </r>
  <r>
    <m/>
    <x v="5"/>
    <x v="64"/>
    <s v="VIVIAN"/>
    <s v="EDSON"/>
    <x v="8"/>
    <s v="INSTABILIDADE DE CONEXÃO"/>
    <n v="1"/>
    <s v="Finalizado"/>
    <n v="2021"/>
    <n v="2"/>
    <n v="16"/>
  </r>
  <r>
    <m/>
    <x v="5"/>
    <x v="81"/>
    <s v="CLAUDIA"/>
    <s v="EDSON"/>
    <x v="11"/>
    <s v="PILHAS DESCARREGADAS"/>
    <n v="1"/>
    <s v="Finalizado"/>
    <n v="2021"/>
    <n v="2"/>
    <n v="18"/>
  </r>
  <r>
    <m/>
    <x v="5"/>
    <x v="67"/>
    <s v="VIVIAN"/>
    <s v="EDSON"/>
    <x v="8"/>
    <s v="INSTABILIDADE DE CONEXÃO"/>
    <n v="1"/>
    <s v="Finalizado"/>
    <n v="2021"/>
    <n v="2"/>
    <n v="19"/>
  </r>
  <r>
    <m/>
    <x v="5"/>
    <x v="67"/>
    <s v="ANA PAULA"/>
    <s v="EDSON"/>
    <x v="1"/>
    <s v="RECLAMAÇÃO MICROFONE C/ RUÍDOS"/>
    <n v="1"/>
    <s v="Finalizado"/>
    <n v="2021"/>
    <n v="2"/>
    <n v="22"/>
  </r>
  <r>
    <m/>
    <x v="5"/>
    <x v="70"/>
    <s v="VIVIAN"/>
    <s v="EDSON"/>
    <x v="15"/>
    <s v="INSTABILIDADE DE CONEXÃO"/>
    <n v="1"/>
    <s v="Finalizado"/>
    <n v="2021"/>
    <n v="2"/>
    <n v="25"/>
  </r>
  <r>
    <m/>
    <x v="5"/>
    <x v="70"/>
    <s v="LUCAS "/>
    <s v="EDSON"/>
    <x v="1"/>
    <s v="RECLAMAÇÃO DE CHIADO NO MICROFONE"/>
    <n v="1"/>
    <s v="Finalizado"/>
    <n v="2021"/>
    <n v="2"/>
    <n v="29"/>
  </r>
  <r>
    <m/>
    <x v="5"/>
    <x v="84"/>
    <s v="ROSANA"/>
    <s v="EDSON"/>
    <x v="6"/>
    <s v="CÂMERA DESLIGADA"/>
    <n v="1"/>
    <s v="Finalizado"/>
    <n v="2021"/>
    <n v="3"/>
    <n v="30"/>
  </r>
  <r>
    <m/>
    <x v="5"/>
    <x v="84"/>
    <s v="VIVIAN"/>
    <s v="EDSON"/>
    <x v="11"/>
    <s v="PILHAS DESCARREGADAS "/>
    <n v="1"/>
    <s v="Finalizado"/>
    <n v="2021"/>
    <n v="3"/>
    <n v="30"/>
  </r>
  <r>
    <m/>
    <x v="5"/>
    <x v="57"/>
    <s v="ANDRÉ"/>
    <s v="EDSON"/>
    <x v="1"/>
    <s v="RECLAMAÇÃO MICROFONE C/ RUÍDOS"/>
    <n v="1"/>
    <s v="Finalizado"/>
    <n v="2021"/>
    <n v="3"/>
    <n v="5"/>
  </r>
  <r>
    <m/>
    <x v="5"/>
    <x v="57"/>
    <s v="ANDRÉ"/>
    <s v="EDSON"/>
    <x v="16"/>
    <s v="PILHAS DESCARREGADAS"/>
    <n v="1"/>
    <s v="Finalizado"/>
    <n v="2021"/>
    <n v="3"/>
    <n v="5"/>
  </r>
  <r>
    <m/>
    <x v="5"/>
    <x v="58"/>
    <s v="FLÁVIA"/>
    <s v="EDSON"/>
    <x v="8"/>
    <s v="INSTABILIDADE DE CONEXÃO"/>
    <n v="1"/>
    <s v="Finalizado"/>
    <n v="2021"/>
    <n v="3"/>
    <n v="6"/>
  </r>
  <r>
    <m/>
    <x v="5"/>
    <x v="47"/>
    <s v="VIVIAN"/>
    <s v="EDSON"/>
    <x v="8"/>
    <s v="INSTABILIDADE DE CONEXÃO (CABO ROMPIDO)"/>
    <n v="1"/>
    <s v="Finalizado"/>
    <n v="2021"/>
    <n v="3"/>
    <n v="7"/>
  </r>
  <r>
    <m/>
    <x v="5"/>
    <x v="59"/>
    <s v="CARLA"/>
    <s v="EDSON / ROGÉRIO"/>
    <x v="8"/>
    <s v="INSTABILIDADE DE CONEXÃO"/>
    <n v="1"/>
    <s v="Finalizado"/>
    <n v="2021"/>
    <n v="3"/>
    <n v="7"/>
  </r>
  <r>
    <m/>
    <x v="5"/>
    <x v="60"/>
    <s v="VIVIAN"/>
    <s v="EDSON"/>
    <x v="11"/>
    <s v="PILHAS DESCARREGADAS "/>
    <n v="1"/>
    <s v="Finalizado"/>
    <n v="2021"/>
    <n v="3"/>
    <n v="9"/>
  </r>
  <r>
    <m/>
    <x v="5"/>
    <x v="43"/>
    <s v="PROFESSORES"/>
    <s v="FELIPE"/>
    <x v="1"/>
    <s v="RECLAMAÇÃO MICROFONE C/ RUÍDOS"/>
    <n v="1"/>
    <s v="Finalizado"/>
    <n v="2021"/>
    <n v="3"/>
    <n v="9"/>
  </r>
  <r>
    <m/>
    <x v="5"/>
    <x v="75"/>
    <s v="PROFESSORES"/>
    <s v="FELIPE"/>
    <x v="9"/>
    <s v="NÃO ESTAVA LIGANDO"/>
    <n v="1"/>
    <s v="Finalizado"/>
    <n v="2021"/>
    <n v="3"/>
    <n v="12"/>
  </r>
  <r>
    <m/>
    <x v="5"/>
    <x v="0"/>
    <s v="PROFESSORES"/>
    <s v="FELIPE"/>
    <x v="1"/>
    <s v="RECLAMAÇÃO MICROFONE C/ RUÍDOS"/>
    <n v="1"/>
    <s v="Finalizado"/>
    <n v="2021"/>
    <n v="3"/>
    <n v="12"/>
  </r>
  <r>
    <m/>
    <x v="5"/>
    <x v="0"/>
    <s v="PROFESSORES"/>
    <s v="EDSON"/>
    <x v="0"/>
    <s v="PILHAS DESCARREGADAS"/>
    <n v="1"/>
    <s v="Finalizado"/>
    <n v="2021"/>
    <n v="3"/>
    <n v="14"/>
  </r>
  <r>
    <m/>
    <x v="5"/>
    <x v="61"/>
    <s v="PROFESSORES"/>
    <s v="EDSON"/>
    <x v="1"/>
    <s v="RECLAMAÇÃO MICROFONE C/ RUÍDOS"/>
    <n v="1"/>
    <s v="Finalizado"/>
    <n v="2021"/>
    <n v="4"/>
    <n v="14"/>
  </r>
  <r>
    <m/>
    <x v="5"/>
    <x v="61"/>
    <s v="PROFESSORES"/>
    <s v="FELIPE"/>
    <x v="6"/>
    <s v="AJUSTE CÂMERA"/>
    <n v="1"/>
    <s v="Finalizado"/>
    <n v="2021"/>
    <n v="4"/>
    <n v="15"/>
  </r>
  <r>
    <m/>
    <x v="5"/>
    <x v="33"/>
    <s v="PROFESSORES"/>
    <s v="FELIPE"/>
    <x v="3"/>
    <s v="ATUALIZAÇÃO DO SISTEMA OPERACIONAL"/>
    <n v="1"/>
    <s v="Finalizado"/>
    <n v="2021"/>
    <n v="4"/>
    <n v="15"/>
  </r>
  <r>
    <m/>
    <x v="5"/>
    <x v="2"/>
    <s v="PROFESSORES"/>
    <s v="EDSON"/>
    <x v="17"/>
    <s v="CABO DESCONECTADO"/>
    <n v="1"/>
    <s v="Finalizado"/>
    <n v="2021"/>
    <n v="4"/>
    <n v="19"/>
  </r>
  <r>
    <m/>
    <x v="5"/>
    <x v="2"/>
    <s v="PROFESSORES"/>
    <s v="FELIPE"/>
    <x v="9"/>
    <s v="CABO DESCONECTADO"/>
    <n v="1"/>
    <s v="Finalizado"/>
    <n v="2021"/>
    <n v="4"/>
    <n v="19"/>
  </r>
  <r>
    <m/>
    <x v="5"/>
    <x v="15"/>
    <s v="PROFESSORES"/>
    <s v="FELIPE"/>
    <x v="9"/>
    <s v="CABO DESCONECTADO"/>
    <n v="1"/>
    <s v="Finalizado"/>
    <n v="2021"/>
    <n v="4"/>
    <n v="19"/>
  </r>
  <r>
    <m/>
    <x v="5"/>
    <x v="15"/>
    <s v="PROFESSORES"/>
    <s v="EDSON"/>
    <x v="0"/>
    <s v="PILHAS DESCARREGADAS"/>
    <n v="1"/>
    <s v="Finalizado"/>
    <n v="2021"/>
    <n v="4"/>
    <n v="20"/>
  </r>
  <r>
    <m/>
    <x v="5"/>
    <x v="3"/>
    <s v="PROFESSORES"/>
    <s v="EDSON"/>
    <x v="1"/>
    <s v="RECLAMAÇÃO MICROFONE C/ RUÍDOS"/>
    <n v="1"/>
    <s v="Finalizado"/>
    <n v="2021"/>
    <n v="4"/>
    <n v="22"/>
  </r>
  <r>
    <m/>
    <x v="5"/>
    <x v="3"/>
    <s v="PROFESSORES"/>
    <s v="FELIPE"/>
    <x v="9"/>
    <s v="CABO DESCONECTADO"/>
    <n v="1"/>
    <s v="Finalizado"/>
    <n v="2021"/>
    <n v="4"/>
    <n v="22"/>
  </r>
  <r>
    <m/>
    <x v="5"/>
    <x v="76"/>
    <s v="CLAUDIA"/>
    <s v="EDSON"/>
    <x v="18"/>
    <s v="LOUSA APITANDO"/>
    <n v="1"/>
    <s v="Finalizado"/>
    <n v="2021"/>
    <n v="4"/>
    <n v="23"/>
  </r>
  <r>
    <m/>
    <x v="5"/>
    <x v="76"/>
    <s v="VIVIAN"/>
    <s v="FELIPE"/>
    <x v="1"/>
    <s v="RECLAMAÇÃO MICROFONE C/ RUÍDOS"/>
    <n v="1"/>
    <s v="Finalizado"/>
    <n v="2021"/>
    <n v="4"/>
    <n v="4"/>
  </r>
  <r>
    <m/>
    <x v="5"/>
    <x v="36"/>
    <s v="VIVIAN"/>
    <s v="FELIPE"/>
    <x v="6"/>
    <s v="AJUSTE DE CÂMERA"/>
    <n v="1"/>
    <s v="Finalizado"/>
    <n v="2021"/>
    <n v="4"/>
    <n v="6"/>
  </r>
  <r>
    <m/>
    <x v="5"/>
    <x v="36"/>
    <s v="VIVIAN"/>
    <s v="EDSON"/>
    <x v="0"/>
    <s v="PILHAS DESCARREGADAS"/>
    <n v="1"/>
    <s v="Finalizado"/>
    <n v="2021"/>
    <n v="4"/>
    <n v="6"/>
  </r>
  <r>
    <m/>
    <x v="5"/>
    <x v="5"/>
    <s v="VIVIAN"/>
    <s v="EDSON"/>
    <x v="1"/>
    <s v="RECLAMAÇÃO MICROFONE C/ RUÍDOS"/>
    <n v="1"/>
    <s v="Finalizado"/>
    <n v="2021"/>
    <n v="4"/>
    <n v="7"/>
  </r>
  <r>
    <m/>
    <x v="5"/>
    <x v="5"/>
    <s v="VIVIAN"/>
    <s v="EDSON"/>
    <x v="1"/>
    <s v="RECLAMAÇÃO MICROFONE C/ RUÍDOS"/>
    <n v="1"/>
    <s v="Finalizado"/>
    <n v="2021"/>
    <n v="4"/>
    <n v="10"/>
  </r>
  <r>
    <m/>
    <x v="5"/>
    <x v="5"/>
    <s v="ANDRE"/>
    <s v="FELIPE"/>
    <x v="1"/>
    <s v="RECLAMAÇÃO MICROFONE C/ RUÍDOS"/>
    <n v="1"/>
    <s v="Finalizado"/>
    <n v="2021"/>
    <n v="4"/>
    <n v="10"/>
  </r>
  <r>
    <m/>
    <x v="5"/>
    <x v="62"/>
    <s v="CLAUDIA"/>
    <s v="FELIPE"/>
    <x v="6"/>
    <s v="CÂMERA DESCONECTADA"/>
    <n v="1"/>
    <s v="Finalizado"/>
    <n v="2021"/>
    <n v="4"/>
    <n v="12"/>
  </r>
  <r>
    <m/>
    <x v="5"/>
    <x v="68"/>
    <s v="VIVIAN"/>
    <s v="FELIPE"/>
    <x v="6"/>
    <s v="CÂMERA DESCONECTADA"/>
    <n v="1"/>
    <s v="Finalizado"/>
    <n v="2021"/>
    <n v="4"/>
    <n v="13"/>
  </r>
  <r>
    <m/>
    <x v="5"/>
    <x v="68"/>
    <s v="LUCAS "/>
    <s v="FELIPE"/>
    <x v="6"/>
    <s v="CÂMERA DESLIGOU SÓ"/>
    <n v="1"/>
    <s v="Finalizado"/>
    <n v="2021"/>
    <n v="4"/>
    <n v="13"/>
  </r>
  <r>
    <m/>
    <x v="5"/>
    <x v="6"/>
    <s v="CLAUDIA"/>
    <s v="EDSON"/>
    <x v="0"/>
    <s v="PILHAS DESCARREGADAS"/>
    <n v="1"/>
    <s v="Finalizado"/>
    <n v="2021"/>
    <n v="4"/>
    <n v="13"/>
  </r>
  <r>
    <m/>
    <x v="5"/>
    <x v="16"/>
    <s v="ROSANA"/>
    <s v="FELIPE"/>
    <x v="6"/>
    <s v="CÂMERA REINICIANDO"/>
    <n v="1"/>
    <s v="Finalizado"/>
    <n v="2021"/>
    <n v="5"/>
    <n v="17"/>
  </r>
  <r>
    <m/>
    <x v="5"/>
    <x v="34"/>
    <s v="VIVIAN"/>
    <s v="FELIPE"/>
    <x v="0"/>
    <s v="PILHAS DESCARREGADAS"/>
    <n v="1"/>
    <s v="Finalizado"/>
    <n v="2021"/>
    <n v="5"/>
    <n v="18"/>
  </r>
  <r>
    <m/>
    <x v="5"/>
    <x v="34"/>
    <s v="ANA PAULA"/>
    <s v="FELIPE"/>
    <x v="1"/>
    <s v="RECLAMAÇÃO MICROFONE C/ RUÍDOS"/>
    <n v="1"/>
    <s v="Finalizado"/>
    <n v="2021"/>
    <n v="5"/>
    <n v="18"/>
  </r>
  <r>
    <m/>
    <x v="5"/>
    <x v="71"/>
    <s v="FLAVIA"/>
    <s v="FELIPE"/>
    <x v="1"/>
    <s v="RECLAMAÇÃO MICROFONE C/ RUÍDOS"/>
    <n v="1"/>
    <s v="Finalizado"/>
    <n v="2021"/>
    <n v="5"/>
    <n v="18"/>
  </r>
  <r>
    <m/>
    <x v="5"/>
    <x v="79"/>
    <s v="VIVIAN"/>
    <s v="FELIPE"/>
    <x v="6"/>
    <s v="CÂMERA DESCONECTADA"/>
    <n v="1"/>
    <s v="Finalizado"/>
    <n v="2021"/>
    <n v="5"/>
    <n v="18"/>
  </r>
  <r>
    <m/>
    <x v="5"/>
    <x v="79"/>
    <s v="VIVIAN"/>
    <s v="FELIPE"/>
    <x v="6"/>
    <s v="CÂMERA DESCONECTADA"/>
    <n v="1"/>
    <s v="Finalizado"/>
    <n v="2021"/>
    <n v="5"/>
    <n v="19"/>
  </r>
  <r>
    <m/>
    <x v="5"/>
    <x v="50"/>
    <s v="VIVIAN"/>
    <s v="FELIPE"/>
    <x v="1"/>
    <s v="MICROFONE BAIXO"/>
    <n v="1"/>
    <s v="Finalizado"/>
    <n v="2021"/>
    <n v="5"/>
    <n v="20"/>
  </r>
  <r>
    <m/>
    <x v="5"/>
    <x v="44"/>
    <s v="VIVIAN"/>
    <s v="FELIPE"/>
    <x v="0"/>
    <s v="PILHAS DESCARREGADAS"/>
    <n v="1"/>
    <s v="Finalizado"/>
    <n v="2021"/>
    <n v="5"/>
    <n v="20"/>
  </r>
  <r>
    <m/>
    <x v="5"/>
    <x v="44"/>
    <s v="VIVIAN"/>
    <s v="FELIPE"/>
    <x v="1"/>
    <s v="MICROFONE BAIXO"/>
    <n v="1"/>
    <s v="Finalizado"/>
    <n v="2021"/>
    <n v="5"/>
    <n v="20"/>
  </r>
  <r>
    <m/>
    <x v="5"/>
    <x v="44"/>
    <s v="VIVIAN"/>
    <s v="FELIPE"/>
    <x v="6"/>
    <s v="CÂMERA REINICIANDO"/>
    <n v="1"/>
    <s v="Finalizado"/>
    <n v="2021"/>
    <n v="5"/>
    <n v="20"/>
  </r>
  <r>
    <m/>
    <x v="5"/>
    <x v="39"/>
    <s v="VIVIAN"/>
    <s v="EDSON"/>
    <x v="0"/>
    <s v="PILHAS DESCARREGADAS"/>
    <n v="1"/>
    <s v="Finalizado"/>
    <n v="2021"/>
    <n v="4"/>
    <n v="24"/>
  </r>
  <r>
    <m/>
    <x v="5"/>
    <x v="40"/>
    <s v="ELIZABETH"/>
    <s v="EDSON"/>
    <x v="3"/>
    <s v="SISTEMA OPERACIONAL/ TELA AZUL"/>
    <n v="1"/>
    <s v="Finalizado"/>
    <n v="2021"/>
    <n v="4"/>
    <n v="24"/>
  </r>
  <r>
    <m/>
    <x v="5"/>
    <x v="40"/>
    <s v="ROSANA"/>
    <s v="FELIPE"/>
    <x v="1"/>
    <s v="RECLAMAÇÃO MICROFONE C/ RUÍDOS"/>
    <n v="1"/>
    <s v="Finalizado"/>
    <n v="2021"/>
    <n v="4"/>
    <n v="24"/>
  </r>
  <r>
    <m/>
    <x v="5"/>
    <x v="40"/>
    <s v="ANA PAULA"/>
    <s v="FELIPE"/>
    <x v="1"/>
    <s v="RECLAMAÇÃO MICROFONE C/ RUÍDOS"/>
    <n v="1"/>
    <s v="Finalizado"/>
    <n v="2021"/>
    <n v="4"/>
    <n v="1"/>
  </r>
  <r>
    <m/>
    <x v="5"/>
    <x v="40"/>
    <s v="CLAUDIA"/>
    <s v="FELIPE"/>
    <x v="1"/>
    <s v="RECLAMAÇÃO MICROFONE C/ RUÍDOS"/>
    <n v="1"/>
    <s v="Finalizado"/>
    <n v="2021"/>
    <n v="4"/>
    <n v="1"/>
  </r>
  <r>
    <m/>
    <x v="5"/>
    <x v="5"/>
    <s v="ROSANA"/>
    <s v="FELIPE"/>
    <x v="4"/>
    <s v="ALTERAR SAIDA DE SOM"/>
    <n v="1"/>
    <s v="Finalizado"/>
    <n v="2021"/>
    <n v="4"/>
    <n v="8"/>
  </r>
  <r>
    <m/>
    <x v="5"/>
    <x v="51"/>
    <s v="ROSANA"/>
    <s v="EDSON"/>
    <x v="0"/>
    <s v="PILHAS DESCARREGADAS"/>
    <n v="1"/>
    <s v="Finalizado"/>
    <n v="2021"/>
    <n v="5"/>
    <n v="10"/>
  </r>
  <r>
    <m/>
    <x v="5"/>
    <x v="51"/>
    <s v="LUCAS "/>
    <s v="FELIPE"/>
    <x v="1"/>
    <s v="RECLAMAÇÃO MICROFONE C/ RUÍDOS"/>
    <n v="1"/>
    <s v="Finalizado"/>
    <n v="2021"/>
    <n v="5"/>
    <n v="10"/>
  </r>
  <r>
    <m/>
    <x v="5"/>
    <x v="51"/>
    <s v="LUCAS "/>
    <s v="FELIPE"/>
    <x v="1"/>
    <s v="RECLAMAÇÃO MICROFONE C/ RUÍDOS"/>
    <n v="1"/>
    <s v="Finalizado"/>
    <n v="2021"/>
    <n v="5"/>
    <n v="10"/>
  </r>
  <r>
    <m/>
    <x v="5"/>
    <x v="51"/>
    <s v="ANA PAULA"/>
    <s v="FELIPE"/>
    <x v="8"/>
    <s v="DESLIGARAM O SWITH"/>
    <n v="1"/>
    <s v="Finalizado"/>
    <n v="2021"/>
    <n v="5"/>
    <n v="14"/>
  </r>
  <r>
    <m/>
    <x v="5"/>
    <x v="8"/>
    <s v="ROSANA"/>
    <s v="FELIPE"/>
    <x v="6"/>
    <s v="REINICIANDO SOZINHO"/>
    <n v="1"/>
    <s v="Finalizado"/>
    <n v="2021"/>
    <n v="5"/>
    <n v="14"/>
  </r>
  <r>
    <m/>
    <x v="5"/>
    <x v="8"/>
    <s v="ROSANA"/>
    <s v="FELIPE"/>
    <x v="6"/>
    <s v="REINICIANDO SOZINHO"/>
    <n v="1"/>
    <s v="Finalizado"/>
    <n v="2021"/>
    <n v="5"/>
    <n v="15"/>
  </r>
  <r>
    <m/>
    <x v="5"/>
    <x v="8"/>
    <s v="VIVIAN"/>
    <s v="FELIPE"/>
    <x v="0"/>
    <s v="PILHAS DESCARREGADAS"/>
    <n v="1"/>
    <s v="Finalizado"/>
    <n v="2021"/>
    <n v="5"/>
    <n v="26"/>
  </r>
  <r>
    <m/>
    <x v="5"/>
    <x v="35"/>
    <s v="ANA PAULA"/>
    <s v="EDSON"/>
    <x v="0"/>
    <s v="PILHAS DESCARREGADAS"/>
    <n v="1"/>
    <s v="Finalizado"/>
    <n v="2021"/>
    <n v="6"/>
    <n v="26"/>
  </r>
  <r>
    <m/>
    <x v="5"/>
    <x v="35"/>
    <s v="ANA PAULA"/>
    <s v="EDSON"/>
    <x v="1"/>
    <s v="MAL CONTATO -RUÍDOS"/>
    <n v="1"/>
    <s v="Finalizado"/>
    <n v="2021"/>
    <n v="6"/>
    <n v="26"/>
  </r>
  <r>
    <m/>
    <x v="5"/>
    <x v="9"/>
    <s v="ANA PAULA"/>
    <s v="FELIPE"/>
    <x v="1"/>
    <s v="MAL CONTATO -RUÍDOS"/>
    <n v="1"/>
    <s v="Finalizado"/>
    <n v="2021"/>
    <n v="6"/>
    <n v="29"/>
  </r>
  <r>
    <m/>
    <x v="5"/>
    <x v="21"/>
    <s v="CLAUDIA"/>
    <s v="EDSON"/>
    <x v="0"/>
    <s v="PILHAS DESCARREGADAS"/>
    <n v="1"/>
    <s v="Finalizado"/>
    <n v="2021"/>
    <n v="6"/>
    <n v="4"/>
  </r>
  <r>
    <m/>
    <x v="5"/>
    <x v="21"/>
    <s v="ANA PAULA"/>
    <s v="FELIPE"/>
    <x v="6"/>
    <s v="CÂMERA DESLIGOU"/>
    <n v="1"/>
    <s v="Finalizado"/>
    <n v="2021"/>
    <n v="6"/>
    <n v="5"/>
  </r>
  <r>
    <m/>
    <x v="5"/>
    <x v="21"/>
    <s v="VIVIAN"/>
    <s v="FELIPE"/>
    <x v="6"/>
    <s v="CÂMERA DESLIGOU"/>
    <n v="1"/>
    <s v="Finalizado"/>
    <n v="2021"/>
    <n v="6"/>
    <n v="9"/>
  </r>
  <r>
    <m/>
    <x v="5"/>
    <x v="10"/>
    <s v="CLAUDIA"/>
    <s v="EDSON"/>
    <x v="3"/>
    <s v="COMPUTADOR REINICIOU"/>
    <n v="1"/>
    <s v="Finalizado"/>
    <n v="2021"/>
    <n v="6"/>
    <n v="9"/>
  </r>
  <r>
    <m/>
    <x v="5"/>
    <x v="10"/>
    <s v="VIVIAN"/>
    <s v="FELIPE"/>
    <x v="6"/>
    <s v="CÂMERA DESLIGOU"/>
    <n v="1"/>
    <s v="Finalizado"/>
    <n v="2021"/>
    <n v="6"/>
    <n v="10"/>
  </r>
  <r>
    <m/>
    <x v="5"/>
    <x v="11"/>
    <s v="VIVIAN"/>
    <s v="FELIPE"/>
    <x v="0"/>
    <s v="PILHAS DESCARREGADAS"/>
    <n v="1"/>
    <s v="Finalizado"/>
    <n v="2021"/>
    <n v="6"/>
    <n v="25"/>
  </r>
  <r>
    <m/>
    <x v="6"/>
    <x v="77"/>
    <s v="FLÁVIA"/>
    <s v="EDSON"/>
    <x v="1"/>
    <s v="RECLAMAÇÃO DE CHIADO NO MICROFONE"/>
    <n v="1"/>
    <s v="Finalizado"/>
    <n v="2021"/>
    <n v="1"/>
    <n v="9"/>
  </r>
  <r>
    <m/>
    <x v="6"/>
    <x v="77"/>
    <s v="CLAUDIA"/>
    <s v="EDSON"/>
    <x v="1"/>
    <s v="RECLAMAÇÃO DE CHIADO NO MICROFONE"/>
    <n v="1"/>
    <s v="Finalizado"/>
    <n v="2021"/>
    <n v="1"/>
    <n v="12"/>
  </r>
  <r>
    <m/>
    <x v="6"/>
    <x v="77"/>
    <s v="GISELY"/>
    <s v="EDSON"/>
    <x v="1"/>
    <s v="RECLAMAÇÃO DE CHIADO NO MICROFONE"/>
    <n v="1"/>
    <s v="Finalizado"/>
    <n v="2021"/>
    <n v="1"/>
    <n v="16"/>
  </r>
  <r>
    <m/>
    <x v="6"/>
    <x v="85"/>
    <s v="GABRIELA PEDRON"/>
    <s v="EDSON"/>
    <x v="19"/>
    <s v="SOM DESCONECTADO"/>
    <n v="1"/>
    <s v="Finalizado"/>
    <n v="2021"/>
    <n v="1"/>
    <n v="16"/>
  </r>
  <r>
    <m/>
    <x v="6"/>
    <x v="83"/>
    <s v="ROSANA"/>
    <s v="EDSON"/>
    <x v="1"/>
    <s v="RECLAMAÇÃO DE CHIADO NO MICROFONE"/>
    <n v="1"/>
    <s v="Finalizado"/>
    <n v="2021"/>
    <n v="2"/>
    <n v="16"/>
  </r>
  <r>
    <m/>
    <x v="6"/>
    <x v="86"/>
    <s v="ROSANA"/>
    <s v="EDSON"/>
    <x v="0"/>
    <s v="PILHAS DESCARREGADAS"/>
    <n v="1"/>
    <s v="Finalizado"/>
    <n v="2021"/>
    <n v="2"/>
    <n v="18"/>
  </r>
  <r>
    <m/>
    <x v="6"/>
    <x v="81"/>
    <s v="ROSANA"/>
    <s v="EDSON"/>
    <x v="1"/>
    <s v="RECLAMAÇÃO DE CHIADO NO MICROFONE"/>
    <n v="1"/>
    <s v="Finalizado"/>
    <n v="2021"/>
    <n v="2"/>
    <n v="22"/>
  </r>
  <r>
    <m/>
    <x v="6"/>
    <x v="81"/>
    <s v="ROSANA"/>
    <s v="EDSON"/>
    <x v="6"/>
    <s v="CÂMERA DESLIGADA"/>
    <n v="1"/>
    <s v="Finalizado"/>
    <n v="2021"/>
    <n v="2"/>
    <n v="23"/>
  </r>
  <r>
    <m/>
    <x v="6"/>
    <x v="65"/>
    <s v="CARLA"/>
    <s v="EDSON"/>
    <x v="1"/>
    <s v="RECLAMAÇÃO MICROFONE C/ RUÍDOS"/>
    <n v="1"/>
    <s v="Finalizado"/>
    <n v="2021"/>
    <n v="2"/>
    <n v="24"/>
  </r>
  <r>
    <m/>
    <x v="6"/>
    <x v="70"/>
    <s v="CARLA"/>
    <s v="EDSON"/>
    <x v="1"/>
    <s v="RECLAMAÇÃO MICROFONE C/ RUÍDOS"/>
    <n v="1"/>
    <s v="Finalizado"/>
    <n v="2021"/>
    <n v="2"/>
    <n v="25"/>
  </r>
  <r>
    <m/>
    <x v="6"/>
    <x v="87"/>
    <s v="ROSANA"/>
    <s v="EDSON"/>
    <x v="4"/>
    <s v="SOM DESCONECTADO"/>
    <n v="1"/>
    <s v="Finalizado"/>
    <n v="2021"/>
    <n v="3"/>
    <n v="29"/>
  </r>
  <r>
    <m/>
    <x v="6"/>
    <x v="56"/>
    <s v="ANA PAULA"/>
    <s v="EDSON"/>
    <x v="0"/>
    <s v="PILHAS DESCARREGADAS"/>
    <n v="1"/>
    <s v="Finalizado"/>
    <n v="2021"/>
    <n v="3"/>
    <n v="29"/>
  </r>
  <r>
    <m/>
    <x v="6"/>
    <x v="58"/>
    <s v="VIVIAN"/>
    <s v="FELIPE"/>
    <x v="1"/>
    <s v="RECLAMAÇÃO MICROFONE C/ RUÍDOS"/>
    <n v="1"/>
    <s v="Finalizado"/>
    <n v="2021"/>
    <n v="3"/>
    <n v="30"/>
  </r>
  <r>
    <m/>
    <x v="6"/>
    <x v="58"/>
    <s v="LUCAS "/>
    <s v="EDSON"/>
    <x v="0"/>
    <s v="PILHAS DESCARREGADAS"/>
    <n v="1"/>
    <s v="Finalizado"/>
    <n v="2021"/>
    <n v="3"/>
    <n v="1"/>
  </r>
  <r>
    <m/>
    <x v="6"/>
    <x v="58"/>
    <s v="LUCAS "/>
    <s v="EDSON"/>
    <x v="1"/>
    <s v="RECLAMAÇÃO DE CHIADO NO MICROFONE"/>
    <n v="1"/>
    <s v="Finalizado"/>
    <n v="2021"/>
    <n v="3"/>
    <n v="1"/>
  </r>
  <r>
    <m/>
    <x v="6"/>
    <x v="47"/>
    <s v="CARLA"/>
    <s v="EDSON"/>
    <x v="3"/>
    <s v="REINICIANDO SOZINHO"/>
    <n v="1"/>
    <s v="Finalizado"/>
    <n v="2021"/>
    <n v="3"/>
    <n v="6"/>
  </r>
  <r>
    <m/>
    <x v="6"/>
    <x v="60"/>
    <s v="PROFESSORES"/>
    <s v="FELIPE"/>
    <x v="4"/>
    <s v="SOM DESCONECTADO"/>
    <n v="1"/>
    <s v="Finalizado"/>
    <n v="2021"/>
    <n v="3"/>
    <n v="8"/>
  </r>
  <r>
    <m/>
    <x v="6"/>
    <x v="32"/>
    <s v="PROFESSORES"/>
    <s v="FELIPE"/>
    <x v="0"/>
    <s v="PILHAS DESCARREGADAS"/>
    <n v="1"/>
    <s v="Finalizado"/>
    <n v="2021"/>
    <n v="3"/>
    <n v="13"/>
  </r>
  <r>
    <m/>
    <x v="6"/>
    <x v="88"/>
    <s v="PROFESSORES"/>
    <s v="EDSON"/>
    <x v="1"/>
    <s v="RECLAMAÇÃO MICROFONE C/ RUÍDOS"/>
    <n v="1"/>
    <s v="Finalizado"/>
    <n v="2021"/>
    <n v="3"/>
    <n v="22"/>
  </r>
  <r>
    <m/>
    <x v="6"/>
    <x v="43"/>
    <s v="PROFESSORES"/>
    <s v="FELIPE"/>
    <x v="1"/>
    <s v="RECLAMAÇÃO MICROFONE C/ RUÍDOS"/>
    <n v="1"/>
    <s v="Finalizado"/>
    <n v="2021"/>
    <n v="3"/>
    <n v="23"/>
  </r>
  <r>
    <m/>
    <x v="6"/>
    <x v="75"/>
    <s v="PROFESSORES"/>
    <s v="EDSON"/>
    <x v="3"/>
    <s v="SISTEMA OPERACIONAL - ATUALIZAÇÃO"/>
    <n v="1"/>
    <s v="Finalizado"/>
    <n v="2021"/>
    <n v="3"/>
    <n v="23"/>
  </r>
  <r>
    <m/>
    <x v="6"/>
    <x v="75"/>
    <s v="PROFESSORES"/>
    <s v="FELIPE"/>
    <x v="0"/>
    <s v="PILHAS DESCARREGADAS"/>
    <n v="1"/>
    <s v="Finalizado"/>
    <n v="2021"/>
    <n v="3"/>
    <n v="3"/>
  </r>
  <r>
    <m/>
    <x v="6"/>
    <x v="0"/>
    <s v="PROFESSORES"/>
    <s v="FELIPE"/>
    <x v="3"/>
    <s v="CPU RECOLHIDA SISTEMA OPERACIONAL / TELA AZUL"/>
    <n v="1"/>
    <s v="Finalizado"/>
    <n v="2021"/>
    <n v="3"/>
    <n v="3"/>
  </r>
  <r>
    <m/>
    <x v="6"/>
    <x v="1"/>
    <s v="PROFESSORES"/>
    <s v="FELIPE"/>
    <x v="1"/>
    <s v="RECLAMAÇÃO MICROFONE C/ RUÍDOS"/>
    <n v="1"/>
    <s v="Finalizado"/>
    <n v="2021"/>
    <n v="4"/>
    <n v="6"/>
  </r>
  <r>
    <m/>
    <x v="6"/>
    <x v="1"/>
    <s v="PROFESSORES"/>
    <s v="FELIPE"/>
    <x v="6"/>
    <s v="DESCONECTOU DO COMPUTADOR"/>
    <n v="1"/>
    <s v="Finalizado"/>
    <n v="2021"/>
    <n v="4"/>
    <n v="6"/>
  </r>
  <r>
    <m/>
    <x v="6"/>
    <x v="33"/>
    <s v="PROFESSORES"/>
    <s v="FELIPE"/>
    <x v="6"/>
    <s v="DESLIGOU SOZINHA"/>
    <n v="1"/>
    <s v="Finalizado"/>
    <n v="2021"/>
    <n v="4"/>
    <n v="6"/>
  </r>
  <r>
    <m/>
    <x v="6"/>
    <x v="82"/>
    <s v="PROFESSORES"/>
    <s v="FELIPE"/>
    <x v="0"/>
    <s v="PILHAS DESCARREGADAS"/>
    <n v="1"/>
    <s v="Finalizado"/>
    <n v="2021"/>
    <n v="4"/>
    <n v="12"/>
  </r>
  <r>
    <m/>
    <x v="6"/>
    <x v="4"/>
    <s v="PROFESSORES"/>
    <s v="EDSON"/>
    <x v="3"/>
    <s v="PLACA DE REDE/TROCA"/>
    <n v="1"/>
    <s v="Finalizado"/>
    <n v="2021"/>
    <n v="4"/>
    <n v="31"/>
  </r>
  <r>
    <m/>
    <x v="6"/>
    <x v="68"/>
    <s v="ROSANA"/>
    <s v="EDSON"/>
    <x v="1"/>
    <s v="RECLAMAÇÃO MICROFONE C/ RUÍDOS"/>
    <n v="1"/>
    <s v="Finalizado"/>
    <n v="2021"/>
    <n v="4"/>
    <n v="1"/>
  </r>
  <r>
    <m/>
    <x v="6"/>
    <x v="6"/>
    <s v="CLAUDIA"/>
    <s v="FELIPE"/>
    <x v="1"/>
    <s v="RECLAMAÇÃO MICROFONE C/ RUÍDOS"/>
    <n v="1"/>
    <s v="Finalizado"/>
    <n v="2021"/>
    <n v="4"/>
    <n v="4"/>
  </r>
  <r>
    <m/>
    <x v="6"/>
    <x v="6"/>
    <s v="NATALIA"/>
    <s v="FELIPE"/>
    <x v="4"/>
    <s v=" SOM DESLIGADO"/>
    <n v="1"/>
    <s v="Finalizado"/>
    <n v="2021"/>
    <n v="4"/>
    <n v="4"/>
  </r>
  <r>
    <m/>
    <x v="6"/>
    <x v="37"/>
    <s v="GISELY"/>
    <s v="FELIPE"/>
    <x v="0"/>
    <s v="PILHAS DESCARREGADAS"/>
    <n v="1"/>
    <s v="Finalizado"/>
    <n v="2021"/>
    <n v="5"/>
    <n v="8"/>
  </r>
  <r>
    <m/>
    <x v="6"/>
    <x v="37"/>
    <s v="RAIRY"/>
    <s v="FELIPE"/>
    <x v="1"/>
    <s v="MICROFONE MAL CONTATO"/>
    <n v="1"/>
    <s v="Finalizado"/>
    <n v="2021"/>
    <n v="5"/>
    <n v="28"/>
  </r>
  <r>
    <m/>
    <x v="6"/>
    <x v="34"/>
    <s v="PROFESSORES"/>
    <s v="FELIPE"/>
    <x v="6"/>
    <s v="CAMERÂ DESLIGADA"/>
    <n v="1"/>
    <s v="Finalizado"/>
    <n v="2021"/>
    <n v="5"/>
    <n v="4"/>
  </r>
  <r>
    <m/>
    <x v="6"/>
    <x v="34"/>
    <s v="CARLA"/>
    <s v="FELIPE"/>
    <x v="8"/>
    <s v="FALHA NA CONEXÃO"/>
    <n v="1"/>
    <s v="Finalizado"/>
    <n v="2021"/>
    <n v="5"/>
    <n v="26"/>
  </r>
  <r>
    <m/>
    <x v="6"/>
    <x v="34"/>
    <s v="RAIRY"/>
    <s v="FELIPE"/>
    <x v="1"/>
    <s v="RECLAMAÇÃO MICROFONE C/ RUÍDOS"/>
    <n v="1"/>
    <s v="Finalizado"/>
    <n v="2021"/>
    <n v="5"/>
    <n v="17"/>
  </r>
  <r>
    <m/>
    <x v="6"/>
    <x v="50"/>
    <s v="CLAUDIA"/>
    <s v="FELIPE"/>
    <x v="1"/>
    <s v="MICROFONE BAIXO"/>
    <n v="1"/>
    <s v="Finalizado"/>
    <n v="2021"/>
    <n v="5"/>
    <n v="26"/>
  </r>
  <r>
    <m/>
    <x v="6"/>
    <x v="18"/>
    <s v="VIVIAN"/>
    <s v="EDSON"/>
    <x v="0"/>
    <s v="PILHAS DESCARREGADAS"/>
    <n v="1"/>
    <s v="Finalizado"/>
    <n v="2021"/>
    <n v="5"/>
    <n v="5"/>
  </r>
  <r>
    <m/>
    <x v="6"/>
    <x v="35"/>
    <s v="VIVIAN"/>
    <s v="FELIPE"/>
    <x v="6"/>
    <s v="DESLIGOU SOZINHA"/>
    <n v="1"/>
    <s v="Finalizado"/>
    <n v="2021"/>
    <n v="6"/>
    <n v="5"/>
  </r>
  <r>
    <m/>
    <x v="6"/>
    <x v="89"/>
    <s v="CLAUDIA"/>
    <s v="FELIPE"/>
    <x v="1"/>
    <s v="RECLAMAÇÃO DE CHIADO NO MICROFONE"/>
    <n v="1"/>
    <s v="Finalizado"/>
    <n v="2021"/>
    <n v="6"/>
    <n v="9"/>
  </r>
  <r>
    <m/>
    <x v="6"/>
    <x v="89"/>
    <s v="VIVIAN"/>
    <s v="EDSON"/>
    <x v="0"/>
    <s v="PILHAS DESCARREGADAS"/>
    <n v="1"/>
    <s v="Finalizado"/>
    <n v="2021"/>
    <n v="6"/>
    <n v="9"/>
  </r>
  <r>
    <m/>
    <x v="6"/>
    <x v="9"/>
    <s v="ELIZABETH"/>
    <s v="EDSON"/>
    <x v="3"/>
    <s v="NAVEGADOR NÃO ESTAVA ENTRANDO NO GOOGLE MEET"/>
    <n v="1"/>
    <s v="Finalizado"/>
    <n v="2021"/>
    <n v="6"/>
    <n v="22"/>
  </r>
  <r>
    <m/>
    <x v="16"/>
    <x v="78"/>
    <s v="GISELY"/>
    <s v="EDSON"/>
    <x v="0"/>
    <s v="PILHAS DESCARREGADAS"/>
    <n v="1"/>
    <s v="Finalizado"/>
    <n v="2021"/>
    <n v="1"/>
    <n v="23"/>
  </r>
  <r>
    <m/>
    <x v="16"/>
    <x v="83"/>
    <s v="GISELY"/>
    <s v="EDSON"/>
    <x v="0"/>
    <s v="PILHAS DESCARREGADAS"/>
    <n v="1"/>
    <s v="Finalizado"/>
    <n v="2021"/>
    <n v="2"/>
    <n v="8"/>
  </r>
  <r>
    <m/>
    <x v="16"/>
    <x v="45"/>
    <s v="ROSANA"/>
    <s v="FELIPE"/>
    <x v="6"/>
    <s v="REINICIANDO SOZINHO"/>
    <n v="1"/>
    <s v="Finalizado"/>
    <n v="2021"/>
    <n v="5"/>
    <n v="8"/>
  </r>
  <r>
    <m/>
    <x v="7"/>
    <x v="12"/>
    <s v="CLAUDIA"/>
    <s v="FELIPE"/>
    <x v="0"/>
    <s v="PILHAS DESCARREGADAS"/>
    <n v="1"/>
    <s v="Finalizado"/>
    <n v="2021"/>
    <n v="6"/>
    <n v="8"/>
  </r>
  <r>
    <m/>
    <x v="7"/>
    <x v="77"/>
    <s v="ROSANA"/>
    <s v="EDSON"/>
    <x v="1"/>
    <s v="RECLAMAÇÃO DE CHIADO NO MICROFONE"/>
    <n v="1"/>
    <s v="Finalizado"/>
    <n v="2021"/>
    <n v="1"/>
    <n v="8"/>
  </r>
  <r>
    <m/>
    <x v="7"/>
    <x v="86"/>
    <s v="CARLA"/>
    <s v="EDSON"/>
    <x v="0"/>
    <s v="PILHAS DESCARREGADAS"/>
    <n v="1"/>
    <s v="Finalizado"/>
    <n v="2021"/>
    <n v="2"/>
    <n v="9"/>
  </r>
  <r>
    <m/>
    <x v="7"/>
    <x v="86"/>
    <s v="CLAUDIA"/>
    <s v="EDSON"/>
    <x v="1"/>
    <s v="RECLAMAÇÃO DE CHIADO NO MICROFONE"/>
    <n v="1"/>
    <s v="Finalizado"/>
    <n v="2021"/>
    <n v="2"/>
    <n v="9"/>
  </r>
  <r>
    <m/>
    <x v="7"/>
    <x v="81"/>
    <s v="FLÁVIA"/>
    <s v="EDSON"/>
    <x v="1"/>
    <s v="RECLAMAÇÃO DE CHIADO NO MICROFONE"/>
    <n v="1"/>
    <s v="Finalizado"/>
    <n v="2021"/>
    <n v="2"/>
    <n v="12"/>
  </r>
  <r>
    <m/>
    <x v="7"/>
    <x v="81"/>
    <s v="GISELY"/>
    <s v="EDSON"/>
    <x v="0"/>
    <s v="PILHAS DESCARREGADAS"/>
    <n v="1"/>
    <s v="Finalizado"/>
    <n v="2021"/>
    <n v="2"/>
    <n v="15"/>
  </r>
  <r>
    <m/>
    <x v="7"/>
    <x v="74"/>
    <s v="ANA PAULA"/>
    <s v="EDSON"/>
    <x v="1"/>
    <s v="RECLAMAÇÃO MICROFONE C/ RUÍDOS"/>
    <n v="1"/>
    <s v="Finalizado"/>
    <n v="2021"/>
    <n v="2"/>
    <n v="17"/>
  </r>
  <r>
    <m/>
    <x v="7"/>
    <x v="90"/>
    <s v="LUCAS "/>
    <s v="EDSON"/>
    <x v="6"/>
    <s v="CÂMERA DESLIGADA"/>
    <n v="1"/>
    <s v="Finalizado"/>
    <n v="2021"/>
    <n v="2"/>
    <n v="17"/>
  </r>
  <r>
    <m/>
    <x v="7"/>
    <x v="84"/>
    <s v="RAIRY"/>
    <s v="EDSON"/>
    <x v="11"/>
    <s v="PILHAS DESCARREGADAS "/>
    <n v="1"/>
    <s v="Finalizado"/>
    <n v="2021"/>
    <n v="3"/>
    <n v="23"/>
  </r>
  <r>
    <m/>
    <x v="7"/>
    <x v="84"/>
    <s v="RAIRY"/>
    <s v="EDSON"/>
    <x v="20"/>
    <s v="ATUALIZAÇÃO DE COMPUTADOR"/>
    <n v="1"/>
    <s v="Finalizado"/>
    <n v="2021"/>
    <n v="3"/>
    <n v="30"/>
  </r>
  <r>
    <m/>
    <x v="7"/>
    <x v="84"/>
    <s v="RAIRY"/>
    <s v="EDSON"/>
    <x v="1"/>
    <s v="RECLAMAÇÃO DE CHIADO NO MICROFONE"/>
    <n v="1"/>
    <s v="Finalizado"/>
    <n v="2021"/>
    <n v="3"/>
    <n v="12"/>
  </r>
  <r>
    <m/>
    <x v="7"/>
    <x v="84"/>
    <s v="RAIRY"/>
    <s v="EDSON"/>
    <x v="1"/>
    <s v="RECLAMAÇÃO DE CHIADO NO MICROFONE"/>
    <n v="1"/>
    <s v="Finalizado"/>
    <n v="2021"/>
    <n v="3"/>
    <n v="12"/>
  </r>
  <r>
    <m/>
    <x v="7"/>
    <x v="87"/>
    <s v="GISELY"/>
    <s v="EDSON"/>
    <x v="1"/>
    <s v="RECLAMAÇÃO DE CHIADO NO MICROFONE"/>
    <n v="1"/>
    <s v="Finalizado"/>
    <n v="2021"/>
    <n v="3"/>
    <n v="13"/>
  </r>
  <r>
    <m/>
    <x v="7"/>
    <x v="87"/>
    <s v="FLÁVIA"/>
    <s v="EDSON"/>
    <x v="1"/>
    <s v="RECLAMAÇÃO MICROFONE C/ RUÍDOS"/>
    <n v="1"/>
    <s v="Finalizado"/>
    <n v="2021"/>
    <n v="3"/>
    <n v="19"/>
  </r>
  <r>
    <m/>
    <x v="7"/>
    <x v="56"/>
    <s v="ROSANA"/>
    <s v="EDSON"/>
    <x v="1"/>
    <s v="RECLAMAÇÃO DE CHIADO NO MICROFONE"/>
    <n v="1"/>
    <s v="Finalizado"/>
    <n v="2021"/>
    <n v="3"/>
    <n v="19"/>
  </r>
  <r>
    <m/>
    <x v="7"/>
    <x v="57"/>
    <s v="ANA PAULA"/>
    <s v="EDSON"/>
    <x v="1"/>
    <s v="RECLAMAÇÃO DE CHIADO NO MICROFONE"/>
    <n v="1"/>
    <s v="Finalizado"/>
    <n v="2021"/>
    <n v="3"/>
    <n v="5"/>
  </r>
  <r>
    <m/>
    <x v="7"/>
    <x v="91"/>
    <s v="CLAUDIA"/>
    <s v="EDSON"/>
    <x v="1"/>
    <s v="RECLAMAÇÃO MICROFONE C/ RUÍDOS"/>
    <n v="1"/>
    <s v="Finalizado"/>
    <n v="2021"/>
    <n v="3"/>
    <n v="7"/>
  </r>
  <r>
    <m/>
    <x v="7"/>
    <x v="91"/>
    <s v="ANDRÉ"/>
    <s v="EDSON"/>
    <x v="11"/>
    <s v="PILHAS DESCARREGADAS "/>
    <n v="1"/>
    <s v="Finalizado"/>
    <n v="2021"/>
    <n v="3"/>
    <n v="10"/>
  </r>
  <r>
    <m/>
    <x v="7"/>
    <x v="32"/>
    <s v="PROFESSORES"/>
    <s v="FELIPE"/>
    <x v="1"/>
    <s v="RECLAMAÇÃO MICROFONE C/ RUÍDOS"/>
    <n v="1"/>
    <s v="Finalizado"/>
    <n v="2021"/>
    <n v="3"/>
    <n v="11"/>
  </r>
  <r>
    <m/>
    <x v="7"/>
    <x v="0"/>
    <s v="PROFESSORES"/>
    <s v="FELIPE"/>
    <x v="0"/>
    <s v="PILHAS DESCARREGADAS "/>
    <n v="1"/>
    <s v="Finalizado"/>
    <n v="2021"/>
    <n v="3"/>
    <n v="12"/>
  </r>
  <r>
    <m/>
    <x v="7"/>
    <x v="3"/>
    <s v="PROFESSORES"/>
    <s v="EDSON"/>
    <x v="1"/>
    <s v="RECLAMAÇÃO MICROFONE C/ RUÍDOS"/>
    <n v="1"/>
    <s v="Finalizado"/>
    <n v="2021"/>
    <n v="4"/>
    <n v="12"/>
  </r>
  <r>
    <m/>
    <x v="7"/>
    <x v="3"/>
    <s v="PROFESSORES"/>
    <s v="FELIPE"/>
    <x v="0"/>
    <s v="PILHAS DESCARREGADAS "/>
    <n v="1"/>
    <s v="Finalizado"/>
    <n v="2021"/>
    <n v="4"/>
    <n v="14"/>
  </r>
  <r>
    <m/>
    <x v="7"/>
    <x v="4"/>
    <s v="PROFESSORES"/>
    <s v="FELIPE"/>
    <x v="6"/>
    <s v="REINICIANDO SOZINHO"/>
    <n v="1"/>
    <s v="Finalizado"/>
    <n v="2021"/>
    <n v="4"/>
    <n v="17"/>
  </r>
  <r>
    <m/>
    <x v="7"/>
    <x v="5"/>
    <s v="ROSANA"/>
    <s v="EDSON"/>
    <x v="1"/>
    <s v="RECLAMAÇÃO MICROFONE C/ RUÍDOS"/>
    <n v="1"/>
    <s v="Finalizado"/>
    <n v="2021"/>
    <n v="4"/>
    <n v="18"/>
  </r>
  <r>
    <m/>
    <x v="7"/>
    <x v="5"/>
    <s v="ROSANA"/>
    <s v="EDSON"/>
    <x v="0"/>
    <s v="PILHAS DESCARREGADAS "/>
    <n v="1"/>
    <s v="Finalizado"/>
    <n v="2021"/>
    <n v="4"/>
    <n v="19"/>
  </r>
  <r>
    <m/>
    <x v="7"/>
    <x v="17"/>
    <s v="CLAUDIA"/>
    <s v="FELIPE"/>
    <x v="6"/>
    <s v="CÂMERA DESLIGOU"/>
    <n v="1"/>
    <s v="Finalizado"/>
    <n v="2021"/>
    <n v="5"/>
    <n v="19"/>
  </r>
  <r>
    <m/>
    <x v="7"/>
    <x v="71"/>
    <s v="GABI PEDRON"/>
    <s v="EDSON"/>
    <x v="1"/>
    <s v="RECLAMAÇÃO MICROFONE C/ RUÍDOS"/>
    <n v="1"/>
    <s v="Finalizado"/>
    <n v="2021"/>
    <n v="5"/>
    <n v="1"/>
  </r>
  <r>
    <m/>
    <x v="7"/>
    <x v="79"/>
    <s v="ROSANA"/>
    <s v="FELIPE"/>
    <x v="1"/>
    <s v="RECLAMAÇÃO MICROFONE C/ RUÍDOS"/>
    <n v="1"/>
    <s v="Finalizado"/>
    <n v="2021"/>
    <n v="5"/>
    <n v="8"/>
  </r>
  <r>
    <m/>
    <x v="7"/>
    <x v="49"/>
    <s v="JOÃO"/>
    <s v="FELIPE"/>
    <x v="1"/>
    <s v="RECLAMAÇÃO MICROFONE C/ RUÍDOS"/>
    <n v="1"/>
    <s v="Finalizado"/>
    <n v="2021"/>
    <n v="5"/>
    <n v="15"/>
  </r>
  <r>
    <m/>
    <x v="7"/>
    <x v="50"/>
    <s v="CLAUDIA"/>
    <s v="FELIPE"/>
    <x v="1"/>
    <s v="RECLAMAÇÃO MICROFONE C/ RUÍDOS"/>
    <n v="1"/>
    <s v="Finalizado"/>
    <n v="2021"/>
    <n v="5"/>
    <n v="15"/>
  </r>
  <r>
    <m/>
    <x v="7"/>
    <x v="50"/>
    <s v="CLAUDIA"/>
    <s v="FELIPE"/>
    <x v="3"/>
    <s v="COMPUTADOR ATUALIZANDO"/>
    <n v="1"/>
    <s v="Finalizado"/>
    <n v="2021"/>
    <n v="5"/>
    <n v="15"/>
  </r>
  <r>
    <m/>
    <x v="7"/>
    <x v="38"/>
    <s v="ANA PAULA"/>
    <s v="FELIPE"/>
    <x v="0"/>
    <s v="PILHAS DESCARREGADAS "/>
    <n v="1"/>
    <s v="Finalizado"/>
    <n v="2021"/>
    <n v="5"/>
    <n v="18"/>
  </r>
  <r>
    <m/>
    <x v="7"/>
    <x v="39"/>
    <s v="ROSANA"/>
    <s v="EDSON"/>
    <x v="4"/>
    <s v="A PROFESSORA NÃO ESTAVA OUVINDO OS ALUNOS DE CASA"/>
    <n v="1"/>
    <s v="Finalizado"/>
    <n v="2021"/>
    <n v="4"/>
    <n v="2"/>
  </r>
  <r>
    <m/>
    <x v="7"/>
    <x v="40"/>
    <s v="LUCAS "/>
    <s v="FELIPE"/>
    <x v="2"/>
    <s v="RECLAMAÇÃO MICROFONE C/ RUÍDOS"/>
    <n v="1"/>
    <s v="Finalizado"/>
    <n v="2021"/>
    <n v="4"/>
    <n v="5"/>
  </r>
  <r>
    <m/>
    <x v="7"/>
    <x v="5"/>
    <s v="CLAUDIA"/>
    <s v="FELIPE"/>
    <x v="2"/>
    <s v="RECLAMAÇÃO MICROFONE C/ RUÍDOS"/>
    <n v="1"/>
    <s v="Finalizado"/>
    <n v="2021"/>
    <n v="4"/>
    <n v="6"/>
  </r>
  <r>
    <m/>
    <x v="7"/>
    <x v="5"/>
    <s v="ANDRÉ"/>
    <s v="FELIPE"/>
    <x v="6"/>
    <s v="CÂMERA DESLIGOU"/>
    <n v="1"/>
    <s v="Finalizado"/>
    <n v="2021"/>
    <n v="4"/>
    <n v="8"/>
  </r>
  <r>
    <m/>
    <x v="7"/>
    <x v="35"/>
    <s v="FLAVIA"/>
    <s v="EDSON"/>
    <x v="0"/>
    <s v="PILHAS DESCARREGADAS "/>
    <n v="1"/>
    <s v="Finalizado"/>
    <n v="2021"/>
    <n v="6"/>
    <n v="9"/>
  </r>
  <r>
    <m/>
    <x v="7"/>
    <x v="9"/>
    <s v="FLAVIA"/>
    <s v="EDSON"/>
    <x v="1"/>
    <s v="MICROFONE FALHANDO"/>
    <n v="1"/>
    <s v="Finalizado"/>
    <n v="2021"/>
    <n v="6"/>
    <n v="26"/>
  </r>
  <r>
    <m/>
    <x v="7"/>
    <x v="11"/>
    <s v="FLAVIA"/>
    <s v="EDSON"/>
    <x v="1"/>
    <s v="INTERFERENCIA DE SINAL"/>
    <n v="1"/>
    <s v="Finalizado"/>
    <n v="2021"/>
    <n v="6"/>
    <n v="27"/>
  </r>
  <r>
    <m/>
    <x v="7"/>
    <x v="11"/>
    <s v="ANA PAULA"/>
    <s v="FELIPE"/>
    <x v="0"/>
    <s v="PILHAS DESCARREGADAS "/>
    <n v="1"/>
    <s v="Finalizado"/>
    <n v="2021"/>
    <n v="6"/>
    <n v="28"/>
  </r>
  <r>
    <m/>
    <x v="7"/>
    <x v="11"/>
    <s v="LUCAS "/>
    <s v="FELIPE"/>
    <x v="1"/>
    <s v="RECLAMAÇÃO DE CHIADO NO MICROFONE"/>
    <n v="1"/>
    <s v="Finalizado"/>
    <n v="2021"/>
    <n v="6"/>
    <n v="29"/>
  </r>
  <r>
    <m/>
    <x v="7"/>
    <x v="42"/>
    <s v="GABI "/>
    <s v="FELIPE"/>
    <x v="0"/>
    <s v="PILHAS DESCARREGADAS "/>
    <n v="1"/>
    <s v="Finalizado"/>
    <n v="2021"/>
    <n v="6"/>
    <n v="30"/>
  </r>
  <r>
    <m/>
    <x v="17"/>
    <x v="84"/>
    <s v="ROGÉRIO"/>
    <s v="FELIPE"/>
    <x v="0"/>
    <s v="PILHAS DESCARREGADAS "/>
    <n v="1"/>
    <s v="Finalizado"/>
    <n v="2021"/>
    <n v="3"/>
    <n v="8"/>
  </r>
  <r>
    <m/>
    <x v="17"/>
    <x v="84"/>
    <s v="ROSANA"/>
    <s v="EDSON"/>
    <x v="1"/>
    <s v="RECLAMAÇÃO DE CHIADO NO MICROFONE"/>
    <n v="1"/>
    <s v="Finalizado"/>
    <n v="2021"/>
    <n v="3"/>
    <n v="8"/>
  </r>
  <r>
    <m/>
    <x v="17"/>
    <x v="87"/>
    <s v="ANA PAULA"/>
    <s v="EDSON"/>
    <x v="1"/>
    <s v="RECLAMAÇÃO DE CHIADO NO MICROFONE"/>
    <n v="1"/>
    <s v="Finalizado"/>
    <n v="2021"/>
    <n v="3"/>
    <n v="9"/>
  </r>
  <r>
    <m/>
    <x v="17"/>
    <x v="0"/>
    <s v="PROFESSORES"/>
    <s v="FELIPE"/>
    <x v="1"/>
    <s v="MICROFONE E SOM"/>
    <n v="1"/>
    <s v="Finalizado"/>
    <n v="2021"/>
    <n v="3"/>
    <n v="30"/>
  </r>
  <r>
    <m/>
    <x v="17"/>
    <x v="0"/>
    <s v="PROFESSORES"/>
    <s v="FELIPE"/>
    <x v="1"/>
    <s v="RECLAMAÇÃO MICROFONE C/ RUÍDOS"/>
    <n v="1"/>
    <s v="Finalizado"/>
    <n v="2021"/>
    <n v="3"/>
    <n v="30"/>
  </r>
  <r>
    <m/>
    <x v="17"/>
    <x v="4"/>
    <s v="PROFESSORES"/>
    <s v="EDSON"/>
    <x v="1"/>
    <s v="RECLAMAÇÃO MICROFONE C/ RUÍDOS"/>
    <n v="1"/>
    <s v="Finalizado"/>
    <n v="2021"/>
    <n v="4"/>
    <n v="13"/>
  </r>
  <r>
    <m/>
    <x v="17"/>
    <x v="36"/>
    <s v="CARLA"/>
    <s v="FELIPE"/>
    <x v="0"/>
    <s v="PILHAS DESCARREGADAS "/>
    <n v="1"/>
    <s v="Finalizado"/>
    <n v="2021"/>
    <n v="4"/>
    <n v="15"/>
  </r>
  <r>
    <m/>
    <x v="17"/>
    <x v="5"/>
    <s v="ANA PAULA"/>
    <s v="FELIPE"/>
    <x v="6"/>
    <s v="CÂMERA DESLIGOU SOZINHA"/>
    <n v="1"/>
    <s v="Finalizado"/>
    <n v="2021"/>
    <n v="4"/>
    <n v="19"/>
  </r>
  <r>
    <m/>
    <x v="17"/>
    <x v="68"/>
    <s v="YAN"/>
    <s v="FELIPE"/>
    <x v="2"/>
    <s v="RECLAMAÇÃO MICROFONE C/ RUÍDOS"/>
    <n v="1"/>
    <s v="Finalizado"/>
    <n v="2021"/>
    <n v="4"/>
    <n v="22"/>
  </r>
  <r>
    <m/>
    <x v="17"/>
    <x v="7"/>
    <s v="CARLA"/>
    <s v="FELIPE"/>
    <x v="0"/>
    <s v="PILHAS DESCARREGADAS "/>
    <n v="1"/>
    <s v="Finalizado"/>
    <n v="2021"/>
    <n v="4"/>
    <n v="30"/>
  </r>
  <r>
    <m/>
    <x v="17"/>
    <x v="34"/>
    <s v="VIVIAN"/>
    <s v="FELIPE"/>
    <x v="0"/>
    <s v="PILHAS DESCARREGADAS "/>
    <n v="1"/>
    <s v="Finalizado"/>
    <n v="2021"/>
    <n v="5"/>
    <n v="6"/>
  </r>
  <r>
    <m/>
    <x v="17"/>
    <x v="49"/>
    <s v="ANA PAULA"/>
    <s v="EDSON"/>
    <x v="1"/>
    <s v="RECLAMAÇÃO MICROFONE C/ RUÍDOS"/>
    <n v="1"/>
    <s v="Finalizado"/>
    <n v="2021"/>
    <n v="5"/>
    <n v="11"/>
  </r>
  <r>
    <m/>
    <x v="17"/>
    <x v="44"/>
    <s v="CLAUDIA"/>
    <s v="FELIPE"/>
    <x v="0"/>
    <s v="PILHAS DESCARREGADAS "/>
    <n v="1"/>
    <s v="Finalizado"/>
    <n v="2021"/>
    <n v="5"/>
    <n v="13"/>
  </r>
  <r>
    <m/>
    <x v="17"/>
    <x v="38"/>
    <s v="ROSANA"/>
    <s v="FELIPE"/>
    <x v="1"/>
    <s v="RECLAMAÇÃO MICROFONE C/ RUÍDOS"/>
    <n v="1"/>
    <s v="Finalizado"/>
    <n v="2021"/>
    <n v="5"/>
    <n v="14"/>
  </r>
  <r>
    <m/>
    <x v="17"/>
    <x v="51"/>
    <s v="CLAUDIA"/>
    <s v="FELIPE"/>
    <x v="0"/>
    <s v="PILHAS DESCARREGADAS "/>
    <n v="1"/>
    <s v="Finalizado"/>
    <n v="2021"/>
    <n v="5"/>
    <n v="20"/>
  </r>
  <r>
    <m/>
    <x v="17"/>
    <x v="8"/>
    <s v="VIVIAN"/>
    <s v="FELIPE"/>
    <x v="6"/>
    <m/>
    <n v="1"/>
    <s v="Finalizado"/>
    <n v="2021"/>
    <n v="5"/>
    <n v="24"/>
  </r>
  <r>
    <m/>
    <x v="17"/>
    <x v="8"/>
    <s v="VIVIAN"/>
    <s v="FELIPE"/>
    <x v="6"/>
    <m/>
    <n v="1"/>
    <s v="Finalizado"/>
    <n v="2021"/>
    <n v="5"/>
    <n v="24"/>
  </r>
  <r>
    <m/>
    <x v="17"/>
    <x v="8"/>
    <s v="VIVIAN"/>
    <s v="FELIPE"/>
    <x v="1"/>
    <s v="RECLAMAÇÃO MICROFONE C/ RUÍDOS"/>
    <n v="1"/>
    <s v="Finalizado"/>
    <n v="2021"/>
    <n v="5"/>
    <n v="24"/>
  </r>
  <r>
    <m/>
    <x v="17"/>
    <x v="8"/>
    <s v="VIVIAN"/>
    <s v="FELIPE"/>
    <x v="1"/>
    <s v="RECLAMAÇÃO MICROFONE C/ RUÍDOS"/>
    <n v="1"/>
    <s v="Finalizado"/>
    <n v="2021"/>
    <n v="5"/>
    <n v="24"/>
  </r>
  <r>
    <m/>
    <x v="17"/>
    <x v="9"/>
    <s v="FERNANDA"/>
    <s v="FELIPE"/>
    <x v="4"/>
    <s v="SOM NÃO ESTAVA SAINDO"/>
    <n v="1"/>
    <s v="Finalizado"/>
    <n v="2021"/>
    <n v="6"/>
    <n v="8"/>
  </r>
  <r>
    <m/>
    <x v="17"/>
    <x v="9"/>
    <s v="ROGÉRIO"/>
    <s v="FELIPE"/>
    <x v="0"/>
    <s v="PILHAS DESCARREGADAS "/>
    <n v="1"/>
    <s v="Finalizado"/>
    <n v="2021"/>
    <n v="6"/>
    <n v="8"/>
  </r>
  <r>
    <m/>
    <x v="17"/>
    <x v="46"/>
    <s v="NATALIA"/>
    <s v="EDSON"/>
    <x v="4"/>
    <s v="ENTRADA DE AUDIO COM DEFEITO"/>
    <n v="1"/>
    <s v="Finalizado"/>
    <n v="2021"/>
    <n v="6"/>
    <n v="9"/>
  </r>
  <r>
    <m/>
    <x v="18"/>
    <x v="73"/>
    <s v="GISELY"/>
    <s v="EDSON"/>
    <x v="1"/>
    <s v="RECLAMAÇÃO MICROFONE C/ RUÍDOS"/>
    <n v="1"/>
    <s v="Finalizado"/>
    <n v="2021"/>
    <n v="2"/>
    <n v="2"/>
  </r>
  <r>
    <m/>
    <x v="18"/>
    <x v="86"/>
    <s v="CARLA"/>
    <s v="EDSON"/>
    <x v="11"/>
    <s v="PILHAS DESCARREGADAS "/>
    <n v="1"/>
    <s v="Finalizado"/>
    <n v="2021"/>
    <n v="2"/>
    <n v="5"/>
  </r>
  <r>
    <m/>
    <x v="18"/>
    <x v="92"/>
    <s v="CARLA"/>
    <s v="EDSON"/>
    <x v="11"/>
    <s v="PILHAS DESCARREGADAS "/>
    <n v="1"/>
    <s v="Finalizado"/>
    <n v="2021"/>
    <n v="2"/>
    <n v="12"/>
  </r>
  <r>
    <m/>
    <x v="18"/>
    <x v="67"/>
    <s v="CLAUDIA"/>
    <s v="EDSON"/>
    <x v="21"/>
    <s v="PROJETOR NÃO ESTÁ LIGANDO"/>
    <n v="1"/>
    <s v="Finalizado"/>
    <n v="2021"/>
    <n v="2"/>
    <n v="18"/>
  </r>
  <r>
    <m/>
    <x v="18"/>
    <x v="67"/>
    <s v="CARLA"/>
    <s v="EDSON"/>
    <x v="1"/>
    <s v="RECLAMAÇÃO MICROFONE C/ RUÍDOS"/>
    <n v="1"/>
    <s v="Finalizado"/>
    <n v="2021"/>
    <n v="2"/>
    <n v="18"/>
  </r>
  <r>
    <m/>
    <x v="18"/>
    <x v="16"/>
    <s v="ELIZABETH"/>
    <s v="FELIPE"/>
    <x v="1"/>
    <s v="MICROFONE MAL CONTATO"/>
    <n v="1"/>
    <s v="Finalizado"/>
    <n v="2021"/>
    <n v="5"/>
    <n v="4"/>
  </r>
  <r>
    <m/>
    <x v="18"/>
    <x v="79"/>
    <s v="RAIRY"/>
    <s v="FELIPE"/>
    <x v="1"/>
    <s v="RECLAMAÇÃO MICROFONE C/ RUÍDOS"/>
    <n v="1"/>
    <s v="Finalizado"/>
    <n v="2021"/>
    <n v="5"/>
    <n v="10"/>
  </r>
  <r>
    <m/>
    <x v="18"/>
    <x v="49"/>
    <s v="LUCAS "/>
    <s v="FELIPE"/>
    <x v="0"/>
    <s v="PILHAS DESCARREGADAS "/>
    <n v="1"/>
    <s v="Finalizado"/>
    <n v="2021"/>
    <n v="5"/>
    <n v="11"/>
  </r>
  <r>
    <m/>
    <x v="18"/>
    <x v="39"/>
    <s v="CLAUDIA"/>
    <s v="FELIPE"/>
    <x v="0"/>
    <s v="PILHAS DESCARREGADAS "/>
    <n v="1"/>
    <s v="Finalizado"/>
    <n v="2021"/>
    <n v="4"/>
    <n v="17"/>
  </r>
  <r>
    <m/>
    <x v="18"/>
    <x v="40"/>
    <s v="GISELY"/>
    <s v="FELIPE"/>
    <x v="6"/>
    <m/>
    <n v="1"/>
    <s v="Finalizado"/>
    <n v="2021"/>
    <n v="4"/>
    <n v="18"/>
  </r>
  <r>
    <m/>
    <x v="18"/>
    <x v="51"/>
    <s v="CARLA"/>
    <s v="FELIPE"/>
    <x v="0"/>
    <s v="PILHAS DESCARREGADAS "/>
    <n v="1"/>
    <s v="Finalizado"/>
    <n v="2021"/>
    <n v="5"/>
    <n v="20"/>
  </r>
  <r>
    <m/>
    <x v="18"/>
    <x v="51"/>
    <s v="RAIRY"/>
    <s v="FELIPE"/>
    <x v="6"/>
    <m/>
    <n v="1"/>
    <s v="Finalizado"/>
    <n v="2021"/>
    <n v="5"/>
    <n v="20"/>
  </r>
  <r>
    <m/>
    <x v="18"/>
    <x v="45"/>
    <s v="ROSANA"/>
    <s v="EDSON"/>
    <x v="0"/>
    <s v="PILHAS DESCARREGADAS "/>
    <n v="1"/>
    <s v="Finalizado"/>
    <n v="2021"/>
    <n v="5"/>
    <n v="26"/>
  </r>
  <r>
    <m/>
    <x v="18"/>
    <x v="45"/>
    <s v="ROSANA"/>
    <s v="FELIPE"/>
    <x v="4"/>
    <s v="ALTERAR SAIDA DE SOM"/>
    <n v="1"/>
    <s v="Finalizado"/>
    <n v="2021"/>
    <n v="5"/>
    <n v="26"/>
  </r>
  <r>
    <m/>
    <x v="18"/>
    <x v="72"/>
    <s v="PAMELA"/>
    <s v="FELIPE"/>
    <x v="0"/>
    <s v="MICROFONE SEM PILHAS"/>
    <n v="1"/>
    <s v="Finalizado"/>
    <n v="2021"/>
    <n v="6"/>
    <n v="16"/>
  </r>
  <r>
    <m/>
    <x v="19"/>
    <x v="21"/>
    <s v="THAIS"/>
    <s v="FELIPE"/>
    <x v="9"/>
    <s v="O CABO DO PROJETOR ESTAVA DESCONECTADA DA TOMADA"/>
    <n v="1"/>
    <s v="Finalizado"/>
    <n v="2021"/>
    <n v="6"/>
    <n v="10"/>
  </r>
  <r>
    <m/>
    <x v="2"/>
    <x v="47"/>
    <s v="PROFESSORES"/>
    <s v="EDSON"/>
    <x v="12"/>
    <s v="EQUIPAMENTO CÂMERA/MICROF."/>
    <n v="1"/>
    <s v="Finalizado"/>
    <n v="2021"/>
    <n v="3"/>
    <n v="18"/>
  </r>
  <r>
    <m/>
    <x v="3"/>
    <x v="59"/>
    <s v="PROFESSORES"/>
    <s v="EDSON"/>
    <x v="8"/>
    <s v="INSTABILIDADE GERAL DE INTERNET"/>
    <n v="1"/>
    <s v="Finalizado"/>
    <n v="2021"/>
    <n v="3"/>
    <n v="19"/>
  </r>
  <r>
    <m/>
    <x v="15"/>
    <x v="48"/>
    <s v="PROFESSORES"/>
    <s v="EDSON"/>
    <x v="8"/>
    <s v="PICO DE INTERNET"/>
    <n v="1"/>
    <s v="Finalizado"/>
    <n v="2021"/>
    <n v="4"/>
    <n v="16"/>
  </r>
  <r>
    <m/>
    <x v="5"/>
    <x v="68"/>
    <s v="PROFESSORES"/>
    <s v="EDSON"/>
    <x v="8"/>
    <s v="PICO DE INTERNET"/>
    <n v="1"/>
    <s v="Finalizado"/>
    <n v="2021"/>
    <n v="4"/>
    <n v="22"/>
  </r>
  <r>
    <m/>
    <x v="6"/>
    <x v="37"/>
    <s v="PROFESSORES"/>
    <s v="EDSON"/>
    <x v="8"/>
    <s v="CONEXÃO CAIU"/>
    <n v="1"/>
    <s v="Finalizado"/>
    <n v="2021"/>
    <n v="5"/>
    <n v="3"/>
  </r>
  <r>
    <m/>
    <x v="8"/>
    <x v="71"/>
    <s v="PROFESSORES"/>
    <s v="EDSON"/>
    <x v="8"/>
    <s v="CONEXÃO CAIU"/>
    <n v="1"/>
    <s v="Finalizado"/>
    <n v="2021"/>
    <n v="5"/>
    <n v="7"/>
  </r>
  <r>
    <m/>
    <x v="12"/>
    <x v="79"/>
    <s v="PROFESSORES"/>
    <s v="EDSON"/>
    <x v="8"/>
    <s v="CONEXÃO CAIU"/>
    <n v="1"/>
    <s v="Finalizado"/>
    <n v="2021"/>
    <n v="5"/>
    <n v="10"/>
  </r>
  <r>
    <m/>
    <x v="17"/>
    <x v="49"/>
    <s v="PROFESSORES"/>
    <s v="EDSON"/>
    <x v="8"/>
    <s v="PROBLEMA NA CONEXÃO"/>
    <n v="1"/>
    <s v="Finalizado"/>
    <n v="2021"/>
    <n v="5"/>
    <n v="11"/>
  </r>
  <r>
    <m/>
    <x v="18"/>
    <x v="50"/>
    <s v="PROFESSORES"/>
    <s v="EDSON"/>
    <x v="8"/>
    <s v="PROBLEMA CONEXÃO"/>
    <n v="1"/>
    <s v="Em andamento"/>
    <n v="2021"/>
    <n v="5"/>
    <n v="12"/>
  </r>
  <r>
    <m/>
    <x v="2"/>
    <x v="38"/>
    <s v="PROFESSORES"/>
    <s v="EDSON"/>
    <x v="8"/>
    <s v="QUEDA DE INTERNET"/>
    <n v="1"/>
    <s v="Manutenção"/>
    <n v="2021"/>
    <n v="5"/>
    <n v="14"/>
  </r>
  <r>
    <m/>
    <x v="5"/>
    <x v="42"/>
    <s v="CLAUDIA"/>
    <s v="FELIPE"/>
    <x v="3"/>
    <s v="(SPONTE) ATUALIZAR E AGUARDAR CARREGAR"/>
    <n v="1"/>
    <s v="Manutenção"/>
    <n v="2021"/>
    <n v="6"/>
    <n v="18"/>
  </r>
  <r>
    <m/>
    <x v="11"/>
    <x v="93"/>
    <s v="PROFESSORES"/>
    <s v="FELIPE"/>
    <x v="0"/>
    <s v="PILHAS DESCARREGADAS"/>
    <n v="1"/>
    <s v="Finalizado"/>
    <n v="2021"/>
    <n v="8"/>
    <n v="4"/>
  </r>
  <r>
    <m/>
    <x v="8"/>
    <x v="94"/>
    <s v="PROFESSORES"/>
    <s v="FELIPE"/>
    <x v="2"/>
    <s v="PROBLEMA COM O VOLUME "/>
    <n v="1"/>
    <s v="Finalizado"/>
    <n v="2021"/>
    <n v="8"/>
    <n v="5"/>
  </r>
  <r>
    <m/>
    <x v="11"/>
    <x v="95"/>
    <s v="PROFESSORES"/>
    <s v="FELIPE"/>
    <x v="0"/>
    <s v="PILHAS DESCARREGADAS"/>
    <n v="1"/>
    <s v="Finalizado"/>
    <n v="2021"/>
    <n v="8"/>
    <n v="6"/>
  </r>
  <r>
    <m/>
    <x v="11"/>
    <x v="95"/>
    <s v="PROFESSORES"/>
    <s v="EDSON"/>
    <x v="2"/>
    <s v="MICROFONE SEM PILHAS"/>
    <n v="1"/>
    <s v="Finalizado"/>
    <n v="2021"/>
    <n v="8"/>
    <n v="6"/>
  </r>
  <r>
    <m/>
    <x v="3"/>
    <x v="95"/>
    <s v="PROFESSORES"/>
    <s v="EDSON"/>
    <x v="6"/>
    <s v="CÂMERA DESLIGOU"/>
    <n v="1"/>
    <s v="Finalizado"/>
    <n v="2021"/>
    <n v="8"/>
    <n v="6"/>
  </r>
  <r>
    <m/>
    <x v="1"/>
    <x v="95"/>
    <s v="PROFESSORES"/>
    <s v="FELIPE"/>
    <x v="3"/>
    <s v="COMPUTADOR COM PROBLEMAS"/>
    <n v="1"/>
    <s v="Finalizado"/>
    <n v="2021"/>
    <n v="8"/>
    <n v="6"/>
  </r>
  <r>
    <m/>
    <x v="2"/>
    <x v="95"/>
    <s v="PROFESSORES"/>
    <s v="FELIPE"/>
    <x v="3"/>
    <s v="COMPUTADOR COM PROBLEMAS"/>
    <n v="1"/>
    <s v="Finalizado"/>
    <n v="2021"/>
    <n v="8"/>
    <n v="6"/>
  </r>
  <r>
    <m/>
    <x v="8"/>
    <x v="95"/>
    <s v="PROFESSORES"/>
    <s v="DANIEL"/>
    <x v="0"/>
    <s v="PILHAS DESCARREGADAS"/>
    <n v="1"/>
    <s v="Finalizado"/>
    <n v="2021"/>
    <n v="8"/>
    <n v="6"/>
  </r>
  <r>
    <m/>
    <x v="2"/>
    <x v="95"/>
    <s v="PROFESSORES"/>
    <s v="DANIEL"/>
    <x v="0"/>
    <s v="PILHAS DESCARREGADAS"/>
    <n v="1"/>
    <s v="Finalizado"/>
    <n v="2021"/>
    <n v="8"/>
    <n v="6"/>
  </r>
  <r>
    <m/>
    <x v="3"/>
    <x v="95"/>
    <s v="PROFESSORES"/>
    <s v="FELIPE"/>
    <x v="2"/>
    <s v="PROBLEMA COM O VOLUME "/>
    <n v="1"/>
    <s v="Finalizado"/>
    <n v="2021"/>
    <n v="8"/>
    <n v="6"/>
  </r>
  <r>
    <m/>
    <x v="11"/>
    <x v="96"/>
    <s v="PROFESSORES"/>
    <s v="FELIPE"/>
    <x v="2"/>
    <s v="MICROFONE SEM PILHAS"/>
    <n v="1"/>
    <s v="Finalizado"/>
    <n v="2021"/>
    <n v="8"/>
    <n v="9"/>
  </r>
  <r>
    <m/>
    <x v="10"/>
    <x v="96"/>
    <s v="PROFESSORES"/>
    <s v="EDSON"/>
    <x v="2"/>
    <s v="MICROFONE SEM PILHAS"/>
    <n v="1"/>
    <s v="Finalizado"/>
    <n v="2021"/>
    <n v="8"/>
    <n v="9"/>
  </r>
  <r>
    <m/>
    <x v="13"/>
    <x v="96"/>
    <s v="PROFESSORES"/>
    <s v="EDSON"/>
    <x v="3"/>
    <s v="COMPUTADOR COM PROBLEMAS"/>
    <n v="1"/>
    <s v="Finalizado"/>
    <n v="2021"/>
    <n v="8"/>
    <n v="9"/>
  </r>
  <r>
    <m/>
    <x v="3"/>
    <x v="96"/>
    <s v="PROFESSORES"/>
    <s v="DANIEL"/>
    <x v="2"/>
    <s v="MICROFONE SEM PILHAS"/>
    <n v="1"/>
    <s v="Finalizado"/>
    <n v="2021"/>
    <n v="8"/>
    <n v="9"/>
  </r>
  <r>
    <m/>
    <x v="7"/>
    <x v="96"/>
    <s v="PROFESSORES"/>
    <s v="EDSON"/>
    <x v="2"/>
    <s v="MICROFONE SEM PILHAS"/>
    <n v="1"/>
    <s v="Finalizado"/>
    <n v="2021"/>
    <n v="8"/>
    <n v="9"/>
  </r>
  <r>
    <m/>
    <x v="16"/>
    <x v="97"/>
    <s v="PROFESSORES"/>
    <s v="EDSON"/>
    <x v="6"/>
    <s v="CÂMERA DESLIGOU"/>
    <n v="1"/>
    <s v="Finalizado"/>
    <n v="2021"/>
    <n v="8"/>
    <n v="10"/>
  </r>
  <r>
    <m/>
    <x v="13"/>
    <x v="97"/>
    <s v="PROFESSORES"/>
    <s v="DANIEL"/>
    <x v="6"/>
    <s v="CÂMERA DESLIGOU"/>
    <n v="1"/>
    <s v="Finalizado"/>
    <n v="2021"/>
    <n v="8"/>
    <n v="10"/>
  </r>
  <r>
    <m/>
    <x v="3"/>
    <x v="97"/>
    <s v="PROFESSORES"/>
    <s v="EDSON"/>
    <x v="3"/>
    <s v="COMPUTADOR COM PROBLEMAS"/>
    <n v="1"/>
    <s v="Finalizado"/>
    <n v="2021"/>
    <n v="8"/>
    <n v="10"/>
  </r>
  <r>
    <m/>
    <x v="7"/>
    <x v="97"/>
    <s v="PROFESSORES"/>
    <s v="EDSON"/>
    <x v="6"/>
    <s v="CÂMERA DESLIGOU"/>
    <n v="1"/>
    <s v="Finalizado"/>
    <n v="2021"/>
    <n v="8"/>
    <n v="10"/>
  </r>
  <r>
    <m/>
    <x v="14"/>
    <x v="97"/>
    <s v="PROFESSORES"/>
    <s v="EDSON"/>
    <x v="2"/>
    <s v="MICROFONE SEM PILHAS"/>
    <n v="1"/>
    <s v="Finalizado"/>
    <n v="2021"/>
    <n v="8"/>
    <n v="10"/>
  </r>
  <r>
    <m/>
    <x v="17"/>
    <x v="97"/>
    <s v="PROFESSORES"/>
    <s v="EDSON"/>
    <x v="3"/>
    <s v="COMPUTADOR"/>
    <n v="1"/>
    <s v="Finalizado"/>
    <n v="2021"/>
    <n v="8"/>
    <n v="10"/>
  </r>
  <r>
    <m/>
    <x v="13"/>
    <x v="97"/>
    <s v="PROFESSORES"/>
    <s v="DANIEL"/>
    <x v="0"/>
    <s v="PILHAS DESCARREGADAS"/>
    <n v="1"/>
    <s v="Finalizado"/>
    <n v="2021"/>
    <n v="8"/>
    <n v="10"/>
  </r>
  <r>
    <m/>
    <x v="0"/>
    <x v="97"/>
    <s v="PROFESSORES"/>
    <s v="DANIEL"/>
    <x v="3"/>
    <s v="COMPUTADOR COM PROBLEMAS"/>
    <n v="1"/>
    <s v="Finalizado"/>
    <n v="2021"/>
    <n v="8"/>
    <n v="10"/>
  </r>
  <r>
    <m/>
    <x v="17"/>
    <x v="97"/>
    <s v="PROFESSORES"/>
    <s v="EDSON"/>
    <x v="22"/>
    <s v="MICROFONE SEM PILHAS"/>
    <n v="1"/>
    <s v="Finalizado"/>
    <n v="2021"/>
    <n v="8"/>
    <n v="10"/>
  </r>
  <r>
    <m/>
    <x v="1"/>
    <x v="97"/>
    <s v="PROFESSORES"/>
    <s v="DANIEL"/>
    <x v="2"/>
    <s v="MICROFONE SEM PILHAS"/>
    <n v="1"/>
    <s v="Finalizado"/>
    <n v="2021"/>
    <n v="8"/>
    <n v="10"/>
  </r>
  <r>
    <m/>
    <x v="20"/>
    <x v="98"/>
    <s v="PROFESSORES"/>
    <s v="DANIEL"/>
    <x v="2"/>
    <s v="PROBLEMA COM O VOLUME "/>
    <n v="1"/>
    <s v="Finalizado"/>
    <n v="2021"/>
    <n v="8"/>
    <n v="11"/>
  </r>
  <r>
    <m/>
    <x v="10"/>
    <x v="98"/>
    <s v="PROFESSORES"/>
    <s v="EDSON"/>
    <x v="2"/>
    <s v="PROBLEMA COM O VOLUME "/>
    <n v="1"/>
    <s v="Finalizado"/>
    <n v="2021"/>
    <n v="8"/>
    <n v="11"/>
  </r>
  <r>
    <m/>
    <x v="20"/>
    <x v="98"/>
    <s v="PROFESSORES"/>
    <s v="EDSON"/>
    <x v="2"/>
    <s v="PROBLEMA COM O VOLUME "/>
    <n v="1"/>
    <s v="Finalizado"/>
    <n v="2021"/>
    <n v="8"/>
    <n v="11"/>
  </r>
  <r>
    <m/>
    <x v="14"/>
    <x v="98"/>
    <s v="PROFESSORES"/>
    <s v="EDSON"/>
    <x v="22"/>
    <s v="MICROFONE SEM PILHAS"/>
    <n v="1"/>
    <s v="Finalizado"/>
    <n v="2021"/>
    <n v="8"/>
    <n v="11"/>
  </r>
  <r>
    <m/>
    <x v="7"/>
    <x v="98"/>
    <s v="PROFESSORES"/>
    <s v="DANIEL"/>
    <x v="2"/>
    <s v="MICROFONE SEM PILHAS"/>
    <n v="1"/>
    <s v="Finalizado"/>
    <n v="2021"/>
    <n v="8"/>
    <n v="11"/>
  </r>
  <r>
    <m/>
    <x v="7"/>
    <x v="98"/>
    <s v="PROFESSORES"/>
    <s v="DANIEL"/>
    <x v="6"/>
    <s v="CÂMERA DESLIGOU"/>
    <n v="1"/>
    <s v="Finalizado"/>
    <n v="2021"/>
    <n v="8"/>
    <n v="11"/>
  </r>
  <r>
    <m/>
    <x v="11"/>
    <x v="99"/>
    <s v="PROFESSORES"/>
    <s v="EDSON"/>
    <x v="22"/>
    <s v="MICROFONE SEM PILHAS"/>
    <n v="1"/>
    <s v="Finalizado"/>
    <n v="2021"/>
    <n v="8"/>
    <n v="12"/>
  </r>
  <r>
    <m/>
    <x v="1"/>
    <x v="99"/>
    <s v="PROFESSORES"/>
    <s v="EDSON"/>
    <x v="22"/>
    <s v="MICROFONE SEM PILHAS"/>
    <n v="1"/>
    <s v="Finalizado"/>
    <n v="2021"/>
    <n v="8"/>
    <n v="12"/>
  </r>
  <r>
    <m/>
    <x v="9"/>
    <x v="99"/>
    <s v="PROFESSORES"/>
    <s v="EDSON"/>
    <x v="23"/>
    <s v="PROBLEMA COM O VOLUME "/>
    <n v="1"/>
    <s v="Finalizado"/>
    <n v="2021"/>
    <n v="8"/>
    <n v="12"/>
  </r>
  <r>
    <m/>
    <x v="2"/>
    <x v="100"/>
    <s v="PROFESSORES"/>
    <s v="DANIEL"/>
    <x v="6"/>
    <s v="PROBLEMA COM O VOLUME "/>
    <n v="1"/>
    <s v="Finalizado"/>
    <n v="2021"/>
    <n v="8"/>
    <n v="13"/>
  </r>
  <r>
    <m/>
    <x v="3"/>
    <x v="100"/>
    <s v="PROFESSORES"/>
    <s v="EDSON"/>
    <x v="0"/>
    <s v="PILHAS DESCARREGADAS"/>
    <n v="1"/>
    <s v="Finalizado"/>
    <n v="2021"/>
    <n v="8"/>
    <n v="13"/>
  </r>
  <r>
    <m/>
    <x v="3"/>
    <x v="100"/>
    <s v="PROFESSORES"/>
    <s v="DANIEL"/>
    <x v="6"/>
    <s v="COMPUTADOR COM PROBLEMAS"/>
    <n v="1"/>
    <s v="Finalizado"/>
    <n v="2021"/>
    <n v="8"/>
    <n v="13"/>
  </r>
  <r>
    <m/>
    <x v="8"/>
    <x v="100"/>
    <s v="PROFESSORES"/>
    <s v="EDSON"/>
    <x v="8"/>
    <s v="PROBLEMA COM A CONEXÃO"/>
    <n v="1"/>
    <s v="Finalizado"/>
    <n v="2021"/>
    <n v="8"/>
    <n v="13"/>
  </r>
  <r>
    <m/>
    <x v="16"/>
    <x v="100"/>
    <s v="PROFESSORES"/>
    <s v="DANIEL"/>
    <x v="2"/>
    <s v="MICROFONE SEM PILHAS"/>
    <n v="1"/>
    <s v="Finalizado"/>
    <n v="2021"/>
    <n v="8"/>
    <n v="13"/>
  </r>
  <r>
    <m/>
    <x v="0"/>
    <x v="100"/>
    <s v="PROFESSORES"/>
    <s v="EDSON"/>
    <x v="8"/>
    <s v="PROBLEMA COM A CONEXÃO"/>
    <n v="1"/>
    <s v="Finalizado"/>
    <n v="2021"/>
    <n v="8"/>
    <n v="13"/>
  </r>
  <r>
    <m/>
    <x v="11"/>
    <x v="100"/>
    <s v="PROFESSORES"/>
    <s v="DANIEL"/>
    <x v="22"/>
    <s v="PROBLEMA COM O VOLUME "/>
    <n v="1"/>
    <s v="Finalizado"/>
    <n v="2021"/>
    <n v="8"/>
    <n v="13"/>
  </r>
  <r>
    <m/>
    <x v="17"/>
    <x v="100"/>
    <s v="PROFESSORES"/>
    <s v="DANIEL"/>
    <x v="3"/>
    <s v="PROBLEMA COM O COMPUTADOR"/>
    <n v="1"/>
    <s v="Finalizado"/>
    <n v="2021"/>
    <n v="8"/>
    <n v="13"/>
  </r>
  <r>
    <m/>
    <x v="20"/>
    <x v="100"/>
    <s v="PROFESSORES"/>
    <s v="EDSON"/>
    <x v="3"/>
    <s v="PROBLEMA COM O COMPUTADOR"/>
    <n v="1"/>
    <s v="Finalizado"/>
    <n v="2021"/>
    <n v="8"/>
    <n v="13"/>
  </r>
  <r>
    <m/>
    <x v="3"/>
    <x v="100"/>
    <s v="PROFESSORES"/>
    <s v="EDSON"/>
    <x v="6"/>
    <s v="PROBLEMAS COM A CÂMERA "/>
    <n v="1"/>
    <s v="Finalizado"/>
    <n v="2021"/>
    <n v="8"/>
    <n v="13"/>
  </r>
  <r>
    <m/>
    <x v="1"/>
    <x v="100"/>
    <s v="PROFESSORES"/>
    <s v="DANIEL"/>
    <x v="6"/>
    <s v="PROBLEMAS COM A CÂMERA "/>
    <n v="1"/>
    <s v="Finalizado"/>
    <n v="2021"/>
    <n v="8"/>
    <n v="13"/>
  </r>
  <r>
    <m/>
    <x v="3"/>
    <x v="100"/>
    <s v="PROFESSORES"/>
    <s v="EDSON"/>
    <x v="6"/>
    <s v="PROBLEMAS COM A CÂMERA "/>
    <n v="1"/>
    <s v="Finalizado"/>
    <n v="2021"/>
    <n v="8"/>
    <n v="13"/>
  </r>
  <r>
    <m/>
    <x v="17"/>
    <x v="101"/>
    <s v="PROFESSORES"/>
    <s v="EDSON"/>
    <x v="8"/>
    <s v="PROBLEMA COM A CONEXÃO"/>
    <n v="1"/>
    <s v="Finalizado"/>
    <n v="2021"/>
    <n v="8"/>
    <n v="16"/>
  </r>
  <r>
    <m/>
    <x v="11"/>
    <x v="101"/>
    <s v="PROFESSORES"/>
    <s v="EDSON"/>
    <x v="8"/>
    <s v="PROBLEMA COM A CONEXÃO"/>
    <n v="1"/>
    <s v="Finalizado"/>
    <n v="2021"/>
    <n v="8"/>
    <n v="16"/>
  </r>
  <r>
    <m/>
    <x v="21"/>
    <x v="101"/>
    <s v="PROFESSORES"/>
    <s v="EDSON"/>
    <x v="8"/>
    <s v="PROBLEMA COM A CONEXÃO"/>
    <n v="1"/>
    <s v="Finalizado"/>
    <n v="2021"/>
    <n v="8"/>
    <n v="16"/>
  </r>
  <r>
    <m/>
    <x v="4"/>
    <x v="101"/>
    <s v="PROFESSORES"/>
    <s v="EDSON"/>
    <x v="8"/>
    <s v="PROBLEMA COM A CONEXÃO"/>
    <n v="1"/>
    <s v="Finalizado"/>
    <n v="2021"/>
    <n v="8"/>
    <n v="16"/>
  </r>
  <r>
    <m/>
    <x v="1"/>
    <x v="101"/>
    <s v="PROFESSORES"/>
    <s v="DANIEL"/>
    <x v="2"/>
    <s v="PROBLEMA COM O VOLUME "/>
    <n v="1"/>
    <s v="Finalizado"/>
    <n v="2021"/>
    <n v="8"/>
    <n v="16"/>
  </r>
  <r>
    <m/>
    <x v="0"/>
    <x v="102"/>
    <s v="PROFESSORES"/>
    <s v="DANIEL"/>
    <x v="2"/>
    <s v="PROBLEMA COM O VOLUME "/>
    <n v="1"/>
    <s v="Finalizado"/>
    <n v="2021"/>
    <n v="8"/>
    <n v="17"/>
  </r>
  <r>
    <m/>
    <x v="11"/>
    <x v="102"/>
    <s v="PROFESSORES"/>
    <s v="EDSON"/>
    <x v="2"/>
    <s v="PROBLEMA COM O VOLUME "/>
    <n v="1"/>
    <s v="Finalizado"/>
    <n v="2021"/>
    <n v="8"/>
    <n v="17"/>
  </r>
  <r>
    <m/>
    <x v="17"/>
    <x v="102"/>
    <s v="PROFESSORES"/>
    <s v="DANIEL"/>
    <x v="6"/>
    <s v="PROBLEMA COM A CÂMERA "/>
    <n v="1"/>
    <s v="Finalizado"/>
    <n v="2021"/>
    <n v="8"/>
    <n v="17"/>
  </r>
  <r>
    <m/>
    <x v="4"/>
    <x v="102"/>
    <s v="PROFESSORES"/>
    <s v="DANIEL"/>
    <x v="2"/>
    <s v="PROBLEMA COM O VOLUME "/>
    <n v="1"/>
    <s v="Finalizado"/>
    <n v="2021"/>
    <n v="8"/>
    <n v="17"/>
  </r>
  <r>
    <m/>
    <x v="7"/>
    <x v="102"/>
    <s v="PROFESSORES"/>
    <s v="EDSON"/>
    <x v="2"/>
    <s v="PROBLEMA COM O VOLUME "/>
    <n v="1"/>
    <s v="Finalizado"/>
    <n v="2021"/>
    <n v="8"/>
    <n v="17"/>
  </r>
  <r>
    <m/>
    <x v="7"/>
    <x v="102"/>
    <s v="PROFESSORES"/>
    <s v="DANIEL"/>
    <x v="0"/>
    <s v="PILHAS DESCARREGADAS"/>
    <n v="1"/>
    <s v="Finalizado"/>
    <n v="2021"/>
    <n v="8"/>
    <n v="17"/>
  </r>
  <r>
    <m/>
    <x v="17"/>
    <x v="103"/>
    <s v="PROFESSORES"/>
    <s v="EDSON"/>
    <x v="6"/>
    <s v="PROBLEMA COM A CÂMERA "/>
    <n v="1"/>
    <s v="Finalizado"/>
    <n v="2021"/>
    <n v="8"/>
    <n v="18"/>
  </r>
  <r>
    <m/>
    <x v="11"/>
    <x v="103"/>
    <s v="PROFESSORES"/>
    <s v="DANIEL"/>
    <x v="2"/>
    <s v="PROBLEMA COM VOLUME"/>
    <n v="1"/>
    <s v="Finalizado"/>
    <n v="2021"/>
    <n v="8"/>
    <n v="18"/>
  </r>
  <r>
    <m/>
    <x v="1"/>
    <x v="103"/>
    <s v="PROFESSORES"/>
    <s v="EDSON"/>
    <x v="0"/>
    <s v="PILHAS DESCARREGADAS"/>
    <n v="1"/>
    <s v="Finalizado"/>
    <n v="2021"/>
    <n v="8"/>
    <n v="18"/>
  </r>
  <r>
    <m/>
    <x v="15"/>
    <x v="103"/>
    <s v="PROFESSORES"/>
    <s v="DANIEL"/>
    <x v="6"/>
    <s v="PROBLEMA COM A CÂMERA "/>
    <n v="1"/>
    <s v="Finalizado"/>
    <n v="2021"/>
    <n v="8"/>
    <n v="18"/>
  </r>
  <r>
    <m/>
    <x v="16"/>
    <x v="103"/>
    <s v="PROFESSORES"/>
    <s v="DANIEL"/>
    <x v="0"/>
    <s v="PILHAS DESCARREGADAS"/>
    <n v="1"/>
    <s v="Finalizado"/>
    <n v="2021"/>
    <n v="8"/>
    <n v="18"/>
  </r>
  <r>
    <m/>
    <x v="2"/>
    <x v="103"/>
    <s v="PROFESSORES"/>
    <s v="EDSON"/>
    <x v="0"/>
    <s v="PILHAS DESCARREGADAS"/>
    <n v="1"/>
    <s v="Finalizado"/>
    <n v="2021"/>
    <n v="8"/>
    <n v="18"/>
  </r>
  <r>
    <m/>
    <x v="6"/>
    <x v="104"/>
    <s v="PROFESSORES"/>
    <s v="EDSON"/>
    <x v="0"/>
    <s v="PILHAS DESCARREGADAS"/>
    <n v="1"/>
    <s v="Finalizado"/>
    <n v="2021"/>
    <n v="8"/>
    <n v="19"/>
  </r>
  <r>
    <m/>
    <x v="3"/>
    <x v="104"/>
    <s v="PROFESSORES"/>
    <s v="DANIEL"/>
    <x v="6"/>
    <s v="PROBLEMA COM A CÂMERA "/>
    <n v="1"/>
    <s v="Finalizado"/>
    <n v="2021"/>
    <n v="8"/>
    <n v="19"/>
  </r>
  <r>
    <m/>
    <x v="14"/>
    <x v="104"/>
    <s v="PROFESSORES"/>
    <s v="DANIEL"/>
    <x v="6"/>
    <s v="PROBLEMA COM A CÂMERA "/>
    <n v="1"/>
    <s v="Finalizado"/>
    <n v="2021"/>
    <n v="8"/>
    <n v="19"/>
  </r>
  <r>
    <m/>
    <x v="7"/>
    <x v="104"/>
    <s v="PROFESSORES"/>
    <s v="EDSON"/>
    <x v="24"/>
    <s v="PROBLEMAS COM VOLUME"/>
    <n v="1"/>
    <s v="Finalizado"/>
    <n v="2021"/>
    <n v="8"/>
    <n v="19"/>
  </r>
  <r>
    <m/>
    <x v="3"/>
    <x v="104"/>
    <s v="PROFESSORES"/>
    <s v="EDSON"/>
    <x v="6"/>
    <s v="PROBLEMA COM A CÂMERA "/>
    <n v="1"/>
    <s v="Finalizado"/>
    <n v="2021"/>
    <n v="8"/>
    <n v="19"/>
  </r>
  <r>
    <m/>
    <x v="12"/>
    <x v="104"/>
    <s v="PROFESSORES"/>
    <s v="DANIEL"/>
    <x v="0"/>
    <s v="PILHAS DESCARREGADAS"/>
    <n v="1"/>
    <s v="Finalizado"/>
    <n v="2021"/>
    <n v="8"/>
    <n v="19"/>
  </r>
  <r>
    <m/>
    <x v="8"/>
    <x v="105"/>
    <s v="PROFESSORES"/>
    <s v="EDSON"/>
    <x v="25"/>
    <s v="INTERFERENCIA DE SINAL"/>
    <n v="1"/>
    <s v="Finalizado"/>
    <n v="2021"/>
    <n v="8"/>
    <n v="20"/>
  </r>
  <r>
    <m/>
    <x v="3"/>
    <x v="105"/>
    <s v="PROFESSORES"/>
    <s v="DANIEL"/>
    <x v="6"/>
    <s v="PROBLEMA COM A CÂMERA "/>
    <n v="1"/>
    <s v="Finalizado"/>
    <n v="2021"/>
    <n v="8"/>
    <n v="20"/>
  </r>
  <r>
    <m/>
    <x v="17"/>
    <x v="105"/>
    <s v="PROFESSORES"/>
    <s v="EDSON"/>
    <x v="2"/>
    <s v="PROBLEMA COM O MICROFONE"/>
    <n v="1"/>
    <s v="Finalizado"/>
    <n v="2021"/>
    <n v="8"/>
    <n v="20"/>
  </r>
  <r>
    <m/>
    <x v="9"/>
    <x v="106"/>
    <s v="PROFESSORES"/>
    <s v="EDSON"/>
    <x v="8"/>
    <s v="PROBLEMAS COM A INTERNET"/>
    <n v="1"/>
    <s v="Finalizado"/>
    <n v="2021"/>
    <n v="8"/>
    <n v="23"/>
  </r>
  <r>
    <m/>
    <x v="11"/>
    <x v="106"/>
    <s v="PROFESSORES"/>
    <s v="DANIEL"/>
    <x v="2"/>
    <s v="PROBLEMA COM O MICROFONE"/>
    <n v="1"/>
    <s v="Finalizado"/>
    <n v="2021"/>
    <n v="8"/>
    <n v="23"/>
  </r>
  <r>
    <m/>
    <x v="4"/>
    <x v="106"/>
    <s v="PROFESSORES"/>
    <s v="DANIEL"/>
    <x v="2"/>
    <s v="PROBLEMAS COM O MICROFONE"/>
    <n v="1"/>
    <s v="Finalizado"/>
    <n v="2021"/>
    <n v="8"/>
    <n v="23"/>
  </r>
  <r>
    <m/>
    <x v="3"/>
    <x v="106"/>
    <s v="PROFESSORES"/>
    <s v="EDSON"/>
    <x v="6"/>
    <s v="PROBLEMA COM A CÂMERA "/>
    <n v="1"/>
    <s v="Finalizado"/>
    <n v="2021"/>
    <n v="8"/>
    <n v="23"/>
  </r>
  <r>
    <m/>
    <x v="3"/>
    <x v="106"/>
    <s v="PROFESSORES"/>
    <s v="DANIEL"/>
    <x v="2"/>
    <s v="PROBLEMA COM O MICROFONE"/>
    <n v="1"/>
    <s v="Finalizado"/>
    <n v="2021"/>
    <n v="8"/>
    <n v="23"/>
  </r>
  <r>
    <m/>
    <x v="7"/>
    <x v="106"/>
    <s v="PROFESSORES"/>
    <s v="EDSON"/>
    <x v="6"/>
    <s v="PROBLEMA COM A CÂMERA "/>
    <n v="1"/>
    <s v="Finalizado"/>
    <n v="2021"/>
    <n v="8"/>
    <n v="23"/>
  </r>
  <r>
    <m/>
    <x v="14"/>
    <x v="107"/>
    <s v="PROFESSORES"/>
    <s v="EDSON"/>
    <x v="6"/>
    <s v="PROBLEMA COM A CÂMERA "/>
    <n v="1"/>
    <s v="Finalizado"/>
    <n v="2021"/>
    <n v="8"/>
    <n v="24"/>
  </r>
  <r>
    <m/>
    <x v="11"/>
    <x v="107"/>
    <s v="PROFESSORES"/>
    <s v="DANIEL"/>
    <x v="2"/>
    <s v="PROBLEMA COM O MICROFONE"/>
    <n v="1"/>
    <s v="Finalizado"/>
    <n v="2021"/>
    <n v="8"/>
    <n v="24"/>
  </r>
  <r>
    <m/>
    <x v="4"/>
    <x v="107"/>
    <s v="PROFESSORES"/>
    <s v="DANIEL"/>
    <x v="2"/>
    <s v="PROBLEMA COM O MICROFONE"/>
    <n v="1"/>
    <s v="Finalizado"/>
    <n v="2021"/>
    <n v="8"/>
    <n v="24"/>
  </r>
  <r>
    <m/>
    <x v="0"/>
    <x v="107"/>
    <s v="PROFESSORES"/>
    <s v="EDSON"/>
    <x v="3"/>
    <s v="PROBLEMA COM O COMPUTADOR"/>
    <n v="1"/>
    <s v="Finalizado"/>
    <n v="2021"/>
    <n v="8"/>
    <n v="24"/>
  </r>
  <r>
    <m/>
    <x v="3"/>
    <x v="108"/>
    <s v="PROFESSORES"/>
    <s v="EDSON"/>
    <x v="3"/>
    <s v="PROBLEMA COM O COMPUTADOR"/>
    <n v="1"/>
    <s v="Finalizado"/>
    <n v="2021"/>
    <n v="8"/>
    <n v="25"/>
  </r>
  <r>
    <m/>
    <x v="14"/>
    <x v="108"/>
    <s v="PROFESSORES"/>
    <s v="DANIEL"/>
    <x v="0"/>
    <s v="PILHAS DESCARREGADAS"/>
    <n v="1"/>
    <s v="Finalizado"/>
    <n v="2021"/>
    <n v="8"/>
    <n v="25"/>
  </r>
  <r>
    <m/>
    <x v="4"/>
    <x v="108"/>
    <s v="PROFESSORES"/>
    <s v="DANIEL"/>
    <x v="2"/>
    <s v="PROBLEMA COM O MICROFONE"/>
    <n v="1"/>
    <s v="Finalizado"/>
    <n v="2021"/>
    <n v="8"/>
    <n v="25"/>
  </r>
  <r>
    <m/>
    <x v="3"/>
    <x v="109"/>
    <s v="PROFESSORES"/>
    <s v="DANIEL"/>
    <x v="6"/>
    <s v="PROBLEMA COM A CÂMERA "/>
    <n v="1"/>
    <s v="Finalizado"/>
    <n v="2021"/>
    <n v="8"/>
    <n v="26"/>
  </r>
  <r>
    <m/>
    <x v="12"/>
    <x v="109"/>
    <s v="PROFESSORES"/>
    <s v="EDSON"/>
    <x v="8"/>
    <s v="PROBLEMA COM O MEET"/>
    <n v="1"/>
    <s v="Finalizado"/>
    <n v="2021"/>
    <n v="8"/>
    <n v="26"/>
  </r>
  <r>
    <m/>
    <x v="6"/>
    <x v="109"/>
    <s v="PROFESSORES"/>
    <s v="DANIEL"/>
    <x v="0"/>
    <s v="PILHAS DESCARREGADAS"/>
    <n v="1"/>
    <s v="Finalizado"/>
    <n v="2021"/>
    <n v="8"/>
    <n v="26"/>
  </r>
  <r>
    <m/>
    <x v="10"/>
    <x v="110"/>
    <s v="PROFESSORES"/>
    <s v="EDSON"/>
    <x v="2"/>
    <s v="PROBLEMA COM O MICROFONE"/>
    <n v="1"/>
    <s v="Finalizado"/>
    <n v="2021"/>
    <n v="8"/>
    <n v="27"/>
  </r>
  <r>
    <m/>
    <x v="3"/>
    <x v="111"/>
    <s v="PROFESSORES"/>
    <s v="DANIEL"/>
    <x v="6"/>
    <s v="PROBLEMA COM A CÂMERA "/>
    <n v="1"/>
    <s v="Finalizado"/>
    <n v="2021"/>
    <n v="8"/>
    <n v="30"/>
  </r>
  <r>
    <m/>
    <x v="12"/>
    <x v="111"/>
    <s v="PROFESSORES"/>
    <s v="EDSON"/>
    <x v="0"/>
    <s v="PILHAS DESCARREGADAS"/>
    <n v="1"/>
    <s v="Finalizado"/>
    <n v="2021"/>
    <n v="8"/>
    <n v="30"/>
  </r>
  <r>
    <m/>
    <x v="13"/>
    <x v="111"/>
    <s v="PROFESSORES"/>
    <s v="EDSON"/>
    <x v="9"/>
    <s v="PROBLEMAS COM O PROJETOR"/>
    <n v="1"/>
    <s v="Finalizado"/>
    <n v="2021"/>
    <n v="8"/>
    <n v="30"/>
  </r>
  <r>
    <m/>
    <x v="13"/>
    <x v="111"/>
    <s v="PROFESSORES"/>
    <s v="DANIEL"/>
    <x v="2"/>
    <s v="PROBLEMA COM O MICROFONE"/>
    <n v="1"/>
    <s v="Finalizado"/>
    <n v="2021"/>
    <n v="8"/>
    <n v="30"/>
  </r>
  <r>
    <m/>
    <x v="10"/>
    <x v="111"/>
    <s v="PROFESSORES"/>
    <s v="DANIEL"/>
    <x v="2"/>
    <s v="PROBLEMAS COM O MICROFONE"/>
    <n v="1"/>
    <s v="Finalizado"/>
    <n v="2021"/>
    <n v="8"/>
    <n v="30"/>
  </r>
  <r>
    <m/>
    <x v="9"/>
    <x v="111"/>
    <s v="PROFESSORES"/>
    <s v="EDSON"/>
    <x v="2"/>
    <s v="PROBLEMAS COM O MICROFONE"/>
    <n v="1"/>
    <s v="Finalizado"/>
    <n v="2021"/>
    <n v="8"/>
    <n v="30"/>
  </r>
  <r>
    <m/>
    <x v="3"/>
    <x v="112"/>
    <s v="PROFESSORES"/>
    <s v="DANIEL"/>
    <x v="9"/>
    <s v="PROBLEMA COM PROJETOR"/>
    <n v="1"/>
    <s v="Finalizado"/>
    <n v="2021"/>
    <n v="8"/>
    <n v="31"/>
  </r>
  <r>
    <m/>
    <x v="16"/>
    <x v="112"/>
    <s v="PROFESSORES"/>
    <s v="DANIEL"/>
    <x v="0"/>
    <s v="PILHAS DESCARREGADAS"/>
    <n v="1"/>
    <s v="Finalizado"/>
    <n v="2021"/>
    <n v="8"/>
    <n v="31"/>
  </r>
  <r>
    <m/>
    <x v="3"/>
    <x v="112"/>
    <s v="PROFESSORES"/>
    <s v="EDSON"/>
    <x v="6"/>
    <s v="PROBLEMA COM A CÂMERA "/>
    <n v="1"/>
    <s v="Finalizado"/>
    <n v="2021"/>
    <n v="8"/>
    <n v="31"/>
  </r>
  <r>
    <m/>
    <x v="13"/>
    <x v="112"/>
    <s v="PROFESSORES"/>
    <s v="EDSON"/>
    <x v="6"/>
    <s v="PROBLEMA COM A CÂMERA "/>
    <n v="1"/>
    <s v="Finalizado"/>
    <n v="2021"/>
    <n v="8"/>
    <n v="31"/>
  </r>
  <r>
    <m/>
    <x v="21"/>
    <x v="112"/>
    <s v="PROFESSORES"/>
    <s v="DANIEL"/>
    <x v="3"/>
    <s v="PROBLEMA COM COMPUTADOR"/>
    <n v="1"/>
    <s v="Finalizado"/>
    <n v="2021"/>
    <n v="8"/>
    <n v="31"/>
  </r>
  <r>
    <m/>
    <x v="10"/>
    <x v="112"/>
    <s v="PROFESSORES"/>
    <s v="EDSON"/>
    <x v="4"/>
    <s v="PROBLEMA COM O SOM"/>
    <n v="1"/>
    <s v="Finalizado"/>
    <n v="2021"/>
    <n v="8"/>
    <n v="31"/>
  </r>
  <r>
    <m/>
    <x v="9"/>
    <x v="112"/>
    <s v="PROFESSORES"/>
    <s v="EDSON"/>
    <x v="2"/>
    <s v="PROBLEMA COM O MICROFONE"/>
    <n v="1"/>
    <s v="Finalizado"/>
    <n v="2021"/>
    <n v="8"/>
    <n v="31"/>
  </r>
  <r>
    <m/>
    <x v="18"/>
    <x v="112"/>
    <s v="PROFESSORES"/>
    <s v="DANIEL"/>
    <x v="6"/>
    <s v="PROBLEMA COM A CÂMERA "/>
    <n v="1"/>
    <s v="Finalizado"/>
    <n v="2021"/>
    <n v="8"/>
    <n v="31"/>
  </r>
  <r>
    <m/>
    <x v="4"/>
    <x v="112"/>
    <s v="PROFESSORES"/>
    <s v="DANIEL"/>
    <x v="2"/>
    <s v="PROBLEMA COM O MICROFONE"/>
    <n v="1"/>
    <s v="Finalizado"/>
    <n v="2021"/>
    <n v="8"/>
    <n v="31"/>
  </r>
  <r>
    <m/>
    <x v="14"/>
    <x v="113"/>
    <s v="PROFESSORES"/>
    <s v="EDSON"/>
    <x v="0"/>
    <s v="PILHAS DESCARREGADAS"/>
    <n v="1"/>
    <s v="Finalizado"/>
    <n v="2021"/>
    <n v="9"/>
    <n v="1"/>
  </r>
  <r>
    <m/>
    <x v="2"/>
    <x v="113"/>
    <s v="PROFESSORES"/>
    <s v="EDSON"/>
    <x v="2"/>
    <s v="PROBLEMAS COM O MICROFONE"/>
    <n v="1"/>
    <s v="Finalizado"/>
    <n v="2021"/>
    <n v="9"/>
    <n v="1"/>
  </r>
  <r>
    <m/>
    <x v="13"/>
    <x v="114"/>
    <s v="PROFESSORES"/>
    <s v="DANIEL"/>
    <x v="2"/>
    <s v="PROBLEMAS COM O MICROFONE"/>
    <n v="1"/>
    <s v="Finalizado"/>
    <n v="2021"/>
    <n v="9"/>
    <n v="6"/>
  </r>
  <r>
    <m/>
    <x v="12"/>
    <x v="114"/>
    <s v="PROFESSORES"/>
    <s v="DANIEL"/>
    <x v="0"/>
    <s v="PILHAS DESCARREGADAS"/>
    <n v="1"/>
    <s v="Finalizado"/>
    <n v="2021"/>
    <n v="9"/>
    <n v="6"/>
  </r>
  <r>
    <m/>
    <x v="3"/>
    <x v="115"/>
    <s v="PROFESSORES"/>
    <s v="EDSON"/>
    <x v="0"/>
    <s v="PILHAS DESCARREGADAS"/>
    <n v="1"/>
    <s v="Finalizado"/>
    <n v="2021"/>
    <n v="9"/>
    <n v="8"/>
  </r>
  <r>
    <m/>
    <x v="12"/>
    <x v="115"/>
    <s v="PROFESSORES"/>
    <s v="DANIEL"/>
    <x v="0"/>
    <s v="PILHAS DESCARREGADAS"/>
    <n v="1"/>
    <s v="Finalizado"/>
    <n v="2021"/>
    <n v="9"/>
    <n v="8"/>
  </r>
  <r>
    <m/>
    <x v="15"/>
    <x v="115"/>
    <s v="PROFESSORES"/>
    <s v="EDSON"/>
    <x v="6"/>
    <s v="PROBLEMA COM A CÂMERA "/>
    <n v="1"/>
    <s v="Finalizado"/>
    <n v="2021"/>
    <n v="9"/>
    <n v="8"/>
  </r>
  <r>
    <m/>
    <x v="9"/>
    <x v="115"/>
    <s v="PROFESSORES"/>
    <s v="DANIEL"/>
    <x v="7"/>
    <s v="PROBLEMA COM O MONITOR"/>
    <n v="1"/>
    <s v="Finalizado"/>
    <n v="2021"/>
    <n v="9"/>
    <n v="8"/>
  </r>
  <r>
    <m/>
    <x v="21"/>
    <x v="115"/>
    <s v="PROFESSORES"/>
    <s v="EDSON"/>
    <x v="6"/>
    <s v="PROBLEMA COM A CÂMERA "/>
    <n v="1"/>
    <s v="Finalizado"/>
    <n v="2021"/>
    <n v="9"/>
    <n v="8"/>
  </r>
  <r>
    <m/>
    <x v="20"/>
    <x v="115"/>
    <s v="PROFESSORES"/>
    <s v="DANIEL"/>
    <x v="2"/>
    <s v="PROBLEMA COM O MICROFONE"/>
    <n v="1"/>
    <s v="Finalizado"/>
    <n v="2021"/>
    <n v="9"/>
    <n v="8"/>
  </r>
  <r>
    <m/>
    <x v="2"/>
    <x v="116"/>
    <s v="PROFESSORES"/>
    <s v="DANIEL"/>
    <x v="0"/>
    <s v="PILHAS DESCARREGADAS"/>
    <n v="1"/>
    <s v="Finalizado"/>
    <n v="2021"/>
    <n v="9"/>
    <n v="9"/>
  </r>
  <r>
    <m/>
    <x v="14"/>
    <x v="116"/>
    <s v="PROFESSORES"/>
    <s v="EDSON"/>
    <x v="6"/>
    <s v="PROBLEMA COM A CÂMERA "/>
    <n v="1"/>
    <s v="Finalizado"/>
    <n v="2021"/>
    <n v="9"/>
    <n v="9"/>
  </r>
  <r>
    <m/>
    <x v="14"/>
    <x v="116"/>
    <s v="PROFESSORES"/>
    <s v="EDSON"/>
    <x v="0"/>
    <s v="PILHAS DESCARREGADAS"/>
    <n v="1"/>
    <s v="Finalizado"/>
    <n v="2021"/>
    <n v="9"/>
    <n v="9"/>
  </r>
  <r>
    <m/>
    <x v="11"/>
    <x v="116"/>
    <s v="PROFESSORES"/>
    <s v="EDSON"/>
    <x v="8"/>
    <s v="PROBLEMA COM A INTERNET"/>
    <n v="1"/>
    <s v="Finalizado"/>
    <n v="2021"/>
    <n v="9"/>
    <n v="9"/>
  </r>
  <r>
    <m/>
    <x v="20"/>
    <x v="116"/>
    <s v="PROFESSORES"/>
    <s v="DANIEL"/>
    <x v="0"/>
    <s v="PILHAS DESCARREGADAS"/>
    <n v="1"/>
    <s v="Finalizado"/>
    <n v="2021"/>
    <n v="9"/>
    <n v="9"/>
  </r>
  <r>
    <m/>
    <x v="10"/>
    <x v="116"/>
    <s v="PROFESSORES"/>
    <s v="DANIEL"/>
    <x v="2"/>
    <s v="PROBLEMA COM MICROFONE"/>
    <n v="1"/>
    <s v="Finalizado"/>
    <n v="2021"/>
    <n v="9"/>
    <n v="9"/>
  </r>
  <r>
    <m/>
    <x v="4"/>
    <x v="116"/>
    <s v="PROFESSORES"/>
    <s v="EDSON"/>
    <x v="3"/>
    <s v="PROBLEMA COM O COMPUTADOR"/>
    <n v="1"/>
    <s v="Finalizado"/>
    <n v="2021"/>
    <n v="9"/>
    <n v="9"/>
  </r>
  <r>
    <m/>
    <x v="18"/>
    <x v="116"/>
    <s v="PROFESSORES"/>
    <s v="EDSON"/>
    <x v="9"/>
    <s v="PROBLEMA COM O PROJETOR"/>
    <n v="1"/>
    <s v="Finalizado"/>
    <n v="2021"/>
    <n v="9"/>
    <n v="9"/>
  </r>
  <r>
    <m/>
    <x v="10"/>
    <x v="117"/>
    <s v="PROFESSORES"/>
    <s v="DANIEL"/>
    <x v="4"/>
    <s v="PROBLEMA COM O SOM"/>
    <n v="1"/>
    <s v="Finalizado"/>
    <n v="2021"/>
    <n v="9"/>
    <n v="10"/>
  </r>
  <r>
    <m/>
    <x v="20"/>
    <x v="117"/>
    <s v="PROFESSORES"/>
    <s v="DANIEL"/>
    <x v="2"/>
    <s v="PROBLEMA COM O MICROFONE"/>
    <n v="1"/>
    <s v="Finalizado"/>
    <n v="2021"/>
    <n v="9"/>
    <n v="10"/>
  </r>
  <r>
    <m/>
    <x v="3"/>
    <x v="117"/>
    <s v="PROFESSORES"/>
    <s v="EDSON"/>
    <x v="6"/>
    <s v="PROBLEMA COM A CÂMERA "/>
    <n v="1"/>
    <s v="Finalizado"/>
    <n v="2021"/>
    <n v="9"/>
    <n v="10"/>
  </r>
  <r>
    <m/>
    <x v="7"/>
    <x v="118"/>
    <s v="PROFESSORES"/>
    <s v="DANIEL"/>
    <x v="0"/>
    <s v="PILHAS DESCARREGADAS"/>
    <n v="1"/>
    <s v="Finalizado"/>
    <n v="2021"/>
    <n v="9"/>
    <n v="13"/>
  </r>
  <r>
    <m/>
    <x v="1"/>
    <x v="118"/>
    <s v="PROFESSORES"/>
    <s v="EDSON"/>
    <x v="2"/>
    <s v="PROBLEMA COM O MICROFONE"/>
    <n v="1"/>
    <s v="Finalizado"/>
    <n v="2021"/>
    <n v="9"/>
    <n v="13"/>
  </r>
  <r>
    <m/>
    <x v="20"/>
    <x v="118"/>
    <s v="PROFESSORES"/>
    <s v="EDSON"/>
    <x v="2"/>
    <s v="PROBLEMA COM O MICROFONE"/>
    <n v="1"/>
    <s v="Finalizado"/>
    <n v="2021"/>
    <n v="9"/>
    <n v="13"/>
  </r>
  <r>
    <m/>
    <x v="17"/>
    <x v="118"/>
    <s v="PROFESSORES"/>
    <s v="DANIEL"/>
    <x v="6"/>
    <s v="PROBLEMA COM A CÂMERA "/>
    <n v="1"/>
    <s v="Finalizado"/>
    <n v="2021"/>
    <n v="9"/>
    <n v="13"/>
  </r>
  <r>
    <m/>
    <x v="0"/>
    <x v="118"/>
    <s v="PROFESSORES"/>
    <s v="EDSON"/>
    <x v="2"/>
    <s v="PROBLEMA COM O MICROFONE"/>
    <n v="1"/>
    <s v="Finalizado"/>
    <n v="2021"/>
    <n v="9"/>
    <n v="13"/>
  </r>
  <r>
    <m/>
    <x v="11"/>
    <x v="118"/>
    <s v="PROFESSORES"/>
    <s v="DANIEL"/>
    <x v="3"/>
    <s v="PROBLEMA COM O COMPUTADOR"/>
    <n v="1"/>
    <s v="Finalizado"/>
    <n v="2021"/>
    <n v="9"/>
    <n v="13"/>
  </r>
  <r>
    <m/>
    <x v="11"/>
    <x v="119"/>
    <s v="PROFESSORES"/>
    <s v="DANIEL"/>
    <x v="6"/>
    <s v="PROBLEMA COM A CÂMERA "/>
    <n v="1"/>
    <s v="Finalizado"/>
    <n v="2021"/>
    <n v="9"/>
    <n v="14"/>
  </r>
  <r>
    <m/>
    <x v="8"/>
    <x v="119"/>
    <s v="PROFESSORES"/>
    <s v="EDSON"/>
    <x v="9"/>
    <s v="PROBLEMA COM O PROJETOR"/>
    <n v="1"/>
    <s v="Finalizado"/>
    <n v="2021"/>
    <n v="9"/>
    <n v="14"/>
  </r>
  <r>
    <m/>
    <x v="20"/>
    <x v="119"/>
    <s v="PROFESSORES"/>
    <s v="EDSON"/>
    <x v="2"/>
    <s v="PROBLEMA COM O MICROFONE"/>
    <n v="1"/>
    <s v="Finalizado"/>
    <n v="2021"/>
    <n v="9"/>
    <n v="14"/>
  </r>
  <r>
    <m/>
    <x v="14"/>
    <x v="119"/>
    <s v="PROFESSORES"/>
    <s v="DANIEL"/>
    <x v="2"/>
    <s v="PROBLEMA COM O MICROFONE"/>
    <n v="1"/>
    <s v="Finalizado"/>
    <n v="2021"/>
    <n v="9"/>
    <n v="14"/>
  </r>
  <r>
    <m/>
    <x v="8"/>
    <x v="119"/>
    <s v="PROFESSORES"/>
    <s v="EDSON"/>
    <x v="8"/>
    <s v="PROBLEMA COM O MEET"/>
    <n v="1"/>
    <s v="Finalizado"/>
    <n v="2021"/>
    <n v="9"/>
    <n v="14"/>
  </r>
  <r>
    <m/>
    <x v="2"/>
    <x v="119"/>
    <s v="PROFESSORES"/>
    <s v="EDSON"/>
    <x v="6"/>
    <s v="PROBLEMA COM A CÂMERA "/>
    <n v="1"/>
    <s v="Finalizado"/>
    <n v="2021"/>
    <n v="9"/>
    <n v="14"/>
  </r>
  <r>
    <m/>
    <x v="3"/>
    <x v="119"/>
    <s v="PROFESSORES"/>
    <s v="DANIEL"/>
    <x v="9"/>
    <s v="PROBLEMA COM O PROJETOR"/>
    <n v="1"/>
    <s v="Finalizado"/>
    <n v="2021"/>
    <n v="9"/>
    <n v="14"/>
  </r>
  <r>
    <m/>
    <x v="12"/>
    <x v="119"/>
    <s v="PROFESSORES"/>
    <s v="DANIEL"/>
    <x v="0"/>
    <s v="PILHAS DESCARREGADAS"/>
    <n v="1"/>
    <s v="Finalizado"/>
    <n v="2021"/>
    <n v="9"/>
    <n v="14"/>
  </r>
  <r>
    <m/>
    <x v="3"/>
    <x v="119"/>
    <s v="PROFESSORES"/>
    <s v="EDSON"/>
    <x v="9"/>
    <s v="PROBLEMA COM O PROJETOR"/>
    <n v="1"/>
    <s v="Finalizado"/>
    <n v="2021"/>
    <n v="9"/>
    <n v="14"/>
  </r>
  <r>
    <m/>
    <x v="16"/>
    <x v="120"/>
    <s v="PROFESSORES"/>
    <s v="DANIEL"/>
    <x v="0"/>
    <s v="PILHAS DESCARREGADAS"/>
    <n v="1"/>
    <s v="Finalizado"/>
    <n v="2021"/>
    <n v="9"/>
    <n v="15"/>
  </r>
  <r>
    <m/>
    <x v="14"/>
    <x v="120"/>
    <s v="PROFESSORES"/>
    <s v="EDSON"/>
    <x v="8"/>
    <s v="PROBLEMA COM A INTERNET"/>
    <n v="1"/>
    <s v="Finalizado"/>
    <n v="2021"/>
    <n v="9"/>
    <n v="15"/>
  </r>
  <r>
    <m/>
    <x v="3"/>
    <x v="120"/>
    <s v="PROFESSORES"/>
    <s v="EDSON"/>
    <x v="9"/>
    <s v="PROBLEMA COM O PROJETOR"/>
    <n v="1"/>
    <s v="Finalizado"/>
    <n v="2021"/>
    <n v="9"/>
    <n v="15"/>
  </r>
  <r>
    <m/>
    <x v="11"/>
    <x v="120"/>
    <s v="PROFESSORES"/>
    <s v="DANIEL"/>
    <x v="6"/>
    <s v="PROBLEMA COM A CÂMERA "/>
    <n v="1"/>
    <s v="Finalizado"/>
    <n v="2021"/>
    <n v="9"/>
    <n v="15"/>
  </r>
  <r>
    <m/>
    <x v="4"/>
    <x v="120"/>
    <s v="PROFESSORES"/>
    <s v="DANIEL"/>
    <x v="2"/>
    <s v="PROBLEMA COM O MICROFONE"/>
    <n v="1"/>
    <s v="Finalizado"/>
    <n v="2021"/>
    <n v="9"/>
    <n v="15"/>
  </r>
  <r>
    <m/>
    <x v="20"/>
    <x v="121"/>
    <s v="PROFESSORES"/>
    <s v="EDSON"/>
    <x v="2"/>
    <s v="PROBLEMA COM O MICROFONE"/>
    <n v="1"/>
    <s v="Finalizado"/>
    <n v="2021"/>
    <n v="9"/>
    <n v="16"/>
  </r>
  <r>
    <m/>
    <x v="4"/>
    <x v="121"/>
    <s v="PROFESSORES"/>
    <s v="DANIEL"/>
    <x v="2"/>
    <s v="PROBLEMA COM O MICROFONE"/>
    <n v="1"/>
    <s v="Finalizado"/>
    <n v="2021"/>
    <n v="9"/>
    <n v="16"/>
  </r>
  <r>
    <m/>
    <x v="18"/>
    <x v="121"/>
    <s v="PROFESSORES"/>
    <s v="DANIEL"/>
    <x v="6"/>
    <s v="PROBLEMA COM A CÂMERA "/>
    <n v="1"/>
    <s v="Finalizado"/>
    <n v="2021"/>
    <n v="9"/>
    <n v="16"/>
  </r>
  <r>
    <m/>
    <x v="11"/>
    <x v="122"/>
    <s v="PROFESSORES"/>
    <s v="EDSON"/>
    <x v="6"/>
    <s v="PROBLEMA COM A CÂMERA "/>
    <n v="1"/>
    <s v="Finalizado"/>
    <n v="2021"/>
    <n v="9"/>
    <n v="17"/>
  </r>
  <r>
    <m/>
    <x v="3"/>
    <x v="123"/>
    <s v="PROFESSORES"/>
    <s v="EDSON"/>
    <x v="6"/>
    <s v="PROBLEMA COM A CÂMERA "/>
    <n v="1"/>
    <s v="Finalizado"/>
    <n v="2021"/>
    <n v="9"/>
    <n v="20"/>
  </r>
  <r>
    <m/>
    <x v="3"/>
    <x v="123"/>
    <s v="PROFESSORES"/>
    <s v="DANIEL"/>
    <x v="0"/>
    <s v="PILHAS DESCARREGADAS"/>
    <n v="1"/>
    <s v="Finalizado"/>
    <n v="2021"/>
    <n v="9"/>
    <n v="20"/>
  </r>
  <r>
    <m/>
    <x v="6"/>
    <x v="123"/>
    <s v="PROFESSORES"/>
    <s v="EDSON"/>
    <x v="2"/>
    <s v="PROBLEMA COM O MICROFONE"/>
    <n v="1"/>
    <s v="Finalizado"/>
    <n v="2021"/>
    <n v="9"/>
    <n v="20"/>
  </r>
  <r>
    <m/>
    <x v="11"/>
    <x v="123"/>
    <s v="PROFESSORES"/>
    <s v="EDSON"/>
    <x v="2"/>
    <s v="PROBLEMA COM O MICROFONE"/>
    <n v="1"/>
    <s v="Finalizado"/>
    <n v="2021"/>
    <n v="9"/>
    <n v="20"/>
  </r>
  <r>
    <m/>
    <x v="3"/>
    <x v="124"/>
    <s v="PROFESSORES"/>
    <s v="DANIEL"/>
    <x v="6"/>
    <s v="PROBLEMA COM A CÂMERA "/>
    <n v="1"/>
    <s v="Finalizado"/>
    <n v="2021"/>
    <n v="9"/>
    <n v="21"/>
  </r>
  <r>
    <m/>
    <x v="7"/>
    <x v="124"/>
    <s v="PROFESSORES"/>
    <s v="DANIEL"/>
    <x v="6"/>
    <s v="PROBLEMAS COM A CÂMERA "/>
    <n v="1"/>
    <s v="Finalizado"/>
    <n v="2021"/>
    <n v="9"/>
    <n v="21"/>
  </r>
  <r>
    <m/>
    <x v="20"/>
    <x v="124"/>
    <s v="PROFESSORES"/>
    <s v="EDSON"/>
    <x v="0"/>
    <s v="PILHAS DESCARREGADAS"/>
    <n v="1"/>
    <s v="Finalizado"/>
    <n v="2021"/>
    <n v="9"/>
    <n v="21"/>
  </r>
  <r>
    <m/>
    <x v="4"/>
    <x v="124"/>
    <s v="PROFESSORES"/>
    <s v="EDSON"/>
    <x v="0"/>
    <s v="PILHAS DESCARREGADAS"/>
    <n v="1"/>
    <s v="Finalizado"/>
    <n v="2021"/>
    <n v="9"/>
    <n v="21"/>
  </r>
  <r>
    <m/>
    <x v="11"/>
    <x v="124"/>
    <s v="PROFESSORES"/>
    <s v="DANIEL"/>
    <x v="2"/>
    <s v="PROBLEMA COM O MICROFONE"/>
    <n v="1"/>
    <s v="Finalizado"/>
    <n v="2021"/>
    <n v="9"/>
    <n v="21"/>
  </r>
  <r>
    <m/>
    <x v="10"/>
    <x v="125"/>
    <s v="PROFESSORES"/>
    <s v="EDSON"/>
    <x v="2"/>
    <s v="PROBLEMA COM O MICROFONE"/>
    <n v="1"/>
    <s v="Finalizado"/>
    <n v="2021"/>
    <n v="9"/>
    <n v="22"/>
  </r>
  <r>
    <m/>
    <x v="17"/>
    <x v="125"/>
    <s v="PROFESSORES"/>
    <s v="EDSON"/>
    <x v="6"/>
    <s v="PROBLEMA COM  A CÂMERA"/>
    <n v="1"/>
    <s v="Finalizado"/>
    <n v="2021"/>
    <n v="9"/>
    <n v="22"/>
  </r>
  <r>
    <m/>
    <x v="18"/>
    <x v="125"/>
    <s v="PROFESSORES"/>
    <s v="EDSON"/>
    <x v="6"/>
    <s v="PROBLEMA COM A CÂMERA "/>
    <n v="1"/>
    <s v="Finalizado"/>
    <n v="2021"/>
    <n v="9"/>
    <n v="22"/>
  </r>
  <r>
    <m/>
    <x v="18"/>
    <x v="125"/>
    <s v="PROFESSORES"/>
    <s v="DANIEL"/>
    <x v="3"/>
    <s v="PROBLEMA COM O COMPUTADOR"/>
    <n v="1"/>
    <s v="Finalizado"/>
    <n v="2021"/>
    <n v="9"/>
    <n v="22"/>
  </r>
  <r>
    <m/>
    <x v="12"/>
    <x v="125"/>
    <s v="PROFESSORES"/>
    <s v="DANIEL"/>
    <x v="2"/>
    <s v="PROBLEMA COM O MICROFONE"/>
    <n v="1"/>
    <s v="Finalizado"/>
    <n v="2021"/>
    <n v="9"/>
    <n v="22"/>
  </r>
  <r>
    <m/>
    <x v="3"/>
    <x v="126"/>
    <s v="PROFESSORES"/>
    <s v="EDSON"/>
    <x v="6"/>
    <s v="PROBLEMA COM A CÂMERA "/>
    <n v="1"/>
    <s v="Finalizado"/>
    <n v="2021"/>
    <n v="9"/>
    <n v="23"/>
  </r>
  <r>
    <m/>
    <x v="14"/>
    <x v="126"/>
    <s v="PROFESSORES"/>
    <s v="DANIEL"/>
    <x v="0"/>
    <s v="PILHAS DESCARREGADAS"/>
    <n v="1"/>
    <s v="Finalizado"/>
    <n v="2021"/>
    <n v="9"/>
    <n v="23"/>
  </r>
  <r>
    <m/>
    <x v="3"/>
    <x v="126"/>
    <s v="PROFESSORES"/>
    <s v="EDSON"/>
    <x v="6"/>
    <s v="PROBLEMA COM A CÂMERA "/>
    <n v="1"/>
    <s v="Finalizado"/>
    <n v="2021"/>
    <n v="9"/>
    <n v="23"/>
  </r>
  <r>
    <m/>
    <x v="11"/>
    <x v="126"/>
    <s v="PROFESSORES"/>
    <s v="DANIEL"/>
    <x v="0"/>
    <s v="PILHAS DESCARREGADAS"/>
    <n v="1"/>
    <s v="Finalizado"/>
    <n v="2021"/>
    <n v="9"/>
    <n v="23"/>
  </r>
  <r>
    <m/>
    <x v="9"/>
    <x v="126"/>
    <s v="PROFESSORES"/>
    <s v="EDSON"/>
    <x v="0"/>
    <s v="PILHAS DESCARREGADAS"/>
    <n v="1"/>
    <s v="Finalizado"/>
    <n v="2021"/>
    <n v="9"/>
    <n v="23"/>
  </r>
  <r>
    <m/>
    <x v="4"/>
    <x v="126"/>
    <s v="PROFESSORES"/>
    <s v="DANIEL"/>
    <x v="0"/>
    <s v="PILHAS DESCARREGADAS"/>
    <n v="1"/>
    <s v="Finalizado"/>
    <n v="2021"/>
    <n v="9"/>
    <n v="23"/>
  </r>
  <r>
    <m/>
    <x v="2"/>
    <x v="127"/>
    <s v="PROFESSORES"/>
    <s v="DANIEL"/>
    <x v="0"/>
    <s v="PILHAS DESCARREGADAS"/>
    <n v="1"/>
    <s v="Finalizado"/>
    <n v="2021"/>
    <n v="9"/>
    <n v="24"/>
  </r>
  <r>
    <m/>
    <x v="12"/>
    <x v="127"/>
    <s v="PROFESSORES"/>
    <s v="EDSON"/>
    <x v="0"/>
    <s v="PILHAS DESCARREGADAS"/>
    <n v="1"/>
    <s v="Finalizado"/>
    <n v="2021"/>
    <n v="9"/>
    <n v="24"/>
  </r>
  <r>
    <m/>
    <x v="7"/>
    <x v="127"/>
    <s v="PROFESSORES"/>
    <s v="EDSON"/>
    <x v="2"/>
    <s v="PROBLEMA COM O MICROFONE"/>
    <n v="1"/>
    <s v="Finalizado"/>
    <n v="2021"/>
    <n v="9"/>
    <n v="24"/>
  </r>
  <r>
    <m/>
    <x v="20"/>
    <x v="127"/>
    <s v="PROFESSORES"/>
    <s v="DANIEL"/>
    <x v="2"/>
    <s v="PROBLEMA COM O MICROFONE"/>
    <n v="1"/>
    <s v="Finalizado"/>
    <n v="2021"/>
    <n v="9"/>
    <n v="24"/>
  </r>
  <r>
    <m/>
    <x v="0"/>
    <x v="127"/>
    <s v="PROFESSORES"/>
    <s v="DANIEL"/>
    <x v="2"/>
    <s v="PROBLEMA COM O MICROFONE"/>
    <n v="1"/>
    <s v="Finalizado"/>
    <n v="2021"/>
    <n v="9"/>
    <n v="24"/>
  </r>
  <r>
    <m/>
    <x v="21"/>
    <x v="128"/>
    <s v="PROFESSORES"/>
    <s v="EDSON"/>
    <x v="3"/>
    <s v="PROBLEMA COM O COMPUTADOR"/>
    <n v="1"/>
    <s v="Finalizado"/>
    <n v="2021"/>
    <n v="9"/>
    <n v="27"/>
  </r>
  <r>
    <m/>
    <x v="18"/>
    <x v="128"/>
    <s v="PROFESSORES"/>
    <s v="EDSON"/>
    <x v="3"/>
    <s v="PROBLEMA COM O COMPUTADOR"/>
    <n v="1"/>
    <s v="Finalizado"/>
    <n v="2021"/>
    <n v="9"/>
    <n v="27"/>
  </r>
  <r>
    <m/>
    <x v="20"/>
    <x v="128"/>
    <s v="PROFESSORES"/>
    <s v="DANIEL"/>
    <x v="2"/>
    <s v="PROBLEMA COM O MICROFONE"/>
    <n v="1"/>
    <s v="Finalizado"/>
    <n v="2021"/>
    <n v="9"/>
    <n v="27"/>
  </r>
  <r>
    <m/>
    <x v="15"/>
    <x v="128"/>
    <s v="PROFESSORES"/>
    <s v="DANIEL"/>
    <x v="6"/>
    <s v="PROBLEMA COM A CÂMERA"/>
    <n v="1"/>
    <s v="Finalizado"/>
    <n v="2021"/>
    <n v="9"/>
    <n v="27"/>
  </r>
  <r>
    <m/>
    <x v="2"/>
    <x v="128"/>
    <s v="PROFESSORES"/>
    <s v="EDSON"/>
    <x v="0"/>
    <s v="PILHAS DESCARREGADAS"/>
    <n v="1"/>
    <s v="Finalizado"/>
    <n v="2021"/>
    <n v="9"/>
    <n v="27"/>
  </r>
  <r>
    <m/>
    <x v="3"/>
    <x v="129"/>
    <s v="PROFESSORES"/>
    <s v="DANIEL"/>
    <x v="0"/>
    <s v="PILHAS DESCARREGADAS"/>
    <n v="1"/>
    <s v="Finalizado"/>
    <n v="2021"/>
    <n v="9"/>
    <n v="28"/>
  </r>
  <r>
    <m/>
    <x v="3"/>
    <x v="129"/>
    <s v="PROFESSORES"/>
    <s v="EDSON"/>
    <x v="6"/>
    <s v="PROBLEMA COM A CÂMERA"/>
    <n v="1"/>
    <s v="Finalizado"/>
    <n v="2021"/>
    <n v="9"/>
    <n v="28"/>
  </r>
  <r>
    <m/>
    <x v="8"/>
    <x v="129"/>
    <s v="PROFESSORES"/>
    <s v="DANIEL"/>
    <x v="2"/>
    <s v="PROBLEMA COM O MICROFONE"/>
    <n v="1"/>
    <s v="Finalizado"/>
    <n v="2021"/>
    <n v="9"/>
    <n v="28"/>
  </r>
  <r>
    <m/>
    <x v="10"/>
    <x v="129"/>
    <s v="PROFESSORES"/>
    <s v="DANIEL"/>
    <x v="3"/>
    <s v="PROBLEMA COM O MONITOR"/>
    <n v="1"/>
    <s v="Finalizado"/>
    <n v="2021"/>
    <n v="9"/>
    <n v="28"/>
  </r>
  <r>
    <m/>
    <x v="10"/>
    <x v="129"/>
    <s v="PROFESSORES"/>
    <s v="DANIEL"/>
    <x v="2"/>
    <s v="PROBLEMA COM O MICROFONE"/>
    <n v="1"/>
    <s v="Finalizado"/>
    <n v="2021"/>
    <n v="9"/>
    <n v="28"/>
  </r>
  <r>
    <m/>
    <x v="17"/>
    <x v="129"/>
    <s v="PROFESSORES"/>
    <s v="EDSON"/>
    <x v="3"/>
    <s v="PROBLEMA COM O COMPUTADOR"/>
    <n v="1"/>
    <s v="Finalizado"/>
    <n v="2021"/>
    <n v="9"/>
    <n v="28"/>
  </r>
  <r>
    <m/>
    <x v="14"/>
    <x v="130"/>
    <s v="PROFESSORES"/>
    <s v="EDSON"/>
    <x v="0"/>
    <s v="PILHAS DESCARREGADAS"/>
    <n v="1"/>
    <s v="Finalizado"/>
    <n v="2021"/>
    <n v="9"/>
    <n v="29"/>
  </r>
  <r>
    <m/>
    <x v="20"/>
    <x v="131"/>
    <s v="PROFESSORES"/>
    <s v="EDSON"/>
    <x v="3"/>
    <s v="PROBLEMA COM O COMPUTADOR"/>
    <n v="1"/>
    <s v="Finalizado"/>
    <n v="2021"/>
    <n v="9"/>
    <n v="30"/>
  </r>
  <r>
    <m/>
    <x v="10"/>
    <x v="131"/>
    <s v="PROFESSORES"/>
    <s v="DANIEL"/>
    <x v="0"/>
    <s v="PILHAS DESCARREGADAS"/>
    <n v="1"/>
    <s v="Finalizado"/>
    <n v="2021"/>
    <n v="9"/>
    <n v="30"/>
  </r>
  <r>
    <m/>
    <x v="18"/>
    <x v="131"/>
    <s v="PROFESSORES"/>
    <s v="EDSON"/>
    <x v="3"/>
    <s v="PROBLEMA COM O COMPUTADOR"/>
    <n v="1"/>
    <s v="Finalizado"/>
    <n v="2021"/>
    <n v="9"/>
    <n v="30"/>
  </r>
  <r>
    <m/>
    <x v="11"/>
    <x v="131"/>
    <s v="PROFESSORES"/>
    <s v="DANIEL"/>
    <x v="0"/>
    <s v="PILHAS DESCARREGADAS"/>
    <n v="1"/>
    <s v="Finalizado"/>
    <n v="2021"/>
    <n v="9"/>
    <n v="30"/>
  </r>
  <r>
    <m/>
    <x v="0"/>
    <x v="131"/>
    <s v="PROFESSORES"/>
    <s v="EDSON"/>
    <x v="22"/>
    <s v="PROBLEMA COM O MICROFONE"/>
    <n v="1"/>
    <s v="Finalizado"/>
    <n v="2021"/>
    <n v="9"/>
    <n v="30"/>
  </r>
  <r>
    <m/>
    <x v="9"/>
    <x v="131"/>
    <s v="PROFESSORES"/>
    <s v="DANIEL"/>
    <x v="6"/>
    <s v="PROBLEMA COM A CÂMERA"/>
    <n v="1"/>
    <s v="Finalizado"/>
    <n v="2021"/>
    <n v="9"/>
    <n v="30"/>
  </r>
  <r>
    <m/>
    <x v="11"/>
    <x v="132"/>
    <s v="PROFESSORES"/>
    <s v="EDSON"/>
    <x v="6"/>
    <s v="PROBLEMA COM A CÂMERA"/>
    <n v="1"/>
    <s v="Finalizado"/>
    <n v="2021"/>
    <n v="10"/>
    <n v="1"/>
  </r>
  <r>
    <m/>
    <x v="10"/>
    <x v="132"/>
    <s v="PROFESSORES"/>
    <s v="EDSON"/>
    <x v="22"/>
    <s v="PROBLEMA COM O ÁUDIO "/>
    <n v="1"/>
    <s v="Finalizado"/>
    <n v="2021"/>
    <n v="10"/>
    <n v="1"/>
  </r>
  <r>
    <m/>
    <x v="14"/>
    <x v="132"/>
    <s v="PROFESSORES"/>
    <s v="DANIEL"/>
    <x v="6"/>
    <s v="PROBLEMA COM A CÂMERA"/>
    <n v="1"/>
    <s v="Finalizado"/>
    <n v="2021"/>
    <n v="10"/>
    <n v="1"/>
  </r>
  <r>
    <m/>
    <x v="16"/>
    <x v="132"/>
    <s v="PROFESSORES"/>
    <s v="DANIEL"/>
    <x v="0"/>
    <s v="PILHAS DESCARREGADAS"/>
    <n v="1"/>
    <s v="Finalizado"/>
    <n v="2021"/>
    <n v="10"/>
    <n v="1"/>
  </r>
  <r>
    <m/>
    <x v="17"/>
    <x v="133"/>
    <s v="PROFESSORES"/>
    <s v="EDSON"/>
    <x v="0"/>
    <s v="PILHAS DESCARREGADAS"/>
    <n v="1"/>
    <s v="Finalizado"/>
    <n v="2021"/>
    <n v="10"/>
    <n v="4"/>
  </r>
  <r>
    <m/>
    <x v="12"/>
    <x v="133"/>
    <s v="PROFESSORES"/>
    <s v="EDSON"/>
    <x v="0"/>
    <s v="PILHAS DESCARREGADAS"/>
    <n v="1"/>
    <s v="Finalizado"/>
    <n v="2021"/>
    <n v="10"/>
    <n v="4"/>
  </r>
  <r>
    <m/>
    <x v="2"/>
    <x v="133"/>
    <s v="PROFESSORES"/>
    <s v="EDSON"/>
    <x v="8"/>
    <s v="PROBLEMA COM A INTERNET"/>
    <n v="1"/>
    <s v="Finalizado"/>
    <n v="2021"/>
    <n v="10"/>
    <n v="4"/>
  </r>
  <r>
    <m/>
    <x v="21"/>
    <x v="134"/>
    <s v="PROFESSORES"/>
    <s v="DANIEL"/>
    <x v="6"/>
    <s v="PROBLEMA COM A CÂMERA"/>
    <n v="1"/>
    <s v="Finalizado"/>
    <n v="2021"/>
    <n v="10"/>
    <n v="5"/>
  </r>
  <r>
    <m/>
    <x v="0"/>
    <x v="134"/>
    <s v="PROFESSORES"/>
    <s v="EDSON"/>
    <x v="3"/>
    <s v="PROBLEMA COM O COMPUTADOR"/>
    <n v="1"/>
    <s v="Finalizado"/>
    <n v="2021"/>
    <n v="10"/>
    <n v="5"/>
  </r>
  <r>
    <m/>
    <x v="10"/>
    <x v="134"/>
    <s v="PROFESSORES"/>
    <s v="EDSON"/>
    <x v="8"/>
    <s v="PROBLEMA COM A INTERNET"/>
    <n v="1"/>
    <s v="Finalizado"/>
    <n v="2021"/>
    <n v="10"/>
    <n v="5"/>
  </r>
  <r>
    <m/>
    <x v="1"/>
    <x v="134"/>
    <s v="PROFESSORES"/>
    <s v="DANIEL"/>
    <x v="3"/>
    <s v="PROBLEMA COM O COMPUTADOR"/>
    <n v="1"/>
    <s v="Finalizado"/>
    <n v="2021"/>
    <n v="10"/>
    <n v="5"/>
  </r>
  <r>
    <m/>
    <x v="7"/>
    <x v="134"/>
    <s v="PROFESSORES"/>
    <s v="EDSON"/>
    <x v="6"/>
    <s v="PROBLEMA COM A CÂMERA"/>
    <n v="1"/>
    <s v="Finalizado"/>
    <n v="2021"/>
    <n v="10"/>
    <n v="5"/>
  </r>
  <r>
    <m/>
    <x v="14"/>
    <x v="134"/>
    <s v="PROFESSORES"/>
    <s v="DANIEL"/>
    <x v="22"/>
    <s v="PROBLEMA COM O MICROFONE"/>
    <n v="1"/>
    <s v="Finalizado"/>
    <n v="2021"/>
    <n v="10"/>
    <n v="5"/>
  </r>
  <r>
    <m/>
    <x v="3"/>
    <x v="135"/>
    <s v="PROFESSORES"/>
    <s v="DANIEL"/>
    <x v="0"/>
    <s v="PILHAS DESCARREGADAS"/>
    <n v="1"/>
    <s v="Finalizado"/>
    <n v="2021"/>
    <n v="10"/>
    <n v="6"/>
  </r>
  <r>
    <m/>
    <x v="15"/>
    <x v="136"/>
    <s v="PROFESSORES"/>
    <s v="EDSON"/>
    <x v="22"/>
    <s v="PROBLEMA COM O MICROFONE"/>
    <n v="1"/>
    <s v="Finalizado"/>
    <n v="2021"/>
    <n v="10"/>
    <n v="7"/>
  </r>
  <r>
    <m/>
    <x v="12"/>
    <x v="136"/>
    <s v="PROFESSORES"/>
    <s v="EDSON"/>
    <x v="6"/>
    <s v="PROBLEMA COM A CÂMERA"/>
    <n v="1"/>
    <s v="Finalizado"/>
    <n v="2021"/>
    <n v="10"/>
    <n v="7"/>
  </r>
  <r>
    <m/>
    <x v="1"/>
    <x v="136"/>
    <s v="PROFESSORES"/>
    <s v="DANIEL"/>
    <x v="22"/>
    <s v="PROBLEMA COM MICROFONE"/>
    <n v="1"/>
    <s v="Finalizado"/>
    <n v="2021"/>
    <n v="10"/>
    <n v="7"/>
  </r>
  <r>
    <m/>
    <x v="14"/>
    <x v="137"/>
    <s v="PROFESSORES"/>
    <s v="EDSON"/>
    <x v="6"/>
    <s v="PROBLEMA COM A CÂMERA"/>
    <n v="1"/>
    <s v="Finalizado"/>
    <n v="2021"/>
    <n v="10"/>
    <n v="10"/>
  </r>
  <r>
    <m/>
    <x v="14"/>
    <x v="137"/>
    <s v="PROFESSORES"/>
    <s v="DANIEL"/>
    <x v="0"/>
    <s v="PILHAS DESCARREGADAS"/>
    <n v="1"/>
    <s v="Finalizado"/>
    <n v="2021"/>
    <n v="10"/>
    <n v="10"/>
  </r>
  <r>
    <m/>
    <x v="21"/>
    <x v="138"/>
    <s v="PROFESSORES"/>
    <s v="EDSON"/>
    <x v="3"/>
    <s v="PROBLEMA COM O COMPUTADOR"/>
    <n v="1"/>
    <s v="Finalizado"/>
    <n v="2021"/>
    <n v="10"/>
    <n v="13"/>
  </r>
  <r>
    <m/>
    <x v="21"/>
    <x v="138"/>
    <s v="PROFESSORES"/>
    <s v="DANIEL"/>
    <x v="6"/>
    <s v="PROBLEMA COM A CÂMERA"/>
    <n v="1"/>
    <s v="Finalizado"/>
    <n v="2021"/>
    <n v="10"/>
    <n v="13"/>
  </r>
  <r>
    <m/>
    <x v="9"/>
    <x v="139"/>
    <s v="PROFESSORES"/>
    <s v="EDSON"/>
    <x v="3"/>
    <s v="PROBLEMA COM O COMPUTADOR"/>
    <n v="1"/>
    <s v="Finalizado"/>
    <n v="2021"/>
    <n v="10"/>
    <n v="14"/>
  </r>
  <r>
    <m/>
    <x v="11"/>
    <x v="139"/>
    <s v="PROFESSORES"/>
    <s v="EDSON"/>
    <x v="0"/>
    <s v="PILHAS DESCARREGADAS"/>
    <n v="1"/>
    <s v="Finalizado"/>
    <n v="2021"/>
    <n v="10"/>
    <n v="14"/>
  </r>
  <r>
    <m/>
    <x v="12"/>
    <x v="139"/>
    <s v="PROFESSORES"/>
    <s v="DANIEL"/>
    <x v="6"/>
    <s v="PROBLEMA COM A CÂMERA"/>
    <n v="1"/>
    <s v="Finalizado"/>
    <n v="2021"/>
    <n v="10"/>
    <n v="14"/>
  </r>
  <r>
    <m/>
    <x v="17"/>
    <x v="140"/>
    <s v="PROFESSORES"/>
    <s v="EDSON"/>
    <x v="3"/>
    <s v="PROBLEMA COM O COMPUTADOR"/>
    <n v="1"/>
    <s v="Finalizado"/>
    <n v="2021"/>
    <n v="10"/>
    <n v="15"/>
  </r>
  <r>
    <m/>
    <x v="3"/>
    <x v="140"/>
    <s v="PROFESSORES"/>
    <s v="EDSON"/>
    <x v="0"/>
    <s v="PILHAS DESCARREGADAS"/>
    <n v="1"/>
    <s v="Finalizado"/>
    <n v="2021"/>
    <n v="10"/>
    <n v="15"/>
  </r>
  <r>
    <m/>
    <x v="15"/>
    <x v="140"/>
    <s v="PROFESSORES"/>
    <s v="DANIEL"/>
    <x v="22"/>
    <s v="PROBLEMA COM O MICROFONE"/>
    <n v="1"/>
    <s v="Finalizado"/>
    <n v="2021"/>
    <n v="10"/>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08h45"/>
    <x v="0"/>
    <s v="5° Ano A2"/>
    <s v="Vídeos: 107 - 108 (Sistemas)"/>
    <n v="1"/>
    <m/>
  </r>
  <r>
    <x v="1"/>
    <s v="09h00"/>
    <x v="0"/>
    <s v="5°Ano A1"/>
    <s v="Vídeos: 107 - 108 ( Sistemas)"/>
    <n v="1"/>
    <m/>
  </r>
  <r>
    <x v="2"/>
    <s v="15h30"/>
    <x v="1"/>
    <s v="2º Ano B"/>
    <s v="Aula de Apresentação"/>
    <n v="1"/>
    <m/>
  </r>
  <r>
    <x v="3"/>
    <s v="15h30"/>
    <x v="2"/>
    <s v="4º Ano B"/>
    <s v="Vídeos: 3 - A reciclagem de plásticos; 36 - Ecossistemas de florestas; 92 - Poluição do Ar"/>
    <n v="1"/>
    <m/>
  </r>
  <r>
    <x v="4"/>
    <s v="10h30"/>
    <x v="0"/>
    <s v="5°Ano A1"/>
    <s v="Video: 18 (Conceitos básicos de decimais)"/>
    <n v="1"/>
    <m/>
  </r>
  <r>
    <x v="5"/>
    <s v="10h30"/>
    <x v="0"/>
    <s v="5° Ano A2"/>
    <s v="Video: 18 (Conceitos básicos de decimais)"/>
    <n v="1"/>
    <m/>
  </r>
  <r>
    <x v="6"/>
    <s v="11h00"/>
    <x v="3"/>
    <s v="3º Ano A"/>
    <s v="Video: 9 (Ciclo de vida de uma borboleta)"/>
    <n v="1"/>
    <m/>
  </r>
  <r>
    <x v="7"/>
    <s v="14H00"/>
    <x v="3"/>
    <s v="3º Ano B"/>
    <s v="Video: 9 (Ciclo de vida de uma borboleta)"/>
    <n v="1"/>
    <m/>
  </r>
  <r>
    <x v="8"/>
    <s v="11H30"/>
    <x v="2"/>
    <s v="4º Ano A"/>
    <s v="Video: ****"/>
    <n v="1"/>
    <m/>
  </r>
  <r>
    <x v="9"/>
    <s v="09H30"/>
    <x v="1"/>
    <s v="2º Ano A"/>
    <s v="Videos: (Animais domésticos e onde vivem) "/>
    <n v="1"/>
    <m/>
  </r>
  <r>
    <x v="9"/>
    <s v="15H40"/>
    <x v="1"/>
    <s v="2º Ano B"/>
    <s v="Videos: (Animais selvagens e suas moradias)"/>
    <n v="1"/>
    <m/>
  </r>
  <r>
    <x v="10"/>
    <s v="10h30"/>
    <x v="0"/>
    <s v="5°Ano A1"/>
    <s v="Vídeo: Porcentagem"/>
    <n v="1"/>
    <m/>
  </r>
  <r>
    <x v="11"/>
    <m/>
    <x v="4"/>
    <m/>
    <m/>
    <m/>
    <m/>
  </r>
  <r>
    <x v="11"/>
    <m/>
    <x v="4"/>
    <m/>
    <m/>
    <m/>
    <m/>
  </r>
  <r>
    <x v="10"/>
    <s v="11H30"/>
    <x v="0"/>
    <s v="5° Ano A2"/>
    <s v="Vídeo: Porcentagem"/>
    <n v="1"/>
    <m/>
  </r>
  <r>
    <x v="11"/>
    <m/>
    <x v="4"/>
    <m/>
    <m/>
    <m/>
    <m/>
  </r>
  <r>
    <x v="11"/>
    <m/>
    <x v="4"/>
    <m/>
    <m/>
    <m/>
    <m/>
  </r>
  <r>
    <x v="11"/>
    <m/>
    <x v="4"/>
    <m/>
    <m/>
    <m/>
    <m/>
  </r>
  <r>
    <x v="11"/>
    <m/>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5157D-434F-42B9-9974-1F710F00842A}" name="Tabela dinâmica2"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5">
  <location ref="A4:M10" firstHeaderRow="1" firstDataRow="2" firstDataCol="1"/>
  <pivotFields count="8">
    <pivotField axis="axisCol"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h="1" x="367"/>
        <item t="default"/>
      </items>
    </pivotField>
    <pivotField showAll="0"/>
    <pivotField axis="axisRow" showAll="0">
      <items count="10">
        <item x="3"/>
        <item x="1"/>
        <item x="0"/>
        <item x="2"/>
        <item x="4"/>
        <item m="1" x="8"/>
        <item h="1" m="1" x="7"/>
        <item h="1" m="1" x="5"/>
        <item h="1" m="1" x="6"/>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0"/>
  </colFields>
  <colItems count="12">
    <i>
      <x v="244"/>
    </i>
    <i>
      <x v="246"/>
    </i>
    <i>
      <x v="253"/>
    </i>
    <i>
      <x v="254"/>
    </i>
    <i>
      <x v="258"/>
    </i>
    <i>
      <x v="259"/>
    </i>
    <i>
      <x v="265"/>
    </i>
    <i>
      <x v="268"/>
    </i>
    <i>
      <x v="279"/>
    </i>
    <i>
      <x v="295"/>
    </i>
    <i>
      <x v="303"/>
    </i>
    <i t="grand">
      <x/>
    </i>
  </colItems>
  <dataFields count="1">
    <dataField name="Soma de Total de Atendimento" fld="5" baseField="0" baseItem="0"/>
  </dataFields>
  <chartFormats count="14">
    <chartFormat chart="24" format="11" series="1">
      <pivotArea type="data" outline="0" fieldPosition="0">
        <references count="2">
          <reference field="4294967294" count="1" selected="0">
            <x v="0"/>
          </reference>
          <reference field="0" count="1" selected="0">
            <x v="244"/>
          </reference>
        </references>
      </pivotArea>
    </chartFormat>
    <chartFormat chart="24" format="12" series="1">
      <pivotArea type="data" outline="0" fieldPosition="0">
        <references count="2">
          <reference field="4294967294" count="1" selected="0">
            <x v="0"/>
          </reference>
          <reference field="0" count="1" selected="0">
            <x v="246"/>
          </reference>
        </references>
      </pivotArea>
    </chartFormat>
    <chartFormat chart="24" format="13" series="1">
      <pivotArea type="data" outline="0" fieldPosition="0">
        <references count="2">
          <reference field="4294967294" count="1" selected="0">
            <x v="0"/>
          </reference>
          <reference field="0" count="1" selected="0">
            <x v="253"/>
          </reference>
        </references>
      </pivotArea>
    </chartFormat>
    <chartFormat chart="24" format="14" series="1">
      <pivotArea type="data" outline="0" fieldPosition="0">
        <references count="2">
          <reference field="4294967294" count="1" selected="0">
            <x v="0"/>
          </reference>
          <reference field="0" count="1" selected="0">
            <x v="254"/>
          </reference>
        </references>
      </pivotArea>
    </chartFormat>
    <chartFormat chart="24" format="15" series="1">
      <pivotArea type="data" outline="0" fieldPosition="0">
        <references count="2">
          <reference field="4294967294" count="1" selected="0">
            <x v="0"/>
          </reference>
          <reference field="0" count="1" selected="0">
            <x v="258"/>
          </reference>
        </references>
      </pivotArea>
    </chartFormat>
    <chartFormat chart="24" format="16" series="1">
      <pivotArea type="data" outline="0" fieldPosition="0">
        <references count="2">
          <reference field="4294967294" count="1" selected="0">
            <x v="0"/>
          </reference>
          <reference field="0" count="1" selected="0">
            <x v="259"/>
          </reference>
        </references>
      </pivotArea>
    </chartFormat>
    <chartFormat chart="24" format="17" series="1">
      <pivotArea type="data" outline="0" fieldPosition="0">
        <references count="2">
          <reference field="4294967294" count="1" selected="0">
            <x v="0"/>
          </reference>
          <reference field="0" count="1" selected="0">
            <x v="265"/>
          </reference>
        </references>
      </pivotArea>
    </chartFormat>
    <chartFormat chart="24" format="18" series="1">
      <pivotArea type="data" outline="0" fieldPosition="0">
        <references count="2">
          <reference field="4294967294" count="1" selected="0">
            <x v="0"/>
          </reference>
          <reference field="0" count="1" selected="0">
            <x v="268"/>
          </reference>
        </references>
      </pivotArea>
    </chartFormat>
    <chartFormat chart="24" format="19" series="1">
      <pivotArea type="data" outline="0" fieldPosition="0">
        <references count="2">
          <reference field="4294967294" count="1" selected="0">
            <x v="0"/>
          </reference>
          <reference field="0" count="1" selected="0">
            <x v="279"/>
          </reference>
        </references>
      </pivotArea>
    </chartFormat>
    <chartFormat chart="24" format="20" series="1">
      <pivotArea type="data" outline="0" fieldPosition="0">
        <references count="2">
          <reference field="4294967294" count="1" selected="0">
            <x v="0"/>
          </reference>
          <reference field="0" count="1" selected="0">
            <x v="295"/>
          </reference>
        </references>
      </pivotArea>
    </chartFormat>
    <chartFormat chart="24" format="21" series="1">
      <pivotArea type="data" outline="0" fieldPosition="0">
        <references count="2">
          <reference field="4294967294" count="1" selected="0">
            <x v="0"/>
          </reference>
          <reference field="0" count="1" selected="0">
            <x v="303"/>
          </reference>
        </references>
      </pivotArea>
    </chartFormat>
    <chartFormat chart="24" format="22" series="1">
      <pivotArea type="data" outline="0" fieldPosition="0">
        <references count="1">
          <reference field="4294967294" count="1" selected="0">
            <x v="0"/>
          </reference>
        </references>
      </pivotArea>
    </chartFormat>
    <chartFormat chart="24" format="23" series="1">
      <pivotArea type="data" outline="0" fieldPosition="0">
        <references count="2">
          <reference field="4294967294" count="1" selected="0">
            <x v="0"/>
          </reference>
          <reference field="0" count="1" selected="0">
            <x v="313"/>
          </reference>
        </references>
      </pivotArea>
    </chartFormat>
    <chartFormat chart="24" format="24" series="1">
      <pivotArea type="data" outline="0" fieldPosition="0">
        <references count="2">
          <reference field="4294967294" count="1" selected="0">
            <x v="0"/>
          </reference>
          <reference field="0" count="1" selected="0">
            <x v="3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6F6F2-6F84-403C-A6A8-F2005CA87163}" name="Tabela dinâmica3"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20:B26" firstHeaderRow="1" firstDataRow="1" firstDataCol="1"/>
  <pivotFields count="8">
    <pivotField showAll="0"/>
    <pivotField showAll="0"/>
    <pivotField axis="axisRow" showAll="0">
      <items count="10">
        <item x="3"/>
        <item x="1"/>
        <item x="0"/>
        <item x="2"/>
        <item x="4"/>
        <item m="1" x="8"/>
        <item m="1" x="7"/>
        <item m="1" x="5"/>
        <item m="1" x="6"/>
        <item t="default"/>
      </items>
    </pivotField>
    <pivotField showAll="0"/>
    <pivotField showAll="0"/>
    <pivotField dataField="1" showAll="0"/>
    <pivotField showAll="0"/>
    <pivotField showAll="0" defaultSubtotal="0"/>
  </pivotFields>
  <rowFields count="1">
    <field x="2"/>
  </rowFields>
  <rowItems count="6">
    <i>
      <x/>
    </i>
    <i>
      <x v="1"/>
    </i>
    <i>
      <x v="2"/>
    </i>
    <i>
      <x v="3"/>
    </i>
    <i>
      <x v="4"/>
    </i>
    <i t="grand">
      <x/>
    </i>
  </rowItems>
  <colItems count="1">
    <i/>
  </colItems>
  <dataFields count="1">
    <dataField name="Soma de Total de Atendimento"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Tabela dinâ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23">
  <location ref="A3:T7" firstHeaderRow="1" firstDataRow="2" firstDataCol="1" rowPageCount="1" colPageCount="1"/>
  <pivotFields count="12">
    <pivotField showAll="0"/>
    <pivotField axis="axisCol" showAll="0">
      <items count="23">
        <item x="20"/>
        <item x="0"/>
        <item x="21"/>
        <item x="1"/>
        <item x="4"/>
        <item x="9"/>
        <item x="10"/>
        <item x="11"/>
        <item x="2"/>
        <item x="8"/>
        <item x="12"/>
        <item x="3"/>
        <item x="13"/>
        <item x="14"/>
        <item x="15"/>
        <item x="5"/>
        <item x="6"/>
        <item x="16"/>
        <item x="7"/>
        <item x="17"/>
        <item x="18"/>
        <item x="19"/>
        <item t="default"/>
      </items>
    </pivotField>
    <pivotField axis="axisPage" numFmtId="14" multipleItemSelectionAllowed="1" showAll="0">
      <items count="142">
        <item x="63"/>
        <item x="77"/>
        <item x="78"/>
        <item x="85"/>
        <item x="80"/>
        <item x="73"/>
        <item x="83"/>
        <item x="86"/>
        <item x="64"/>
        <item x="81"/>
        <item x="65"/>
        <item x="66"/>
        <item x="92"/>
        <item x="67"/>
        <item x="74"/>
        <item x="90"/>
        <item x="70"/>
        <item x="84"/>
        <item x="87"/>
        <item x="55"/>
        <item x="56"/>
        <item x="57"/>
        <item x="58"/>
        <item x="91"/>
        <item x="47"/>
        <item x="59"/>
        <item x="60"/>
        <item x="32"/>
        <item x="88"/>
        <item x="43"/>
        <item x="13"/>
        <item x="75"/>
        <item x="0"/>
        <item x="14"/>
        <item x="1"/>
        <item x="61"/>
        <item x="33"/>
        <item x="2"/>
        <item x="82"/>
        <item x="15"/>
        <item x="3"/>
        <item x="4"/>
        <item x="76"/>
        <item x="36"/>
        <item x="48"/>
        <item x="39"/>
        <item x="40"/>
        <item x="5"/>
        <item x="62"/>
        <item x="68"/>
        <item x="6"/>
        <item x="7"/>
        <item x="37"/>
        <item x="16"/>
        <item x="17"/>
        <item x="34"/>
        <item x="71"/>
        <item x="79"/>
        <item x="49"/>
        <item x="50"/>
        <item x="44"/>
        <item x="38"/>
        <item x="51"/>
        <item x="41"/>
        <item x="8"/>
        <item x="52"/>
        <item x="45"/>
        <item x="69"/>
        <item x="53"/>
        <item x="18"/>
        <item x="35"/>
        <item x="19"/>
        <item x="89"/>
        <item x="20"/>
        <item x="9"/>
        <item x="46"/>
        <item x="21"/>
        <item x="54"/>
        <item x="10"/>
        <item x="11"/>
        <item x="72"/>
        <item x="12"/>
        <item x="42"/>
        <item x="22"/>
        <item x="23"/>
        <item x="24"/>
        <item x="25"/>
        <item x="26"/>
        <item x="27"/>
        <item x="28"/>
        <item x="29"/>
        <item x="30"/>
        <item x="3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axis="axisRow" showAll="0">
      <items count="27">
        <item h="1" x="15"/>
        <item h="1" x="24"/>
        <item h="1" x="14"/>
        <item x="6"/>
        <item x="13"/>
        <item h="1" x="3"/>
        <item h="1" x="25"/>
        <item h="1" x="8"/>
        <item h="1" x="18"/>
        <item h="1" x="10"/>
        <item h="1" x="2"/>
        <item h="1" x="22"/>
        <item h="1" x="5"/>
        <item h="1" x="1"/>
        <item h="1" x="7"/>
        <item h="1" x="12"/>
        <item h="1" x="0"/>
        <item h="1" x="11"/>
        <item h="1" x="16"/>
        <item h="1" x="21"/>
        <item h="1" x="19"/>
        <item h="1" x="20"/>
        <item h="1" x="9"/>
        <item h="1" x="17"/>
        <item h="1" x="4"/>
        <item h="1" x="23"/>
        <item t="default"/>
      </items>
    </pivotField>
    <pivotField showAll="0"/>
    <pivotField dataField="1" showAll="0"/>
    <pivotField showAll="0"/>
    <pivotField showAll="0"/>
    <pivotField showAll="0"/>
    <pivotField showAll="0"/>
  </pivotFields>
  <rowFields count="1">
    <field x="5"/>
  </rowFields>
  <rowItems count="3">
    <i>
      <x v="3"/>
    </i>
    <i>
      <x v="4"/>
    </i>
    <i t="grand">
      <x/>
    </i>
  </rowItems>
  <colFields count="1">
    <field x="1"/>
  </colFields>
  <colItems count="19">
    <i>
      <x v="2"/>
    </i>
    <i>
      <x v="3"/>
    </i>
    <i>
      <x v="4"/>
    </i>
    <i>
      <x v="5"/>
    </i>
    <i>
      <x v="7"/>
    </i>
    <i>
      <x v="8"/>
    </i>
    <i>
      <x v="9"/>
    </i>
    <i>
      <x v="10"/>
    </i>
    <i>
      <x v="11"/>
    </i>
    <i>
      <x v="12"/>
    </i>
    <i>
      <x v="13"/>
    </i>
    <i>
      <x v="14"/>
    </i>
    <i>
      <x v="15"/>
    </i>
    <i>
      <x v="16"/>
    </i>
    <i>
      <x v="17"/>
    </i>
    <i>
      <x v="18"/>
    </i>
    <i>
      <x v="19"/>
    </i>
    <i>
      <x v="20"/>
    </i>
    <i t="grand">
      <x/>
    </i>
  </colItems>
  <pageFields count="1">
    <pageField fld="2" hier="-1"/>
  </pageFields>
  <dataFields count="1">
    <dataField name="Soma de Valor total" fld="7" baseField="0" baseItem="0"/>
  </dataFields>
  <chartFormats count="21">
    <chartFormat chart="22" format="54" series="1">
      <pivotArea type="data" outline="0" fieldPosition="0">
        <references count="2">
          <reference field="4294967294" count="1" selected="0">
            <x v="0"/>
          </reference>
          <reference field="1" count="1" selected="0">
            <x v="1"/>
          </reference>
        </references>
      </pivotArea>
    </chartFormat>
    <chartFormat chart="22" format="55" series="1">
      <pivotArea type="data" outline="0" fieldPosition="0">
        <references count="2">
          <reference field="4294967294" count="1" selected="0">
            <x v="0"/>
          </reference>
          <reference field="1" count="1" selected="0">
            <x v="2"/>
          </reference>
        </references>
      </pivotArea>
    </chartFormat>
    <chartFormat chart="22" format="56" series="1">
      <pivotArea type="data" outline="0" fieldPosition="0">
        <references count="2">
          <reference field="4294967294" count="1" selected="0">
            <x v="0"/>
          </reference>
          <reference field="1" count="1" selected="0">
            <x v="3"/>
          </reference>
        </references>
      </pivotArea>
    </chartFormat>
    <chartFormat chart="22" format="57" series="1">
      <pivotArea type="data" outline="0" fieldPosition="0">
        <references count="2">
          <reference field="4294967294" count="1" selected="0">
            <x v="0"/>
          </reference>
          <reference field="1" count="1" selected="0">
            <x v="4"/>
          </reference>
        </references>
      </pivotArea>
    </chartFormat>
    <chartFormat chart="22" format="58" series="1">
      <pivotArea type="data" outline="0" fieldPosition="0">
        <references count="2">
          <reference field="4294967294" count="1" selected="0">
            <x v="0"/>
          </reference>
          <reference field="1" count="1" selected="0">
            <x v="5"/>
          </reference>
        </references>
      </pivotArea>
    </chartFormat>
    <chartFormat chart="22" format="59" series="1">
      <pivotArea type="data" outline="0" fieldPosition="0">
        <references count="2">
          <reference field="4294967294" count="1" selected="0">
            <x v="0"/>
          </reference>
          <reference field="1" count="1" selected="0">
            <x v="6"/>
          </reference>
        </references>
      </pivotArea>
    </chartFormat>
    <chartFormat chart="22" format="60" series="1">
      <pivotArea type="data" outline="0" fieldPosition="0">
        <references count="2">
          <reference field="4294967294" count="1" selected="0">
            <x v="0"/>
          </reference>
          <reference field="1" count="1" selected="0">
            <x v="7"/>
          </reference>
        </references>
      </pivotArea>
    </chartFormat>
    <chartFormat chart="22" format="61" series="1">
      <pivotArea type="data" outline="0" fieldPosition="0">
        <references count="2">
          <reference field="4294967294" count="1" selected="0">
            <x v="0"/>
          </reference>
          <reference field="1" count="1" selected="0">
            <x v="8"/>
          </reference>
        </references>
      </pivotArea>
    </chartFormat>
    <chartFormat chart="22" format="62" series="1">
      <pivotArea type="data" outline="0" fieldPosition="0">
        <references count="2">
          <reference field="4294967294" count="1" selected="0">
            <x v="0"/>
          </reference>
          <reference field="1" count="1" selected="0">
            <x v="9"/>
          </reference>
        </references>
      </pivotArea>
    </chartFormat>
    <chartFormat chart="22" format="63" series="1">
      <pivotArea type="data" outline="0" fieldPosition="0">
        <references count="2">
          <reference field="4294967294" count="1" selected="0">
            <x v="0"/>
          </reference>
          <reference field="1" count="1" selected="0">
            <x v="10"/>
          </reference>
        </references>
      </pivotArea>
    </chartFormat>
    <chartFormat chart="22" format="64" series="1">
      <pivotArea type="data" outline="0" fieldPosition="0">
        <references count="2">
          <reference field="4294967294" count="1" selected="0">
            <x v="0"/>
          </reference>
          <reference field="1" count="1" selected="0">
            <x v="11"/>
          </reference>
        </references>
      </pivotArea>
    </chartFormat>
    <chartFormat chart="22" format="65" series="1">
      <pivotArea type="data" outline="0" fieldPosition="0">
        <references count="2">
          <reference field="4294967294" count="1" selected="0">
            <x v="0"/>
          </reference>
          <reference field="1" count="1" selected="0">
            <x v="12"/>
          </reference>
        </references>
      </pivotArea>
    </chartFormat>
    <chartFormat chart="22" format="66" series="1">
      <pivotArea type="data" outline="0" fieldPosition="0">
        <references count="2">
          <reference field="4294967294" count="1" selected="0">
            <x v="0"/>
          </reference>
          <reference field="1" count="1" selected="0">
            <x v="13"/>
          </reference>
        </references>
      </pivotArea>
    </chartFormat>
    <chartFormat chart="22" format="67" series="1">
      <pivotArea type="data" outline="0" fieldPosition="0">
        <references count="2">
          <reference field="4294967294" count="1" selected="0">
            <x v="0"/>
          </reference>
          <reference field="1" count="1" selected="0">
            <x v="14"/>
          </reference>
        </references>
      </pivotArea>
    </chartFormat>
    <chartFormat chart="22" format="68" series="1">
      <pivotArea type="data" outline="0" fieldPosition="0">
        <references count="2">
          <reference field="4294967294" count="1" selected="0">
            <x v="0"/>
          </reference>
          <reference field="1" count="1" selected="0">
            <x v="15"/>
          </reference>
        </references>
      </pivotArea>
    </chartFormat>
    <chartFormat chart="22" format="69" series="1">
      <pivotArea type="data" outline="0" fieldPosition="0">
        <references count="2">
          <reference field="4294967294" count="1" selected="0">
            <x v="0"/>
          </reference>
          <reference field="1" count="1" selected="0">
            <x v="16"/>
          </reference>
        </references>
      </pivotArea>
    </chartFormat>
    <chartFormat chart="22" format="70" series="1">
      <pivotArea type="data" outline="0" fieldPosition="0">
        <references count="2">
          <reference field="4294967294" count="1" selected="0">
            <x v="0"/>
          </reference>
          <reference field="1" count="1" selected="0">
            <x v="17"/>
          </reference>
        </references>
      </pivotArea>
    </chartFormat>
    <chartFormat chart="22" format="71" series="1">
      <pivotArea type="data" outline="0" fieldPosition="0">
        <references count="2">
          <reference field="4294967294" count="1" selected="0">
            <x v="0"/>
          </reference>
          <reference field="1" count="1" selected="0">
            <x v="18"/>
          </reference>
        </references>
      </pivotArea>
    </chartFormat>
    <chartFormat chart="22" format="72" series="1">
      <pivotArea type="data" outline="0" fieldPosition="0">
        <references count="2">
          <reference field="4294967294" count="1" selected="0">
            <x v="0"/>
          </reference>
          <reference field="1" count="1" selected="0">
            <x v="19"/>
          </reference>
        </references>
      </pivotArea>
    </chartFormat>
    <chartFormat chart="22" format="73" series="1">
      <pivotArea type="data" outline="0" fieldPosition="0">
        <references count="2">
          <reference field="4294967294" count="1" selected="0">
            <x v="0"/>
          </reference>
          <reference field="1" count="1" selected="0">
            <x v="20"/>
          </reference>
        </references>
      </pivotArea>
    </chartFormat>
    <chartFormat chart="22" format="7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ADOSEQUIPAMENTOS" displayName="DADOSEQUIPAMENTOS" ref="A3:AL33" totalsRowShown="0" headerRowDxfId="70" dataDxfId="69">
  <autoFilter ref="A3:AL33" xr:uid="{00000000-0009-0000-0100-000003000000}"/>
  <tableColumns count="38">
    <tableColumn id="1" xr3:uid="{00000000-0010-0000-0000-000001000000}" name="ID" dataDxfId="68"/>
    <tableColumn id="2" xr3:uid="{00000000-0010-0000-0000-000002000000}" name="BLOCO A" dataDxfId="67"/>
    <tableColumn id="3" xr3:uid="{00000000-0010-0000-0000-000003000000}" name="MODELOS DE COMPUTADORES" dataDxfId="66"/>
    <tableColumn id="4" xr3:uid="{00000000-0010-0000-0000-000004000000}" name="DATA DE COMPRA COMPUTADORES" dataDxfId="65"/>
    <tableColumn id="5" xr3:uid="{00000000-0010-0000-0000-000005000000}" name="DATA DE CONSERTO COMPUTADORES" dataDxfId="64"/>
    <tableColumn id="6" xr3:uid="{00000000-0010-0000-0000-000006000000}" name="SISTEMA OPERACIONAL" dataDxfId="63"/>
    <tableColumn id="7" xr3:uid="{00000000-0010-0000-0000-000007000000}" name="PROCESSADOR /  HD" dataDxfId="62"/>
    <tableColumn id="8" xr3:uid="{00000000-0010-0000-0000-000008000000}" name="MEMÓRIA / TIPO SISTEMA" dataDxfId="61"/>
    <tableColumn id="9" xr3:uid="{00000000-0010-0000-0000-000009000000}" name="SOFTWARES INSTALADOS" dataDxfId="60"/>
    <tableColumn id="10" xr3:uid="{00000000-0010-0000-0000-00000A000000}" name="MANUTENÇÃO DO COMPUTADOR" dataDxfId="59"/>
    <tableColumn id="11" xr3:uid="{00000000-0010-0000-0000-00000B000000}" name="MODELOS DE LOUSA DIGITAL" dataDxfId="58"/>
    <tableColumn id="12" xr3:uid="{00000000-0010-0000-0000-00000C000000}" name="DATA COMPRA LOUSA DIGITAL" dataDxfId="57"/>
    <tableColumn id="13" xr3:uid="{00000000-0010-0000-0000-00000D000000}" name="TOUCH FUNCIONANDO" dataDxfId="56"/>
    <tableColumn id="14" xr3:uid="{00000000-0010-0000-0000-00000E000000}" name="MODELOS DE PROJETORES" dataDxfId="55"/>
    <tableColumn id="15" xr3:uid="{00000000-0010-0000-0000-00000F000000}" name="DATA COMPRA PROJETOR" dataDxfId="54"/>
    <tableColumn id="16" xr3:uid="{00000000-0010-0000-0000-000010000000}" name="DATA CONSERTO DE  PROJETOR"/>
    <tableColumn id="17" xr3:uid="{00000000-0010-0000-0000-000011000000}" name="MANUTENÇÃO PROJETOR" dataDxfId="53"/>
    <tableColumn id="18" xr3:uid="{00000000-0010-0000-0000-000012000000}" name="MODELOS CÂMERAS GO PRO" dataDxfId="52"/>
    <tableColumn id="19" xr3:uid="{00000000-0010-0000-0000-000013000000}" name="DATA COMPRA CÂMERA GO PRO" dataDxfId="51"/>
    <tableColumn id="20" xr3:uid="{00000000-0010-0000-0000-000014000000}" name="MODELO CELULAR" dataDxfId="50"/>
    <tableColumn id="21" xr3:uid="{00000000-0010-0000-0000-000015000000}" name="DATA COMPRA CELULAR" dataDxfId="49"/>
    <tableColumn id="22" xr3:uid="{00000000-0010-0000-0000-000016000000}" name="SOM SALA DE AULA" dataDxfId="48"/>
    <tableColumn id="23" xr3:uid="{00000000-0010-0000-0000-000017000000}" name="DATA DE COMPRA SOM" dataDxfId="47"/>
    <tableColumn id="24" xr3:uid="{00000000-0010-0000-0000-000018000000}" name="DATA DE  CONSERTO DE SOM" dataDxfId="46"/>
    <tableColumn id="25" xr3:uid="{00000000-0010-0000-0000-000019000000}" name="MICROFONES" dataDxfId="45"/>
    <tableColumn id="26" xr3:uid="{00000000-0010-0000-0000-00001A000000}" name="DATA DE COMPRA MICROFONES" dataDxfId="44"/>
    <tableColumn id="27" xr3:uid="{00000000-0010-0000-0000-00001B000000}" name="DATA DE  CONSERTO DE MICROFONES" dataDxfId="43"/>
    <tableColumn id="28" xr3:uid="{00000000-0010-0000-0000-00001C000000}" name="MANUTENÇÃO MICROFONES" dataDxfId="42"/>
    <tableColumn id="29" xr3:uid="{00000000-0010-0000-0000-00001D000000}" name="CÂMERAS DE SEGURANÇA" dataDxfId="41"/>
    <tableColumn id="30" xr3:uid="{00000000-0010-0000-0000-00001E000000}" name="DATA DE COMPRA CÂMERA DE SEGURANÇA" dataDxfId="40"/>
    <tableColumn id="31" xr3:uid="{00000000-0010-0000-0000-00001F000000}" name="DVR" dataDxfId="39"/>
    <tableColumn id="32" xr3:uid="{00000000-0010-0000-0000-000020000000}" name="MANUTENÇÃO DE CÂMERAS" dataDxfId="38"/>
    <tableColumn id="33" xr3:uid="{00000000-0010-0000-0000-000021000000}" name="MANUTENÇÃO  DE CÂMERAS" dataDxfId="37"/>
    <tableColumn id="34" xr3:uid="{00000000-0010-0000-0000-000022000000}" name="ESTABILIZADOR" dataDxfId="36"/>
    <tableColumn id="35" xr3:uid="{00000000-0010-0000-0000-000023000000}" name="DATA COMPRA ESTABILIZADORES" dataDxfId="35"/>
    <tableColumn id="36" xr3:uid="{00000000-0010-0000-0000-000024000000}" name="DATA CONSERTO ESTABILIZADORES" dataDxfId="34"/>
    <tableColumn id="37" xr3:uid="{00000000-0010-0000-0000-000025000000}" name="MANUTENÇÃO ESTABILIZADOR" dataDxfId="33"/>
    <tableColumn id="38" xr3:uid="{00000000-0010-0000-0000-000026000000}" name="Nº DE PATRIMÔNIO"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ER3" displayName="RESER3" ref="A3:L1778" totalsRowShown="0" headerRowDxfId="31" dataDxfId="30">
  <autoFilter ref="A3:L1778" xr:uid="{00000000-0009-0000-0100-000002000000}"/>
  <tableColumns count="12">
    <tableColumn id="1" xr3:uid="{00000000-0010-0000-0100-000001000000}" name="ID"/>
    <tableColumn id="2" xr3:uid="{00000000-0010-0000-0100-000002000000}" name="SALA DE AULA" dataDxfId="29"/>
    <tableColumn id="3" xr3:uid="{00000000-0010-0000-0100-000003000000}" name="DATA" dataDxfId="28"/>
    <tableColumn id="4" xr3:uid="{00000000-0010-0000-0100-000004000000}" name="SOLICITANTE" dataDxfId="27"/>
    <tableColumn id="5" xr3:uid="{00000000-0010-0000-0100-000005000000}" name="ATENDENTE" dataDxfId="26"/>
    <tableColumn id="6" xr3:uid="{00000000-0010-0000-0100-000006000000}" name="DEFEITO" dataDxfId="25"/>
    <tableColumn id="7" xr3:uid="{00000000-0010-0000-0100-000007000000}" name="DESCRIÇÃO DO DEFEITO" dataDxfId="24"/>
    <tableColumn id="8" xr3:uid="{00000000-0010-0000-0100-000008000000}" name="Valor total" dataDxfId="23"/>
    <tableColumn id="9" xr3:uid="{00000000-0010-0000-0100-000009000000}" name="STATUS" dataDxfId="22"/>
    <tableColumn id="10" xr3:uid="{00000000-0010-0000-0100-00000A000000}" name="Ano" dataDxfId="21">
      <calculatedColumnFormula>YEAR(RESER3[[#This Row],[DATA]])</calculatedColumnFormula>
    </tableColumn>
    <tableColumn id="11" xr3:uid="{00000000-0010-0000-0100-00000B000000}" name="Mês" dataDxfId="20">
      <calculatedColumnFormula>MONTH(C4)</calculatedColumnFormula>
    </tableColumn>
    <tableColumn id="12" xr3:uid="{00000000-0010-0000-0100-00000C000000}" name="Dia" dataDxfId="19">
      <calculatedColumnFormula>DAY(RESER3[[#This Row],[DATA]])</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FA010F-8204-4065-81E8-6AE07D8AB35C}" name="Tabela9" displayName="Tabela9" ref="A3:G22" totalsRowShown="0" headerRowDxfId="18" dataDxfId="17">
  <tableColumns count="7">
    <tableColumn id="1" xr3:uid="{C07A393C-588B-413A-871D-2756EA966E89}" name="Data" dataDxfId="16"/>
    <tableColumn id="2" xr3:uid="{CDEA1872-0E13-44AA-BC70-100FC4ECC41E}" name="Horário" dataDxfId="15"/>
    <tableColumn id="3" xr3:uid="{73997E69-CBDB-461A-94CE-9786110BDC29}" name="Professores" dataDxfId="14"/>
    <tableColumn id="4" xr3:uid="{B25E417C-1FC5-441C-B8F6-007283A6C8B9}" name="Turma" dataDxfId="13"/>
    <tableColumn id="5" xr3:uid="{9FD5F808-0FB0-4819-BE2C-44E6598A3697}" name="Assunto" dataDxfId="12"/>
    <tableColumn id="6" xr3:uid="{759A1097-C635-4FA8-ADAA-1665B862607C}" name="Total de Atendimento" dataDxfId="11"/>
    <tableColumn id="7" xr3:uid="{0AF1AC0C-74A1-44CD-9258-3F41276406A6}" name="Rerserva"/>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02D06F-B123-4B71-8820-2EF9E7D04494}" name="CONTROLE_PILHAS" displayName="CONTROLE_PILHAS" ref="A2:L561" totalsRowShown="0" headerRowDxfId="10">
  <autoFilter ref="A2:L561" xr:uid="{D202D06F-B123-4B71-8820-2EF9E7D04494}"/>
  <tableColumns count="12">
    <tableColumn id="1" xr3:uid="{B070E603-2A41-4BBD-92F4-BCC84CE69FF5}" name="ID"/>
    <tableColumn id="2" xr3:uid="{DBCCA7E2-89A8-4A30-8454-57532E70F1E8}" name="SALA DE AULA" dataDxfId="9"/>
    <tableColumn id="3" xr3:uid="{21C5D512-BE2E-4CFA-A44B-0A768E56454F}" name="DATA" dataDxfId="8"/>
    <tableColumn id="4" xr3:uid="{A37F28DF-BFE0-4A80-93F6-2565B3BDD874}" name="SOLICITANTE" dataDxfId="7"/>
    <tableColumn id="5" xr3:uid="{CD7972E6-2410-48CB-BBE9-BE5103349FA9}" name="ATENDENTE" dataDxfId="6"/>
    <tableColumn id="6" xr3:uid="{37A5BC2F-95AC-4A21-9540-8A24A08255D2}" name="DEFEITO" dataDxfId="5"/>
    <tableColumn id="7" xr3:uid="{9B1821DC-06D7-44E1-BC73-3268D5208920}" name="DESCRIÇÃO DO DEFEITO" dataDxfId="4"/>
    <tableColumn id="8" xr3:uid="{1163AFD3-3B7B-49EE-9FDE-1EDBC43660F9}" name="VALOR TOTAL" dataDxfId="3"/>
    <tableColumn id="9" xr3:uid="{26C8415D-F3E3-4DAC-9784-88350FBB98EF}" name="STATUS"/>
    <tableColumn id="10" xr3:uid="{402BD88A-0E6A-478B-BAB2-0BD06936DE6E}" name="ANO" dataDxfId="2">
      <calculatedColumnFormula>YEAR(CONTROLE_PILHAS[[#This Row],[DATA]])</calculatedColumnFormula>
    </tableColumn>
    <tableColumn id="11" xr3:uid="{B1D45ABB-A3D2-4D55-B575-CE0658CF7634}" name="MÊS " dataDxfId="1">
      <calculatedColumnFormula>MONTH(CONTROLE_PILHAS[[#This Row],[DATA]])</calculatedColumnFormula>
    </tableColumn>
    <tableColumn id="12" xr3:uid="{685E168A-BDFA-4722-A30F-A0693DB5B569}" name="DIA" dataDxfId="0">
      <calculatedColumnFormula>DAY(CONTROLE_PILHAS[[#This Row],[DATA]])</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4.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5:AI93"/>
  <sheetViews>
    <sheetView showGridLines="0" showRowColHeaders="0" zoomScaleNormal="100" workbookViewId="0">
      <pane ySplit="6" topLeftCell="A7" activePane="bottomLeft" state="frozen"/>
      <selection pane="bottomLeft"/>
    </sheetView>
  </sheetViews>
  <sheetFormatPr defaultColWidth="9.140625" defaultRowHeight="15" x14ac:dyDescent="0.25"/>
  <cols>
    <col min="1" max="1" width="1.7109375" style="1" customWidth="1"/>
    <col min="2" max="2" width="9.140625" style="1"/>
    <col min="3" max="3" width="3.140625" style="1" customWidth="1"/>
    <col min="4" max="4" width="1.7109375" style="1" customWidth="1"/>
    <col min="5" max="5" width="9.140625" style="1" customWidth="1"/>
    <col min="6" max="6" width="9.140625" style="1"/>
    <col min="7" max="7" width="5.85546875" style="1" customWidth="1"/>
    <col min="8" max="8" width="1.7109375" style="1" customWidth="1"/>
    <col min="9" max="9" width="9.140625" style="1"/>
    <col min="10" max="10" width="6.28515625" style="1" customWidth="1"/>
    <col min="11" max="11" width="1.85546875" style="1" customWidth="1"/>
    <col min="12" max="13" width="9.140625" style="1" customWidth="1"/>
    <col min="14" max="14" width="3.28515625" style="1" customWidth="1"/>
    <col min="15" max="15" width="1.7109375" style="1" customWidth="1"/>
    <col min="16" max="16" width="9.140625" style="1" customWidth="1"/>
    <col min="17" max="17" width="6.140625" style="1" customWidth="1"/>
    <col min="18" max="18" width="1.7109375" style="1" customWidth="1"/>
    <col min="19" max="19" width="9.140625" style="1" customWidth="1"/>
    <col min="20" max="21" width="9.140625" style="1"/>
    <col min="22" max="22" width="1.7109375" style="1" customWidth="1"/>
    <col min="23" max="23" width="5.42578125" style="1" customWidth="1"/>
    <col min="24" max="25" width="9.140625" style="1"/>
    <col min="26" max="26" width="1.7109375" style="1" customWidth="1"/>
    <col min="27" max="28" width="9.140625" style="1"/>
    <col min="29" max="29" width="19.42578125" style="1" customWidth="1"/>
    <col min="30" max="30" width="1.85546875" style="1" customWidth="1"/>
    <col min="31" max="31" width="12.28515625" style="1" customWidth="1"/>
    <col min="32" max="32" width="3" style="1" customWidth="1"/>
    <col min="33" max="16384" width="9.140625" style="1"/>
  </cols>
  <sheetData>
    <row r="5" spans="1:35" x14ac:dyDescent="0.25">
      <c r="AA5" s="1" t="s">
        <v>43</v>
      </c>
    </row>
    <row r="7" spans="1:35" ht="21" customHeight="1" x14ac:dyDescent="0.25">
      <c r="A7" s="189" t="s">
        <v>828</v>
      </c>
      <c r="B7" s="189"/>
      <c r="C7" s="189"/>
      <c r="D7" s="189"/>
      <c r="E7" s="189"/>
      <c r="F7" s="189"/>
      <c r="G7" s="189"/>
      <c r="H7" s="189"/>
      <c r="I7" s="189"/>
      <c r="J7" s="189"/>
      <c r="K7" s="189"/>
      <c r="L7" s="189"/>
      <c r="M7" s="189"/>
      <c r="N7" s="189"/>
      <c r="O7" s="189"/>
      <c r="P7" s="189"/>
      <c r="Q7" s="189"/>
      <c r="R7" s="189"/>
      <c r="S7" s="189"/>
      <c r="T7" s="189"/>
      <c r="U7" s="189"/>
      <c r="V7" s="189"/>
      <c r="W7" s="189"/>
      <c r="X7" s="189"/>
      <c r="Y7" s="189"/>
      <c r="Z7" s="189"/>
      <c r="AA7" s="189"/>
      <c r="AB7" s="189"/>
      <c r="AC7" s="189"/>
      <c r="AD7" s="31"/>
      <c r="AE7" s="31"/>
      <c r="AF7" s="31"/>
    </row>
    <row r="8" spans="1:35" x14ac:dyDescent="0.25">
      <c r="J8" s="5"/>
      <c r="K8" s="5"/>
      <c r="L8" s="5"/>
      <c r="M8" s="5"/>
      <c r="N8" s="5"/>
      <c r="O8" s="5"/>
      <c r="P8" s="5"/>
      <c r="Q8" s="5"/>
      <c r="R8" s="5"/>
      <c r="S8" s="5"/>
    </row>
    <row r="9" spans="1:35" x14ac:dyDescent="0.25">
      <c r="J9" s="5"/>
      <c r="K9" s="5"/>
      <c r="L9" s="5"/>
      <c r="M9" s="5"/>
      <c r="N9" s="5"/>
      <c r="O9" s="5"/>
      <c r="P9" s="5"/>
      <c r="Q9" s="5"/>
      <c r="R9" s="5"/>
      <c r="S9" s="5"/>
    </row>
    <row r="10" spans="1:35" ht="15.75" thickBot="1" x14ac:dyDescent="0.3">
      <c r="J10" s="5"/>
      <c r="K10" s="5"/>
      <c r="L10" s="5"/>
      <c r="M10" s="5"/>
      <c r="N10" s="5"/>
      <c r="O10" s="5"/>
      <c r="P10" s="5"/>
      <c r="Q10" s="5"/>
      <c r="R10" s="5"/>
      <c r="S10" s="5"/>
    </row>
    <row r="11" spans="1:35" ht="15.75" thickBot="1" x14ac:dyDescent="0.3">
      <c r="B11" s="384" t="s">
        <v>0</v>
      </c>
      <c r="C11" s="385"/>
      <c r="D11" s="6"/>
      <c r="E11" s="386" t="s">
        <v>534</v>
      </c>
      <c r="F11" s="387"/>
      <c r="G11" s="388"/>
      <c r="H11" s="7"/>
      <c r="I11" s="185" t="s">
        <v>507</v>
      </c>
      <c r="J11" s="186"/>
      <c r="L11" s="381" t="s">
        <v>535</v>
      </c>
      <c r="M11" s="382"/>
      <c r="N11" s="383"/>
      <c r="O11" s="87"/>
      <c r="P11" s="185" t="s">
        <v>507</v>
      </c>
      <c r="Q11" s="186"/>
      <c r="R11" s="2"/>
      <c r="S11" s="375" t="s">
        <v>509</v>
      </c>
      <c r="T11" s="376"/>
      <c r="U11" s="377"/>
      <c r="V11" s="4"/>
      <c r="W11" s="381" t="s">
        <v>32</v>
      </c>
      <c r="X11" s="382"/>
      <c r="Y11" s="383"/>
      <c r="AA11" s="375" t="s">
        <v>35</v>
      </c>
      <c r="AB11" s="376"/>
      <c r="AC11" s="377"/>
      <c r="AG11" s="83" t="s">
        <v>42</v>
      </c>
      <c r="AH11" s="83"/>
      <c r="AI11" s="83"/>
    </row>
    <row r="12" spans="1:35" ht="15.75" x14ac:dyDescent="0.25">
      <c r="B12" s="389" t="s">
        <v>112</v>
      </c>
      <c r="C12" s="390"/>
      <c r="D12" s="5"/>
      <c r="E12" s="391" t="s">
        <v>105</v>
      </c>
      <c r="F12" s="392"/>
      <c r="G12" s="393"/>
      <c r="H12" s="4"/>
      <c r="I12" s="320" t="s">
        <v>849</v>
      </c>
      <c r="J12" s="321"/>
      <c r="L12" s="226" t="s">
        <v>817</v>
      </c>
      <c r="M12" s="227"/>
      <c r="N12" s="228"/>
      <c r="O12" s="88"/>
      <c r="P12" s="187" t="s">
        <v>111</v>
      </c>
      <c r="Q12" s="188"/>
      <c r="R12" s="3"/>
      <c r="S12" s="258" t="s">
        <v>510</v>
      </c>
      <c r="T12" s="259"/>
      <c r="U12" s="260"/>
      <c r="V12" s="8"/>
      <c r="W12" s="206" t="s">
        <v>72</v>
      </c>
      <c r="X12" s="207"/>
      <c r="Y12" s="208"/>
      <c r="AA12" s="378" t="s">
        <v>36</v>
      </c>
      <c r="AB12" s="379"/>
      <c r="AC12" s="380"/>
      <c r="AG12" s="84"/>
      <c r="AH12" s="84"/>
      <c r="AI12" s="84"/>
    </row>
    <row r="13" spans="1:35" ht="15.75" x14ac:dyDescent="0.25">
      <c r="B13" s="239" t="s">
        <v>4</v>
      </c>
      <c r="C13" s="240"/>
      <c r="D13" s="5"/>
      <c r="E13" s="332" t="s">
        <v>71</v>
      </c>
      <c r="F13" s="333"/>
      <c r="G13" s="334"/>
      <c r="H13" s="4"/>
      <c r="I13" s="361" t="s">
        <v>851</v>
      </c>
      <c r="J13" s="362"/>
      <c r="L13" s="465" t="s">
        <v>574</v>
      </c>
      <c r="M13" s="466"/>
      <c r="N13" s="467"/>
      <c r="O13" s="89"/>
      <c r="P13" s="469" t="s">
        <v>850</v>
      </c>
      <c r="Q13" s="470"/>
      <c r="R13" s="3"/>
      <c r="S13" s="229" t="s">
        <v>511</v>
      </c>
      <c r="T13" s="230"/>
      <c r="U13" s="231"/>
      <c r="V13" s="8"/>
      <c r="W13" s="229" t="s">
        <v>72</v>
      </c>
      <c r="X13" s="230"/>
      <c r="Y13" s="231"/>
      <c r="AA13" s="305" t="s">
        <v>36</v>
      </c>
      <c r="AB13" s="306"/>
      <c r="AC13" s="307"/>
      <c r="AG13" s="60"/>
      <c r="AH13" s="60"/>
      <c r="AI13" s="60"/>
    </row>
    <row r="14" spans="1:35" ht="15.75" x14ac:dyDescent="0.25">
      <c r="B14" s="239" t="s">
        <v>5</v>
      </c>
      <c r="C14" s="240"/>
      <c r="D14" s="5"/>
      <c r="E14" s="332" t="s">
        <v>753</v>
      </c>
      <c r="F14" s="333"/>
      <c r="G14" s="334"/>
      <c r="H14" s="4"/>
      <c r="I14" s="328" t="s">
        <v>111</v>
      </c>
      <c r="J14" s="329"/>
      <c r="L14" s="465" t="s">
        <v>818</v>
      </c>
      <c r="M14" s="466"/>
      <c r="N14" s="467"/>
      <c r="O14" s="89"/>
      <c r="P14" s="175" t="s">
        <v>111</v>
      </c>
      <c r="Q14" s="176"/>
      <c r="R14" s="3"/>
      <c r="S14" s="229" t="s">
        <v>511</v>
      </c>
      <c r="T14" s="230"/>
      <c r="U14" s="231"/>
      <c r="V14" s="8"/>
      <c r="W14" s="229" t="s">
        <v>72</v>
      </c>
      <c r="X14" s="230"/>
      <c r="Y14" s="231"/>
      <c r="AA14" s="305" t="s">
        <v>36</v>
      </c>
      <c r="AB14" s="306"/>
      <c r="AC14" s="307"/>
      <c r="AG14" s="60"/>
      <c r="AH14" s="60"/>
      <c r="AI14" s="60"/>
    </row>
    <row r="15" spans="1:35" ht="15.75" x14ac:dyDescent="0.25">
      <c r="B15" s="239" t="s">
        <v>6</v>
      </c>
      <c r="C15" s="240"/>
      <c r="D15" s="5"/>
      <c r="E15" s="332" t="s">
        <v>99</v>
      </c>
      <c r="F15" s="333"/>
      <c r="G15" s="334"/>
      <c r="H15" s="4"/>
      <c r="I15" s="328" t="s">
        <v>111</v>
      </c>
      <c r="J15" s="329"/>
      <c r="L15" s="226" t="s">
        <v>576</v>
      </c>
      <c r="M15" s="227"/>
      <c r="N15" s="228"/>
      <c r="O15" s="88"/>
      <c r="P15" s="175" t="s">
        <v>651</v>
      </c>
      <c r="Q15" s="176"/>
      <c r="R15" s="3"/>
      <c r="S15" s="229" t="s">
        <v>512</v>
      </c>
      <c r="T15" s="263"/>
      <c r="U15" s="264"/>
      <c r="V15" s="8"/>
      <c r="W15" s="226" t="s">
        <v>72</v>
      </c>
      <c r="X15" s="227"/>
      <c r="Y15" s="228"/>
      <c r="AA15" s="305" t="s">
        <v>36</v>
      </c>
      <c r="AB15" s="306"/>
      <c r="AC15" s="307"/>
      <c r="AG15" s="84"/>
      <c r="AH15" s="84"/>
      <c r="AI15" s="84"/>
    </row>
    <row r="16" spans="1:35" ht="15.75" x14ac:dyDescent="0.25">
      <c r="B16" s="239" t="s">
        <v>7</v>
      </c>
      <c r="C16" s="240"/>
      <c r="D16" s="5"/>
      <c r="E16" s="332" t="s">
        <v>753</v>
      </c>
      <c r="F16" s="333"/>
      <c r="G16" s="334"/>
      <c r="H16" s="4"/>
      <c r="I16" s="328" t="s">
        <v>111</v>
      </c>
      <c r="J16" s="329"/>
      <c r="L16" s="226" t="s">
        <v>818</v>
      </c>
      <c r="M16" s="227"/>
      <c r="N16" s="228"/>
      <c r="O16" s="88"/>
      <c r="P16" s="175" t="s">
        <v>657</v>
      </c>
      <c r="Q16" s="176"/>
      <c r="R16" s="3"/>
      <c r="S16" s="229" t="s">
        <v>511</v>
      </c>
      <c r="T16" s="230"/>
      <c r="U16" s="231"/>
      <c r="V16" s="8"/>
      <c r="W16" s="226" t="s">
        <v>72</v>
      </c>
      <c r="X16" s="227"/>
      <c r="Y16" s="228"/>
      <c r="AA16" s="305" t="s">
        <v>36</v>
      </c>
      <c r="AB16" s="306"/>
      <c r="AC16" s="307"/>
      <c r="AG16" s="84"/>
      <c r="AH16" s="84"/>
      <c r="AI16" s="84"/>
    </row>
    <row r="17" spans="2:35" ht="15.75" x14ac:dyDescent="0.25">
      <c r="B17" s="239" t="s">
        <v>8</v>
      </c>
      <c r="C17" s="240"/>
      <c r="D17" s="5"/>
      <c r="E17" s="332" t="s">
        <v>90</v>
      </c>
      <c r="F17" s="333"/>
      <c r="G17" s="334"/>
      <c r="H17" s="4"/>
      <c r="I17" s="328" t="s">
        <v>111</v>
      </c>
      <c r="J17" s="329"/>
      <c r="L17" s="226" t="s">
        <v>577</v>
      </c>
      <c r="M17" s="227"/>
      <c r="N17" s="228"/>
      <c r="O17" s="88"/>
      <c r="P17" s="175" t="s">
        <v>111</v>
      </c>
      <c r="Q17" s="176"/>
      <c r="R17" s="3"/>
      <c r="S17" s="229" t="s">
        <v>755</v>
      </c>
      <c r="T17" s="263"/>
      <c r="U17" s="264"/>
      <c r="V17" s="8"/>
      <c r="W17" s="226" t="s">
        <v>72</v>
      </c>
      <c r="X17" s="227"/>
      <c r="Y17" s="228"/>
      <c r="AA17" s="305" t="s">
        <v>36</v>
      </c>
      <c r="AB17" s="306"/>
      <c r="AC17" s="307"/>
      <c r="AG17" s="84"/>
      <c r="AH17" s="84"/>
      <c r="AI17" s="84"/>
    </row>
    <row r="18" spans="2:35" ht="15.75" x14ac:dyDescent="0.25">
      <c r="B18" s="239" t="s">
        <v>9</v>
      </c>
      <c r="C18" s="240"/>
      <c r="D18" s="5"/>
      <c r="E18" s="332" t="s">
        <v>513</v>
      </c>
      <c r="F18" s="333"/>
      <c r="G18" s="334"/>
      <c r="H18" s="4"/>
      <c r="I18" s="328" t="s">
        <v>872</v>
      </c>
      <c r="J18" s="329"/>
      <c r="L18" s="226" t="s">
        <v>578</v>
      </c>
      <c r="M18" s="227"/>
      <c r="N18" s="228"/>
      <c r="O18" s="88"/>
      <c r="P18" s="175" t="s">
        <v>652</v>
      </c>
      <c r="Q18" s="176"/>
      <c r="R18" s="3"/>
      <c r="S18" s="229" t="s">
        <v>514</v>
      </c>
      <c r="T18" s="263"/>
      <c r="U18" s="264"/>
      <c r="V18" s="8"/>
      <c r="W18" s="226" t="s">
        <v>72</v>
      </c>
      <c r="X18" s="227"/>
      <c r="Y18" s="228"/>
      <c r="AA18" s="305" t="s">
        <v>36</v>
      </c>
      <c r="AB18" s="306"/>
      <c r="AC18" s="307"/>
      <c r="AG18" s="84"/>
      <c r="AH18" s="84"/>
      <c r="AI18" s="84"/>
    </row>
    <row r="19" spans="2:35" ht="15.75" x14ac:dyDescent="0.25">
      <c r="B19" s="239" t="s">
        <v>10</v>
      </c>
      <c r="C19" s="240"/>
      <c r="D19" s="5"/>
      <c r="E19" s="332" t="s">
        <v>513</v>
      </c>
      <c r="F19" s="333"/>
      <c r="G19" s="334"/>
      <c r="H19" s="4"/>
      <c r="I19" s="328" t="s">
        <v>879</v>
      </c>
      <c r="J19" s="329"/>
      <c r="L19" s="468" t="s">
        <v>580</v>
      </c>
      <c r="M19" s="466"/>
      <c r="N19" s="467"/>
      <c r="O19" s="89"/>
      <c r="P19" s="175" t="s">
        <v>880</v>
      </c>
      <c r="Q19" s="176"/>
      <c r="R19" s="3"/>
      <c r="S19" s="229" t="s">
        <v>514</v>
      </c>
      <c r="T19" s="263"/>
      <c r="U19" s="264"/>
      <c r="V19" s="8"/>
      <c r="W19" s="226" t="s">
        <v>72</v>
      </c>
      <c r="X19" s="227"/>
      <c r="Y19" s="228"/>
      <c r="AA19" s="305" t="s">
        <v>36</v>
      </c>
      <c r="AB19" s="306"/>
      <c r="AC19" s="307"/>
      <c r="AG19" s="60"/>
      <c r="AH19" s="60"/>
      <c r="AI19" s="60"/>
    </row>
    <row r="20" spans="2:35" ht="16.5" thickBot="1" x14ac:dyDescent="0.3">
      <c r="B20" s="396" t="s">
        <v>113</v>
      </c>
      <c r="C20" s="397"/>
      <c r="D20" s="137"/>
      <c r="E20" s="398" t="s">
        <v>671</v>
      </c>
      <c r="F20" s="399"/>
      <c r="G20" s="400"/>
      <c r="H20" s="4"/>
      <c r="I20" s="312" t="s">
        <v>111</v>
      </c>
      <c r="J20" s="313"/>
      <c r="L20" s="215" t="s">
        <v>111</v>
      </c>
      <c r="M20" s="221"/>
      <c r="N20" s="222"/>
      <c r="O20" s="88"/>
      <c r="P20" s="177" t="s">
        <v>111</v>
      </c>
      <c r="Q20" s="178"/>
      <c r="R20" s="3"/>
      <c r="S20" s="218" t="s">
        <v>111</v>
      </c>
      <c r="T20" s="394"/>
      <c r="U20" s="395"/>
      <c r="V20" s="8"/>
      <c r="W20" s="215" t="s">
        <v>111</v>
      </c>
      <c r="X20" s="221"/>
      <c r="Y20" s="222"/>
      <c r="AA20" s="335" t="s">
        <v>111</v>
      </c>
      <c r="AB20" s="336"/>
      <c r="AC20" s="337"/>
      <c r="AG20" s="84"/>
      <c r="AH20" s="84"/>
      <c r="AI20" s="84"/>
    </row>
    <row r="21" spans="2:35" ht="15.75" thickBot="1" x14ac:dyDescent="0.3">
      <c r="O21"/>
      <c r="P21" s="106"/>
      <c r="Q21" s="106"/>
      <c r="AG21"/>
      <c r="AH21"/>
      <c r="AI21"/>
    </row>
    <row r="22" spans="2:35" ht="15.75" thickBot="1" x14ac:dyDescent="0.3">
      <c r="B22" s="368" t="s">
        <v>1</v>
      </c>
      <c r="C22" s="369"/>
      <c r="D22" s="6"/>
      <c r="E22" s="407" t="s">
        <v>534</v>
      </c>
      <c r="F22" s="408"/>
      <c r="G22" s="409"/>
      <c r="H22" s="7"/>
      <c r="I22" s="368" t="s">
        <v>507</v>
      </c>
      <c r="J22" s="369"/>
      <c r="L22" s="410" t="s">
        <v>535</v>
      </c>
      <c r="M22" s="411"/>
      <c r="N22" s="412"/>
      <c r="O22" s="87"/>
      <c r="P22" s="366" t="s">
        <v>507</v>
      </c>
      <c r="Q22" s="367"/>
      <c r="R22" s="2"/>
      <c r="S22" s="372" t="s">
        <v>509</v>
      </c>
      <c r="T22" s="373"/>
      <c r="U22" s="374"/>
      <c r="W22" s="413" t="s">
        <v>32</v>
      </c>
      <c r="X22" s="414"/>
      <c r="Y22" s="415"/>
      <c r="AA22" s="372" t="s">
        <v>35</v>
      </c>
      <c r="AB22" s="373"/>
      <c r="AC22" s="374"/>
      <c r="AG22" s="83" t="s">
        <v>42</v>
      </c>
      <c r="AH22" s="83"/>
      <c r="AI22" s="83"/>
    </row>
    <row r="23" spans="2:35" ht="15.75" x14ac:dyDescent="0.25">
      <c r="B23" s="251" t="s">
        <v>13</v>
      </c>
      <c r="C23" s="252"/>
      <c r="D23" s="5"/>
      <c r="E23" s="253" t="s">
        <v>848</v>
      </c>
      <c r="F23" s="254"/>
      <c r="G23" s="255"/>
      <c r="H23" s="4"/>
      <c r="I23" s="370"/>
      <c r="J23" s="371"/>
      <c r="L23" s="200" t="s">
        <v>578</v>
      </c>
      <c r="M23" s="256"/>
      <c r="N23" s="257"/>
      <c r="O23" s="89"/>
      <c r="P23" s="187" t="s">
        <v>633</v>
      </c>
      <c r="Q23" s="188"/>
      <c r="R23" s="3"/>
      <c r="S23" s="258"/>
      <c r="T23" s="259"/>
      <c r="U23" s="260"/>
      <c r="W23" s="206"/>
      <c r="X23" s="207"/>
      <c r="Y23" s="208"/>
      <c r="AA23" s="305"/>
      <c r="AB23" s="306"/>
      <c r="AC23" s="307"/>
      <c r="AG23" s="84"/>
      <c r="AH23" s="84"/>
      <c r="AI23" s="84"/>
    </row>
    <row r="24" spans="2:35" ht="15.75" x14ac:dyDescent="0.25">
      <c r="B24" s="239" t="s">
        <v>14</v>
      </c>
      <c r="C24" s="240"/>
      <c r="D24" s="5"/>
      <c r="E24" s="253" t="s">
        <v>71</v>
      </c>
      <c r="F24" s="254"/>
      <c r="G24" s="255"/>
      <c r="H24" s="4"/>
      <c r="I24" s="328" t="s">
        <v>111</v>
      </c>
      <c r="J24" s="329"/>
      <c r="L24" s="229" t="s">
        <v>574</v>
      </c>
      <c r="M24" s="230"/>
      <c r="N24" s="231"/>
      <c r="O24" s="89"/>
      <c r="P24" s="175" t="s">
        <v>653</v>
      </c>
      <c r="Q24" s="176"/>
      <c r="R24" s="3"/>
      <c r="S24" s="229" t="s">
        <v>511</v>
      </c>
      <c r="T24" s="230"/>
      <c r="U24" s="231"/>
      <c r="W24" s="226" t="s">
        <v>72</v>
      </c>
      <c r="X24" s="227"/>
      <c r="Y24" s="228"/>
      <c r="AA24" s="305" t="s">
        <v>36</v>
      </c>
      <c r="AB24" s="306"/>
      <c r="AC24" s="307"/>
      <c r="AG24" s="84"/>
      <c r="AH24" s="84"/>
      <c r="AI24" s="84"/>
    </row>
    <row r="25" spans="2:35" ht="15.75" x14ac:dyDescent="0.25">
      <c r="B25" s="239" t="s">
        <v>15</v>
      </c>
      <c r="C25" s="240"/>
      <c r="D25" s="5"/>
      <c r="E25" s="253" t="s">
        <v>513</v>
      </c>
      <c r="F25" s="254"/>
      <c r="G25" s="255"/>
      <c r="H25" s="4"/>
      <c r="I25" s="328" t="s">
        <v>616</v>
      </c>
      <c r="J25" s="329"/>
      <c r="L25" s="229" t="s">
        <v>580</v>
      </c>
      <c r="M25" s="230"/>
      <c r="N25" s="231"/>
      <c r="O25" s="89"/>
      <c r="P25" s="175" t="s">
        <v>111</v>
      </c>
      <c r="Q25" s="176"/>
      <c r="R25" s="3"/>
      <c r="S25" s="229" t="s">
        <v>769</v>
      </c>
      <c r="T25" s="263"/>
      <c r="U25" s="264"/>
      <c r="V25" s="8"/>
      <c r="W25" s="226" t="s">
        <v>72</v>
      </c>
      <c r="X25" s="227"/>
      <c r="Y25" s="228"/>
      <c r="AA25" s="305" t="s">
        <v>36</v>
      </c>
      <c r="AB25" s="306"/>
      <c r="AC25" s="307"/>
      <c r="AG25" s="84"/>
      <c r="AH25" s="84"/>
      <c r="AI25" s="84"/>
    </row>
    <row r="26" spans="2:35" ht="15.75" x14ac:dyDescent="0.25">
      <c r="B26" s="239" t="s">
        <v>16</v>
      </c>
      <c r="C26" s="240"/>
      <c r="D26" s="5"/>
      <c r="E26" s="253" t="s">
        <v>848</v>
      </c>
      <c r="F26" s="254"/>
      <c r="G26" s="255"/>
      <c r="H26" s="4"/>
      <c r="I26" s="328" t="s">
        <v>111</v>
      </c>
      <c r="J26" s="329"/>
      <c r="L26" s="229" t="s">
        <v>822</v>
      </c>
      <c r="M26" s="230"/>
      <c r="N26" s="231"/>
      <c r="O26" s="89"/>
      <c r="P26" s="175" t="s">
        <v>654</v>
      </c>
      <c r="Q26" s="176"/>
      <c r="R26" s="3"/>
      <c r="S26" s="229"/>
      <c r="T26" s="230"/>
      <c r="U26" s="231"/>
      <c r="W26" s="226"/>
      <c r="X26" s="227"/>
      <c r="Y26" s="228"/>
      <c r="AA26" s="305"/>
      <c r="AB26" s="306"/>
      <c r="AC26" s="307"/>
      <c r="AG26" s="84"/>
      <c r="AH26" s="84"/>
      <c r="AI26" s="84"/>
    </row>
    <row r="27" spans="2:35" ht="15.75" x14ac:dyDescent="0.25">
      <c r="B27" s="261" t="s">
        <v>17</v>
      </c>
      <c r="C27" s="262"/>
      <c r="D27" s="5"/>
      <c r="E27" s="363" t="s">
        <v>97</v>
      </c>
      <c r="F27" s="364"/>
      <c r="G27" s="365"/>
      <c r="H27" s="4"/>
      <c r="I27" s="361" t="s">
        <v>615</v>
      </c>
      <c r="J27" s="362"/>
      <c r="L27" s="322" t="s">
        <v>823</v>
      </c>
      <c r="M27" s="323"/>
      <c r="N27" s="324"/>
      <c r="O27" s="90"/>
      <c r="P27" s="175" t="s">
        <v>655</v>
      </c>
      <c r="Q27" s="176"/>
      <c r="R27" s="3"/>
      <c r="S27" s="229" t="s">
        <v>515</v>
      </c>
      <c r="T27" s="263"/>
      <c r="U27" s="264"/>
      <c r="W27" s="226" t="s">
        <v>72</v>
      </c>
      <c r="X27" s="227"/>
      <c r="Y27" s="228"/>
      <c r="AA27" s="305" t="s">
        <v>36</v>
      </c>
      <c r="AB27" s="306"/>
      <c r="AC27" s="307"/>
      <c r="AG27" s="84"/>
      <c r="AH27" s="84"/>
      <c r="AI27" s="84"/>
    </row>
    <row r="28" spans="2:35" ht="15.75" x14ac:dyDescent="0.25">
      <c r="B28" s="239" t="s">
        <v>18</v>
      </c>
      <c r="C28" s="240"/>
      <c r="D28" s="136"/>
      <c r="E28" s="253" t="s">
        <v>71</v>
      </c>
      <c r="F28" s="254"/>
      <c r="G28" s="255"/>
      <c r="H28" s="138"/>
      <c r="I28" s="370" t="s">
        <v>617</v>
      </c>
      <c r="J28" s="371"/>
      <c r="K28" s="139"/>
      <c r="L28" s="229" t="s">
        <v>579</v>
      </c>
      <c r="M28" s="230"/>
      <c r="N28" s="231"/>
      <c r="O28" s="149"/>
      <c r="P28" s="311" t="s">
        <v>888</v>
      </c>
      <c r="Q28" s="176"/>
      <c r="R28" s="141"/>
      <c r="S28" s="229" t="s">
        <v>511</v>
      </c>
      <c r="T28" s="230"/>
      <c r="U28" s="231"/>
      <c r="V28" s="139"/>
      <c r="W28" s="206" t="s">
        <v>72</v>
      </c>
      <c r="X28" s="207"/>
      <c r="Y28" s="208"/>
      <c r="Z28" s="139"/>
      <c r="AA28" s="305" t="s">
        <v>36</v>
      </c>
      <c r="AB28" s="306"/>
      <c r="AC28" s="307"/>
      <c r="AG28" s="84"/>
      <c r="AH28" s="84"/>
      <c r="AI28" s="84"/>
    </row>
    <row r="29" spans="2:35" ht="15.75" x14ac:dyDescent="0.25">
      <c r="B29" s="261" t="s">
        <v>98</v>
      </c>
      <c r="C29" s="262"/>
      <c r="D29" s="5"/>
      <c r="E29" s="363" t="s">
        <v>513</v>
      </c>
      <c r="F29" s="364"/>
      <c r="G29" s="365"/>
      <c r="H29" s="4"/>
      <c r="I29" s="361" t="s">
        <v>614</v>
      </c>
      <c r="J29" s="362"/>
      <c r="L29" s="322" t="s">
        <v>821</v>
      </c>
      <c r="M29" s="323"/>
      <c r="N29" s="324"/>
      <c r="O29" s="90"/>
      <c r="P29" s="175" t="s">
        <v>656</v>
      </c>
      <c r="Q29" s="176"/>
      <c r="R29" s="3"/>
      <c r="S29" s="229" t="s">
        <v>769</v>
      </c>
      <c r="T29" s="230"/>
      <c r="U29" s="231"/>
      <c r="W29" s="226" t="s">
        <v>72</v>
      </c>
      <c r="X29" s="227"/>
      <c r="Y29" s="228"/>
      <c r="AA29" s="305" t="s">
        <v>36</v>
      </c>
      <c r="AB29" s="306"/>
      <c r="AC29" s="307"/>
      <c r="AG29" s="60"/>
      <c r="AH29" s="60"/>
      <c r="AI29" s="60"/>
    </row>
    <row r="30" spans="2:35" ht="15.75" x14ac:dyDescent="0.25">
      <c r="B30" s="261" t="s">
        <v>19</v>
      </c>
      <c r="C30" s="262"/>
      <c r="D30" s="5"/>
      <c r="E30" s="363" t="s">
        <v>513</v>
      </c>
      <c r="F30" s="364"/>
      <c r="G30" s="365"/>
      <c r="H30" s="4"/>
      <c r="I30" s="361" t="s">
        <v>613</v>
      </c>
      <c r="J30" s="362"/>
      <c r="L30" s="229" t="s">
        <v>822</v>
      </c>
      <c r="M30" s="230"/>
      <c r="N30" s="231"/>
      <c r="O30" s="90"/>
      <c r="P30" s="175" t="s">
        <v>884</v>
      </c>
      <c r="Q30" s="176"/>
      <c r="R30" s="3"/>
      <c r="S30" s="229" t="s">
        <v>514</v>
      </c>
      <c r="T30" s="230"/>
      <c r="U30" s="231"/>
      <c r="W30" s="226" t="s">
        <v>72</v>
      </c>
      <c r="X30" s="227"/>
      <c r="Y30" s="228"/>
      <c r="Z30" s="1" t="s">
        <v>103</v>
      </c>
      <c r="AA30" s="305" t="s">
        <v>36</v>
      </c>
      <c r="AB30" s="306"/>
      <c r="AC30" s="307"/>
      <c r="AG30" s="84"/>
      <c r="AH30" s="84"/>
      <c r="AI30" s="84"/>
    </row>
    <row r="31" spans="2:35" ht="15.75" x14ac:dyDescent="0.25">
      <c r="B31" s="239" t="s">
        <v>20</v>
      </c>
      <c r="C31" s="240"/>
      <c r="D31" s="5"/>
      <c r="E31" s="363" t="s">
        <v>513</v>
      </c>
      <c r="F31" s="364"/>
      <c r="G31" s="365"/>
      <c r="H31" s="4"/>
      <c r="I31" s="328" t="s">
        <v>612</v>
      </c>
      <c r="J31" s="329"/>
      <c r="L31" s="322" t="s">
        <v>821</v>
      </c>
      <c r="M31" s="323"/>
      <c r="N31" s="324"/>
      <c r="O31" s="90"/>
      <c r="P31" s="175" t="s">
        <v>883</v>
      </c>
      <c r="Q31" s="176"/>
      <c r="R31" s="3"/>
      <c r="S31" s="229" t="s">
        <v>515</v>
      </c>
      <c r="T31" s="263"/>
      <c r="U31" s="264"/>
      <c r="W31" s="226" t="s">
        <v>72</v>
      </c>
      <c r="X31" s="227"/>
      <c r="Y31" s="228"/>
      <c r="AA31" s="305" t="s">
        <v>36</v>
      </c>
      <c r="AB31" s="306"/>
      <c r="AC31" s="307"/>
      <c r="AG31" s="84"/>
      <c r="AH31" s="84"/>
      <c r="AI31" s="84"/>
    </row>
    <row r="32" spans="2:35" ht="15.75" x14ac:dyDescent="0.25">
      <c r="B32" s="239" t="s">
        <v>21</v>
      </c>
      <c r="C32" s="240"/>
      <c r="E32" s="363" t="s">
        <v>513</v>
      </c>
      <c r="F32" s="364"/>
      <c r="G32" s="365"/>
      <c r="I32" s="328" t="s">
        <v>611</v>
      </c>
      <c r="J32" s="329"/>
      <c r="L32" s="322" t="s">
        <v>768</v>
      </c>
      <c r="M32" s="323"/>
      <c r="N32" s="324"/>
      <c r="O32" s="90"/>
      <c r="P32" s="175" t="s">
        <v>882</v>
      </c>
      <c r="Q32" s="176"/>
      <c r="S32" s="229" t="s">
        <v>767</v>
      </c>
      <c r="T32" s="263"/>
      <c r="U32" s="264"/>
      <c r="W32" s="226" t="s">
        <v>72</v>
      </c>
      <c r="X32" s="227"/>
      <c r="Y32" s="228"/>
      <c r="AA32" s="305" t="s">
        <v>36</v>
      </c>
      <c r="AB32" s="306"/>
      <c r="AC32" s="307"/>
      <c r="AG32" s="84"/>
      <c r="AH32" s="84"/>
      <c r="AI32" s="84"/>
    </row>
    <row r="33" spans="2:35" ht="16.5" thickBot="1" x14ac:dyDescent="0.3">
      <c r="B33" s="416" t="s">
        <v>22</v>
      </c>
      <c r="C33" s="417"/>
      <c r="E33" s="401" t="s">
        <v>513</v>
      </c>
      <c r="F33" s="402"/>
      <c r="G33" s="403"/>
      <c r="I33" s="312" t="s">
        <v>111</v>
      </c>
      <c r="J33" s="313"/>
      <c r="L33" s="404" t="s">
        <v>826</v>
      </c>
      <c r="M33" s="405"/>
      <c r="N33" s="406"/>
      <c r="O33" s="90"/>
      <c r="P33" s="177" t="s">
        <v>658</v>
      </c>
      <c r="Q33" s="178"/>
      <c r="S33" s="218" t="s">
        <v>769</v>
      </c>
      <c r="T33" s="219"/>
      <c r="U33" s="220"/>
      <c r="W33" s="215" t="s">
        <v>72</v>
      </c>
      <c r="X33" s="221"/>
      <c r="Y33" s="222"/>
      <c r="AA33" s="335" t="s">
        <v>36</v>
      </c>
      <c r="AB33" s="336"/>
      <c r="AC33" s="337"/>
      <c r="AG33" s="84"/>
      <c r="AH33" s="84"/>
      <c r="AI33" s="84"/>
    </row>
    <row r="34" spans="2:35" ht="16.5" thickBot="1" x14ac:dyDescent="0.3">
      <c r="B34" s="9"/>
      <c r="C34" s="9"/>
      <c r="I34" s="9"/>
      <c r="J34" s="9"/>
      <c r="O34"/>
      <c r="P34" s="107"/>
      <c r="Q34" s="107"/>
      <c r="AG34"/>
      <c r="AH34"/>
      <c r="AI34"/>
    </row>
    <row r="35" spans="2:35" ht="15.75" thickBot="1" x14ac:dyDescent="0.3">
      <c r="B35" s="314" t="s">
        <v>39</v>
      </c>
      <c r="C35" s="315"/>
      <c r="E35" s="349" t="s">
        <v>534</v>
      </c>
      <c r="F35" s="350"/>
      <c r="G35" s="351"/>
      <c r="I35" s="314" t="s">
        <v>507</v>
      </c>
      <c r="J35" s="315"/>
      <c r="L35" s="355" t="s">
        <v>535</v>
      </c>
      <c r="M35" s="356"/>
      <c r="N35" s="357"/>
      <c r="O35" s="87"/>
      <c r="P35" s="179" t="s">
        <v>507</v>
      </c>
      <c r="Q35" s="180"/>
      <c r="R35" s="2"/>
      <c r="S35" s="338" t="s">
        <v>509</v>
      </c>
      <c r="T35" s="339"/>
      <c r="U35" s="340"/>
      <c r="W35" s="358" t="s">
        <v>32</v>
      </c>
      <c r="X35" s="359"/>
      <c r="Y35" s="360"/>
      <c r="AA35" s="338" t="s">
        <v>35</v>
      </c>
      <c r="AB35" s="339"/>
      <c r="AC35" s="340"/>
      <c r="AG35" s="83" t="s">
        <v>42</v>
      </c>
      <c r="AH35" s="83"/>
      <c r="AI35" s="83"/>
    </row>
    <row r="36" spans="2:35" ht="15.75" x14ac:dyDescent="0.25">
      <c r="B36" s="241" t="s">
        <v>40</v>
      </c>
      <c r="C36" s="242"/>
      <c r="E36" s="352" t="s">
        <v>80</v>
      </c>
      <c r="F36" s="353"/>
      <c r="G36" s="354"/>
      <c r="I36" s="190" t="s">
        <v>610</v>
      </c>
      <c r="J36" s="191"/>
      <c r="L36" s="304" t="s">
        <v>574</v>
      </c>
      <c r="M36" s="227"/>
      <c r="N36" s="228"/>
      <c r="O36" s="88"/>
      <c r="P36" s="181" t="s">
        <v>889</v>
      </c>
      <c r="Q36" s="182"/>
      <c r="R36" s="3"/>
      <c r="S36" s="200" t="s">
        <v>516</v>
      </c>
      <c r="T36" s="256"/>
      <c r="U36" s="257"/>
      <c r="V36" s="3"/>
      <c r="W36" s="200" t="s">
        <v>72</v>
      </c>
      <c r="X36" s="256"/>
      <c r="Y36" s="257"/>
      <c r="Z36" s="8"/>
      <c r="AA36" s="341" t="s">
        <v>36</v>
      </c>
      <c r="AB36" s="342"/>
      <c r="AC36" s="343"/>
      <c r="AG36" s="84"/>
      <c r="AH36" s="84"/>
      <c r="AI36" s="84"/>
    </row>
    <row r="37" spans="2:35" ht="16.5" thickBot="1" x14ac:dyDescent="0.3">
      <c r="B37" s="347" t="s">
        <v>41</v>
      </c>
      <c r="C37" s="348"/>
      <c r="E37" s="335" t="s">
        <v>71</v>
      </c>
      <c r="F37" s="336"/>
      <c r="G37" s="337"/>
      <c r="H37" s="121"/>
      <c r="I37" s="316" t="s">
        <v>111</v>
      </c>
      <c r="J37" s="317"/>
      <c r="K37" s="122"/>
      <c r="L37" s="325" t="s">
        <v>821</v>
      </c>
      <c r="M37" s="326"/>
      <c r="N37" s="327"/>
      <c r="O37" s="123"/>
      <c r="P37" s="183" t="s">
        <v>111</v>
      </c>
      <c r="Q37" s="184"/>
      <c r="R37" s="124"/>
      <c r="S37" s="308" t="s">
        <v>514</v>
      </c>
      <c r="T37" s="309"/>
      <c r="U37" s="310"/>
      <c r="V37" s="122"/>
      <c r="W37" s="215" t="s">
        <v>72</v>
      </c>
      <c r="X37" s="216"/>
      <c r="Y37" s="217"/>
      <c r="Z37" s="122"/>
      <c r="AA37" s="335" t="s">
        <v>36</v>
      </c>
      <c r="AB37" s="336"/>
      <c r="AC37" s="337"/>
      <c r="AG37" s="84"/>
      <c r="AH37" s="84"/>
      <c r="AI37" s="84"/>
    </row>
    <row r="38" spans="2:35" ht="16.5" thickBot="1" x14ac:dyDescent="0.3">
      <c r="B38" s="9"/>
      <c r="C38" s="9"/>
      <c r="I38" s="9"/>
      <c r="J38" s="9"/>
      <c r="O38"/>
      <c r="P38" s="107"/>
      <c r="Q38" s="107"/>
      <c r="AG38"/>
      <c r="AH38"/>
      <c r="AI38"/>
    </row>
    <row r="39" spans="2:35" ht="15.75" thickBot="1" x14ac:dyDescent="0.3">
      <c r="B39" s="432" t="s">
        <v>2</v>
      </c>
      <c r="C39" s="433"/>
      <c r="D39" s="6"/>
      <c r="E39" s="426" t="s">
        <v>534</v>
      </c>
      <c r="F39" s="427"/>
      <c r="G39" s="428"/>
      <c r="H39" s="7"/>
      <c r="I39" s="318" t="s">
        <v>507</v>
      </c>
      <c r="J39" s="319"/>
      <c r="L39" s="429" t="s">
        <v>535</v>
      </c>
      <c r="M39" s="430"/>
      <c r="N39" s="431"/>
      <c r="O39" s="91"/>
      <c r="P39" s="421" t="s">
        <v>507</v>
      </c>
      <c r="Q39" s="422"/>
      <c r="R39" s="2"/>
      <c r="S39" s="344" t="s">
        <v>509</v>
      </c>
      <c r="T39" s="345"/>
      <c r="U39" s="346"/>
      <c r="W39" s="344" t="s">
        <v>32</v>
      </c>
      <c r="X39" s="345"/>
      <c r="Y39" s="346"/>
      <c r="AA39" s="344" t="s">
        <v>35</v>
      </c>
      <c r="AB39" s="345"/>
      <c r="AC39" s="346"/>
      <c r="AG39" s="83" t="s">
        <v>42</v>
      </c>
      <c r="AH39" s="83"/>
      <c r="AI39" s="83"/>
    </row>
    <row r="40" spans="2:35" ht="15.75" x14ac:dyDescent="0.25">
      <c r="B40" s="423" t="s">
        <v>23</v>
      </c>
      <c r="C40" s="424"/>
      <c r="D40" s="5"/>
      <c r="E40" s="352" t="s">
        <v>756</v>
      </c>
      <c r="F40" s="353"/>
      <c r="G40" s="354"/>
      <c r="H40" s="4"/>
      <c r="I40" s="320" t="s">
        <v>111</v>
      </c>
      <c r="J40" s="321"/>
      <c r="L40" s="425" t="s">
        <v>580</v>
      </c>
      <c r="M40" s="256"/>
      <c r="N40" s="257"/>
      <c r="O40" s="88"/>
      <c r="P40" s="187" t="s">
        <v>659</v>
      </c>
      <c r="Q40" s="188"/>
      <c r="R40" s="3"/>
      <c r="S40" s="258" t="s">
        <v>518</v>
      </c>
      <c r="T40" s="259"/>
      <c r="U40" s="260"/>
      <c r="W40" s="200" t="s">
        <v>72</v>
      </c>
      <c r="X40" s="256"/>
      <c r="Y40" s="257"/>
      <c r="AA40" s="378" t="s">
        <v>36</v>
      </c>
      <c r="AB40" s="379"/>
      <c r="AC40" s="380"/>
      <c r="AG40" s="84"/>
      <c r="AH40" s="84"/>
      <c r="AI40" s="84"/>
    </row>
    <row r="41" spans="2:35" ht="15.75" x14ac:dyDescent="0.25">
      <c r="B41" s="330" t="s">
        <v>24</v>
      </c>
      <c r="C41" s="331"/>
      <c r="D41" s="5"/>
      <c r="E41" s="332" t="s">
        <v>71</v>
      </c>
      <c r="F41" s="333"/>
      <c r="G41" s="334"/>
      <c r="H41" s="85"/>
      <c r="I41" s="175" t="s">
        <v>111</v>
      </c>
      <c r="J41" s="176"/>
      <c r="K41" s="156"/>
      <c r="L41" s="226" t="s">
        <v>581</v>
      </c>
      <c r="M41" s="227"/>
      <c r="N41" s="228"/>
      <c r="O41" s="140"/>
      <c r="P41" s="418" t="s">
        <v>111</v>
      </c>
      <c r="Q41" s="419"/>
      <c r="R41" s="141"/>
      <c r="S41" s="229" t="s">
        <v>514</v>
      </c>
      <c r="T41" s="230"/>
      <c r="U41" s="231"/>
      <c r="V41" s="8"/>
      <c r="W41" s="226" t="s">
        <v>72</v>
      </c>
      <c r="X41" s="227"/>
      <c r="Y41" s="228"/>
      <c r="AA41" s="305" t="s">
        <v>36</v>
      </c>
      <c r="AB41" s="306"/>
      <c r="AC41" s="307"/>
      <c r="AG41" s="84"/>
      <c r="AH41" s="84"/>
      <c r="AI41" s="84"/>
    </row>
    <row r="42" spans="2:35" ht="15.75" x14ac:dyDescent="0.25">
      <c r="B42" s="330" t="s">
        <v>25</v>
      </c>
      <c r="C42" s="331"/>
      <c r="D42" s="157"/>
      <c r="E42" s="332" t="s">
        <v>71</v>
      </c>
      <c r="F42" s="333"/>
      <c r="G42" s="334"/>
      <c r="H42" s="85"/>
      <c r="I42" s="328" t="s">
        <v>111</v>
      </c>
      <c r="J42" s="420"/>
      <c r="K42" s="156"/>
      <c r="L42" s="332" t="s">
        <v>574</v>
      </c>
      <c r="M42" s="333"/>
      <c r="N42" s="334"/>
      <c r="O42" s="140"/>
      <c r="P42" s="418" t="s">
        <v>111</v>
      </c>
      <c r="Q42" s="419"/>
      <c r="R42" s="141"/>
      <c r="S42" s="229" t="s">
        <v>514</v>
      </c>
      <c r="T42" s="230"/>
      <c r="U42" s="231"/>
      <c r="V42" s="8"/>
      <c r="W42" s="226" t="s">
        <v>72</v>
      </c>
      <c r="X42" s="227"/>
      <c r="Y42" s="228"/>
      <c r="AA42" s="305" t="s">
        <v>36</v>
      </c>
      <c r="AB42" s="306"/>
      <c r="AC42" s="307"/>
      <c r="AG42" s="84"/>
      <c r="AH42" s="84"/>
      <c r="AI42" s="84"/>
    </row>
    <row r="43" spans="2:35" ht="15.75" x14ac:dyDescent="0.25">
      <c r="B43" s="330" t="s">
        <v>26</v>
      </c>
      <c r="C43" s="331"/>
      <c r="D43" s="5"/>
      <c r="E43" s="253" t="s">
        <v>71</v>
      </c>
      <c r="F43" s="254"/>
      <c r="G43" s="255"/>
      <c r="H43" s="4"/>
      <c r="I43" s="328" t="s">
        <v>609</v>
      </c>
      <c r="J43" s="329"/>
      <c r="L43" s="226" t="s">
        <v>581</v>
      </c>
      <c r="M43" s="227"/>
      <c r="N43" s="228"/>
      <c r="O43" s="88"/>
      <c r="P43" s="175" t="s">
        <v>111</v>
      </c>
      <c r="Q43" s="176"/>
      <c r="R43" s="3"/>
      <c r="S43" s="229" t="s">
        <v>514</v>
      </c>
      <c r="T43" s="230"/>
      <c r="U43" s="231"/>
      <c r="V43" s="8"/>
      <c r="W43" s="226" t="s">
        <v>72</v>
      </c>
      <c r="X43" s="227"/>
      <c r="Y43" s="228"/>
      <c r="AA43" s="305" t="s">
        <v>36</v>
      </c>
      <c r="AB43" s="306"/>
      <c r="AC43" s="307"/>
      <c r="AG43" s="84"/>
      <c r="AH43" s="84"/>
      <c r="AI43" s="84"/>
    </row>
    <row r="44" spans="2:35" ht="15.75" x14ac:dyDescent="0.25">
      <c r="B44" s="330" t="s">
        <v>27</v>
      </c>
      <c r="C44" s="331"/>
      <c r="D44" s="5"/>
      <c r="E44" s="253" t="s">
        <v>71</v>
      </c>
      <c r="F44" s="254"/>
      <c r="G44" s="255"/>
      <c r="H44" s="4"/>
      <c r="I44" s="328" t="s">
        <v>111</v>
      </c>
      <c r="J44" s="329"/>
      <c r="L44" s="304" t="s">
        <v>582</v>
      </c>
      <c r="M44" s="227"/>
      <c r="N44" s="228"/>
      <c r="O44" s="88"/>
      <c r="P44" s="175" t="s">
        <v>111</v>
      </c>
      <c r="Q44" s="176"/>
      <c r="R44" s="3"/>
      <c r="S44" s="229" t="s">
        <v>517</v>
      </c>
      <c r="T44" s="230"/>
      <c r="U44" s="231"/>
      <c r="W44" s="226" t="s">
        <v>72</v>
      </c>
      <c r="X44" s="227"/>
      <c r="Y44" s="228"/>
      <c r="AA44" s="305" t="s">
        <v>36</v>
      </c>
      <c r="AB44" s="306"/>
      <c r="AC44" s="307"/>
      <c r="AG44" s="84"/>
      <c r="AH44" s="84"/>
      <c r="AI44" s="84"/>
    </row>
    <row r="45" spans="2:35" ht="15.75" x14ac:dyDescent="0.25">
      <c r="B45" s="330" t="s">
        <v>28</v>
      </c>
      <c r="C45" s="331"/>
      <c r="D45" s="5"/>
      <c r="E45" s="253" t="s">
        <v>71</v>
      </c>
      <c r="F45" s="254"/>
      <c r="G45" s="255"/>
      <c r="I45" s="328"/>
      <c r="J45" s="329"/>
      <c r="L45" s="226" t="s">
        <v>581</v>
      </c>
      <c r="M45" s="227"/>
      <c r="N45" s="228"/>
      <c r="O45" s="88"/>
      <c r="P45" s="175" t="s">
        <v>111</v>
      </c>
      <c r="Q45" s="176"/>
      <c r="R45" s="3"/>
      <c r="S45" s="229" t="s">
        <v>514</v>
      </c>
      <c r="T45" s="230"/>
      <c r="U45" s="231"/>
      <c r="V45" s="8"/>
      <c r="W45" s="226" t="s">
        <v>72</v>
      </c>
      <c r="X45" s="227"/>
      <c r="Y45" s="228"/>
      <c r="AA45" s="305" t="s">
        <v>36</v>
      </c>
      <c r="AB45" s="306"/>
      <c r="AC45" s="307"/>
      <c r="AG45" s="84"/>
      <c r="AH45" s="84"/>
      <c r="AI45" s="84"/>
    </row>
    <row r="46" spans="2:35" ht="15.75" x14ac:dyDescent="0.25">
      <c r="B46" s="330" t="s">
        <v>29</v>
      </c>
      <c r="C46" s="331"/>
      <c r="D46" s="5"/>
      <c r="E46" s="303" t="s">
        <v>90</v>
      </c>
      <c r="F46" s="254"/>
      <c r="G46" s="255"/>
      <c r="H46" s="4"/>
      <c r="I46" s="328" t="s">
        <v>608</v>
      </c>
      <c r="J46" s="329"/>
      <c r="L46" s="304" t="s">
        <v>581</v>
      </c>
      <c r="M46" s="227"/>
      <c r="N46" s="228"/>
      <c r="O46" s="88"/>
      <c r="P46" s="175" t="s">
        <v>896</v>
      </c>
      <c r="Q46" s="176"/>
      <c r="R46" s="3"/>
      <c r="S46" s="229" t="s">
        <v>514</v>
      </c>
      <c r="T46" s="230"/>
      <c r="U46" s="231"/>
      <c r="V46" s="8"/>
      <c r="W46" s="226" t="s">
        <v>72</v>
      </c>
      <c r="X46" s="227"/>
      <c r="Y46" s="228"/>
      <c r="AA46" s="305" t="s">
        <v>36</v>
      </c>
      <c r="AB46" s="306"/>
      <c r="AC46" s="307"/>
      <c r="AG46" s="84"/>
      <c r="AH46" s="84"/>
      <c r="AI46" s="84"/>
    </row>
    <row r="47" spans="2:35" ht="16.5" thickBot="1" x14ac:dyDescent="0.3">
      <c r="B47" s="347" t="s">
        <v>30</v>
      </c>
      <c r="C47" s="348"/>
      <c r="E47" s="212" t="s">
        <v>71</v>
      </c>
      <c r="F47" s="213"/>
      <c r="G47" s="214"/>
      <c r="I47" s="312" t="s">
        <v>607</v>
      </c>
      <c r="J47" s="313"/>
      <c r="L47" s="215" t="s">
        <v>581</v>
      </c>
      <c r="M47" s="221"/>
      <c r="N47" s="222"/>
      <c r="O47" s="88"/>
      <c r="P47" s="177" t="s">
        <v>111</v>
      </c>
      <c r="Q47" s="178"/>
      <c r="R47" s="3"/>
      <c r="S47" s="218" t="s">
        <v>514</v>
      </c>
      <c r="T47" s="219"/>
      <c r="U47" s="220"/>
      <c r="V47" s="8"/>
      <c r="W47" s="215" t="s">
        <v>72</v>
      </c>
      <c r="X47" s="221"/>
      <c r="Y47" s="222"/>
      <c r="AA47" s="335" t="s">
        <v>36</v>
      </c>
      <c r="AB47" s="336"/>
      <c r="AC47" s="337"/>
      <c r="AG47" s="84"/>
      <c r="AH47" s="84"/>
      <c r="AI47" s="84"/>
    </row>
    <row r="48" spans="2:35" ht="15.75" thickBot="1" x14ac:dyDescent="0.3">
      <c r="O48"/>
      <c r="P48" s="106"/>
      <c r="Q48" s="106"/>
      <c r="AG48"/>
      <c r="AH48"/>
      <c r="AI48"/>
    </row>
    <row r="49" spans="2:35" ht="15.75" thickBot="1" x14ac:dyDescent="0.3">
      <c r="B49" s="276" t="s">
        <v>50</v>
      </c>
      <c r="C49" s="277"/>
      <c r="E49" s="278" t="s">
        <v>534</v>
      </c>
      <c r="F49" s="279"/>
      <c r="G49" s="280"/>
      <c r="I49" s="276" t="s">
        <v>507</v>
      </c>
      <c r="J49" s="277"/>
      <c r="L49" s="281" t="s">
        <v>535</v>
      </c>
      <c r="M49" s="282"/>
      <c r="N49" s="283"/>
      <c r="O49" s="87"/>
      <c r="P49" s="295" t="s">
        <v>507</v>
      </c>
      <c r="Q49" s="296"/>
      <c r="R49" s="2"/>
      <c r="S49" s="284" t="s">
        <v>509</v>
      </c>
      <c r="T49" s="285"/>
      <c r="U49" s="286"/>
      <c r="W49" s="284" t="s">
        <v>32</v>
      </c>
      <c r="X49" s="285"/>
      <c r="Y49" s="286"/>
      <c r="AA49" s="284" t="s">
        <v>35</v>
      </c>
      <c r="AB49" s="285"/>
      <c r="AC49" s="286"/>
      <c r="AG49" s="83" t="s">
        <v>42</v>
      </c>
      <c r="AH49" s="83"/>
      <c r="AI49" s="83"/>
    </row>
    <row r="50" spans="2:35" ht="15.75" x14ac:dyDescent="0.25">
      <c r="B50" s="287" t="s">
        <v>108</v>
      </c>
      <c r="C50" s="288"/>
      <c r="D50" s="139"/>
      <c r="E50" s="270" t="s">
        <v>763</v>
      </c>
      <c r="F50" s="271"/>
      <c r="G50" s="272"/>
      <c r="H50" s="139"/>
      <c r="I50" s="301" t="s">
        <v>111</v>
      </c>
      <c r="J50" s="302"/>
      <c r="K50" s="139"/>
      <c r="L50" s="270" t="s">
        <v>763</v>
      </c>
      <c r="M50" s="271"/>
      <c r="N50" s="272"/>
      <c r="O50" s="140"/>
      <c r="P50" s="297" t="s">
        <v>111</v>
      </c>
      <c r="Q50" s="298"/>
      <c r="R50" s="141"/>
      <c r="S50" s="289" t="s">
        <v>111</v>
      </c>
      <c r="T50" s="290"/>
      <c r="U50" s="291"/>
      <c r="V50" s="142"/>
      <c r="W50" s="292" t="s">
        <v>111</v>
      </c>
      <c r="X50" s="293"/>
      <c r="Y50" s="294"/>
      <c r="Z50" s="139"/>
      <c r="AA50" s="289" t="s">
        <v>111</v>
      </c>
      <c r="AB50" s="290"/>
      <c r="AC50" s="291"/>
      <c r="AG50" s="84"/>
      <c r="AH50" s="84"/>
      <c r="AI50" s="84"/>
    </row>
    <row r="51" spans="2:35" ht="16.5" thickBot="1" x14ac:dyDescent="0.3">
      <c r="B51" s="265" t="s">
        <v>109</v>
      </c>
      <c r="C51" s="266"/>
      <c r="D51" s="139"/>
      <c r="E51" s="267" t="s">
        <v>763</v>
      </c>
      <c r="F51" s="268"/>
      <c r="G51" s="269"/>
      <c r="H51" s="139"/>
      <c r="I51" s="235" t="s">
        <v>111</v>
      </c>
      <c r="J51" s="236"/>
      <c r="K51" s="139"/>
      <c r="L51" s="270" t="s">
        <v>763</v>
      </c>
      <c r="M51" s="271"/>
      <c r="N51" s="272"/>
      <c r="O51" s="140"/>
      <c r="P51" s="299" t="s">
        <v>111</v>
      </c>
      <c r="Q51" s="300"/>
      <c r="R51" s="141"/>
      <c r="S51" s="273" t="s">
        <v>111</v>
      </c>
      <c r="T51" s="274"/>
      <c r="U51" s="275"/>
      <c r="V51" s="142"/>
      <c r="W51" s="273" t="s">
        <v>111</v>
      </c>
      <c r="X51" s="274"/>
      <c r="Y51" s="275"/>
      <c r="Z51" s="139"/>
      <c r="AA51" s="273" t="s">
        <v>111</v>
      </c>
      <c r="AB51" s="274"/>
      <c r="AC51" s="275"/>
      <c r="AG51" s="84"/>
      <c r="AH51" s="84"/>
      <c r="AI51" s="84"/>
    </row>
    <row r="52" spans="2:35" ht="15.75" thickBot="1" x14ac:dyDescent="0.3">
      <c r="O52"/>
      <c r="P52" s="106"/>
      <c r="Q52" s="106"/>
    </row>
    <row r="53" spans="2:35" ht="15.75" thickBot="1" x14ac:dyDescent="0.3">
      <c r="B53" s="237" t="s">
        <v>114</v>
      </c>
      <c r="C53" s="238"/>
      <c r="E53" s="245" t="s">
        <v>534</v>
      </c>
      <c r="F53" s="246"/>
      <c r="G53" s="247"/>
      <c r="I53" s="237" t="s">
        <v>507</v>
      </c>
      <c r="J53" s="238"/>
      <c r="L53" s="248" t="s">
        <v>535</v>
      </c>
      <c r="M53" s="249"/>
      <c r="N53" s="250"/>
      <c r="O53" s="87"/>
      <c r="P53" s="173" t="s">
        <v>507</v>
      </c>
      <c r="Q53" s="174"/>
      <c r="R53" s="2"/>
      <c r="S53" s="194" t="s">
        <v>509</v>
      </c>
      <c r="T53" s="195"/>
      <c r="U53" s="196"/>
      <c r="W53" s="194" t="s">
        <v>32</v>
      </c>
      <c r="X53" s="195"/>
      <c r="Y53" s="196"/>
      <c r="AA53" s="194" t="s">
        <v>35</v>
      </c>
      <c r="AB53" s="195"/>
      <c r="AC53" s="196"/>
    </row>
    <row r="54" spans="2:35" ht="15.75" x14ac:dyDescent="0.25">
      <c r="B54" s="241" t="s">
        <v>605</v>
      </c>
      <c r="C54" s="242"/>
      <c r="E54" s="197" t="s">
        <v>753</v>
      </c>
      <c r="F54" s="198"/>
      <c r="G54" s="199"/>
      <c r="I54" s="190" t="s">
        <v>618</v>
      </c>
      <c r="J54" s="191"/>
      <c r="L54" s="200" t="s">
        <v>579</v>
      </c>
      <c r="M54" s="201"/>
      <c r="N54" s="202"/>
      <c r="O54" s="88"/>
      <c r="P54" s="190" t="s">
        <v>111</v>
      </c>
      <c r="Q54" s="191"/>
      <c r="R54" s="3"/>
      <c r="S54" s="203" t="s">
        <v>511</v>
      </c>
      <c r="T54" s="204"/>
      <c r="U54" s="205"/>
      <c r="V54" s="8"/>
      <c r="W54" s="206" t="s">
        <v>72</v>
      </c>
      <c r="X54" s="207"/>
      <c r="Y54" s="208"/>
      <c r="AA54" s="209" t="s">
        <v>542</v>
      </c>
      <c r="AB54" s="210"/>
      <c r="AC54" s="211"/>
    </row>
    <row r="55" spans="2:35" ht="15.75" x14ac:dyDescent="0.25">
      <c r="B55" s="241">
        <v>2</v>
      </c>
      <c r="C55" s="242"/>
      <c r="E55" s="253" t="s">
        <v>756</v>
      </c>
      <c r="F55" s="254"/>
      <c r="G55" s="255"/>
      <c r="I55" s="190" t="s">
        <v>111</v>
      </c>
      <c r="J55" s="191"/>
      <c r="L55" s="226" t="s">
        <v>579</v>
      </c>
      <c r="M55" s="434"/>
      <c r="N55" s="435"/>
      <c r="O55" s="92"/>
      <c r="P55" s="190" t="s">
        <v>111</v>
      </c>
      <c r="Q55" s="191"/>
      <c r="R55" s="3"/>
      <c r="S55" s="229" t="s">
        <v>518</v>
      </c>
      <c r="T55" s="230"/>
      <c r="U55" s="231"/>
      <c r="V55" s="8"/>
      <c r="W55" s="226" t="s">
        <v>72</v>
      </c>
      <c r="X55" s="227"/>
      <c r="Y55" s="228"/>
      <c r="AA55" s="436" t="s">
        <v>542</v>
      </c>
      <c r="AB55" s="437"/>
      <c r="AC55" s="438"/>
    </row>
    <row r="56" spans="2:35" ht="15.75" x14ac:dyDescent="0.25">
      <c r="B56" s="241">
        <v>3</v>
      </c>
      <c r="C56" s="242"/>
      <c r="E56" s="253" t="s">
        <v>756</v>
      </c>
      <c r="F56" s="254"/>
      <c r="G56" s="255"/>
      <c r="I56" s="190" t="s">
        <v>111</v>
      </c>
      <c r="J56" s="191"/>
      <c r="L56" s="226" t="s">
        <v>579</v>
      </c>
      <c r="M56" s="434"/>
      <c r="N56" s="435"/>
      <c r="O56" s="92"/>
      <c r="P56" s="190" t="s">
        <v>111</v>
      </c>
      <c r="Q56" s="191"/>
      <c r="R56" s="3"/>
      <c r="S56" s="229" t="s">
        <v>518</v>
      </c>
      <c r="T56" s="230"/>
      <c r="U56" s="231"/>
      <c r="V56" s="8"/>
      <c r="W56" s="226" t="s">
        <v>72</v>
      </c>
      <c r="X56" s="227"/>
      <c r="Y56" s="228"/>
      <c r="AA56" s="436" t="s">
        <v>542</v>
      </c>
      <c r="AB56" s="437"/>
      <c r="AC56" s="438"/>
    </row>
    <row r="57" spans="2:35" ht="15.75" x14ac:dyDescent="0.25">
      <c r="B57" s="241">
        <v>4</v>
      </c>
      <c r="C57" s="242"/>
      <c r="E57" s="253" t="s">
        <v>756</v>
      </c>
      <c r="F57" s="254"/>
      <c r="G57" s="255"/>
      <c r="I57" s="190" t="s">
        <v>111</v>
      </c>
      <c r="J57" s="191"/>
      <c r="L57" s="226" t="s">
        <v>575</v>
      </c>
      <c r="M57" s="434"/>
      <c r="N57" s="435"/>
      <c r="O57" s="92"/>
      <c r="P57" s="190" t="s">
        <v>111</v>
      </c>
      <c r="Q57" s="191"/>
      <c r="R57" s="3"/>
      <c r="S57" s="229" t="s">
        <v>518</v>
      </c>
      <c r="T57" s="230"/>
      <c r="U57" s="231"/>
      <c r="V57" s="8"/>
      <c r="W57" s="226" t="s">
        <v>72</v>
      </c>
      <c r="X57" s="227"/>
      <c r="Y57" s="228"/>
      <c r="AA57" s="436" t="s">
        <v>542</v>
      </c>
      <c r="AB57" s="437"/>
      <c r="AC57" s="438"/>
    </row>
    <row r="58" spans="2:35" ht="15.75" x14ac:dyDescent="0.25">
      <c r="B58" s="241">
        <v>5</v>
      </c>
      <c r="C58" s="242"/>
      <c r="E58" s="253" t="s">
        <v>756</v>
      </c>
      <c r="F58" s="254"/>
      <c r="G58" s="255"/>
      <c r="I58" s="190" t="s">
        <v>111</v>
      </c>
      <c r="J58" s="191"/>
      <c r="L58" s="226" t="s">
        <v>579</v>
      </c>
      <c r="M58" s="434"/>
      <c r="N58" s="435"/>
      <c r="O58" s="92"/>
      <c r="P58" s="190" t="s">
        <v>111</v>
      </c>
      <c r="Q58" s="191"/>
      <c r="R58" s="3"/>
      <c r="S58" s="229" t="s">
        <v>518</v>
      </c>
      <c r="T58" s="230"/>
      <c r="U58" s="231"/>
      <c r="V58" s="8"/>
      <c r="W58" s="226" t="s">
        <v>72</v>
      </c>
      <c r="X58" s="227"/>
      <c r="Y58" s="228"/>
      <c r="AA58" s="436" t="s">
        <v>542</v>
      </c>
      <c r="AB58" s="437"/>
      <c r="AC58" s="438"/>
    </row>
    <row r="59" spans="2:35" ht="15.75" x14ac:dyDescent="0.25">
      <c r="B59" s="241">
        <v>6</v>
      </c>
      <c r="C59" s="242"/>
      <c r="E59" s="253" t="s">
        <v>756</v>
      </c>
      <c r="F59" s="254"/>
      <c r="G59" s="255"/>
      <c r="I59" s="190" t="s">
        <v>111</v>
      </c>
      <c r="J59" s="191"/>
      <c r="L59" s="226" t="s">
        <v>579</v>
      </c>
      <c r="M59" s="434"/>
      <c r="N59" s="435"/>
      <c r="O59" s="92"/>
      <c r="P59" s="190" t="s">
        <v>111</v>
      </c>
      <c r="Q59" s="191"/>
      <c r="R59" s="3"/>
      <c r="S59" s="229" t="s">
        <v>518</v>
      </c>
      <c r="T59" s="230"/>
      <c r="U59" s="231"/>
      <c r="V59" s="8"/>
      <c r="W59" s="226" t="s">
        <v>72</v>
      </c>
      <c r="X59" s="227"/>
      <c r="Y59" s="228"/>
      <c r="AA59" s="436" t="s">
        <v>542</v>
      </c>
      <c r="AB59" s="437"/>
      <c r="AC59" s="438"/>
    </row>
    <row r="60" spans="2:35" ht="15.75" x14ac:dyDescent="0.25">
      <c r="B60" s="241">
        <v>7</v>
      </c>
      <c r="C60" s="242"/>
      <c r="E60" s="253" t="s">
        <v>756</v>
      </c>
      <c r="F60" s="254"/>
      <c r="G60" s="255"/>
      <c r="I60" s="190" t="s">
        <v>111</v>
      </c>
      <c r="J60" s="191"/>
      <c r="L60" s="226" t="s">
        <v>579</v>
      </c>
      <c r="M60" s="434"/>
      <c r="N60" s="435"/>
      <c r="O60" s="92"/>
      <c r="P60" s="190" t="s">
        <v>111</v>
      </c>
      <c r="Q60" s="191"/>
      <c r="R60" s="3"/>
      <c r="S60" s="229" t="s">
        <v>518</v>
      </c>
      <c r="T60" s="230"/>
      <c r="U60" s="231"/>
      <c r="V60" s="8"/>
      <c r="W60" s="226" t="s">
        <v>72</v>
      </c>
      <c r="X60" s="227"/>
      <c r="Y60" s="228"/>
      <c r="AA60" s="436" t="s">
        <v>542</v>
      </c>
      <c r="AB60" s="437"/>
      <c r="AC60" s="438"/>
    </row>
    <row r="61" spans="2:35" ht="15.75" x14ac:dyDescent="0.25">
      <c r="B61" s="241">
        <v>8</v>
      </c>
      <c r="C61" s="242"/>
      <c r="E61" s="253" t="s">
        <v>756</v>
      </c>
      <c r="F61" s="254"/>
      <c r="G61" s="255"/>
      <c r="I61" s="190" t="s">
        <v>111</v>
      </c>
      <c r="J61" s="191"/>
      <c r="L61" s="226" t="s">
        <v>579</v>
      </c>
      <c r="M61" s="434"/>
      <c r="N61" s="435"/>
      <c r="O61" s="92"/>
      <c r="P61" s="190" t="s">
        <v>111</v>
      </c>
      <c r="Q61" s="191"/>
      <c r="R61" s="3"/>
      <c r="S61" s="229" t="s">
        <v>518</v>
      </c>
      <c r="T61" s="230"/>
      <c r="U61" s="231"/>
      <c r="V61" s="8"/>
      <c r="W61" s="226" t="s">
        <v>72</v>
      </c>
      <c r="X61" s="227"/>
      <c r="Y61" s="228"/>
      <c r="AA61" s="436" t="s">
        <v>542</v>
      </c>
      <c r="AB61" s="437"/>
      <c r="AC61" s="438"/>
    </row>
    <row r="62" spans="2:35" ht="15.75" x14ac:dyDescent="0.25">
      <c r="B62" s="241">
        <v>9</v>
      </c>
      <c r="C62" s="242"/>
      <c r="E62" s="253" t="s">
        <v>756</v>
      </c>
      <c r="F62" s="254"/>
      <c r="G62" s="255"/>
      <c r="I62" s="190" t="s">
        <v>111</v>
      </c>
      <c r="J62" s="191"/>
      <c r="L62" s="226" t="s">
        <v>579</v>
      </c>
      <c r="M62" s="434"/>
      <c r="N62" s="435"/>
      <c r="O62" s="92"/>
      <c r="P62" s="190" t="s">
        <v>111</v>
      </c>
      <c r="Q62" s="191"/>
      <c r="R62" s="3"/>
      <c r="S62" s="229" t="s">
        <v>518</v>
      </c>
      <c r="T62" s="230"/>
      <c r="U62" s="231"/>
      <c r="V62" s="8"/>
      <c r="W62" s="226" t="s">
        <v>72</v>
      </c>
      <c r="X62" s="227"/>
      <c r="Y62" s="228"/>
      <c r="AA62" s="436" t="s">
        <v>542</v>
      </c>
      <c r="AB62" s="437"/>
      <c r="AC62" s="438"/>
    </row>
    <row r="63" spans="2:35" ht="16.5" thickBot="1" x14ac:dyDescent="0.3">
      <c r="B63" s="243">
        <v>10</v>
      </c>
      <c r="C63" s="244"/>
      <c r="E63" s="212" t="s">
        <v>756</v>
      </c>
      <c r="F63" s="213"/>
      <c r="G63" s="214"/>
      <c r="I63" s="192" t="s">
        <v>111</v>
      </c>
      <c r="J63" s="193"/>
      <c r="L63" s="215" t="s">
        <v>579</v>
      </c>
      <c r="M63" s="216"/>
      <c r="N63" s="217"/>
      <c r="O63" s="92"/>
      <c r="P63" s="192" t="s">
        <v>111</v>
      </c>
      <c r="Q63" s="193"/>
      <c r="R63" s="3"/>
      <c r="S63" s="218" t="s">
        <v>518</v>
      </c>
      <c r="T63" s="219"/>
      <c r="U63" s="220"/>
      <c r="V63" s="8"/>
      <c r="W63" s="215" t="s">
        <v>72</v>
      </c>
      <c r="X63" s="221"/>
      <c r="Y63" s="222"/>
      <c r="AA63" s="223" t="s">
        <v>542</v>
      </c>
      <c r="AB63" s="224"/>
      <c r="AC63" s="225"/>
    </row>
    <row r="64" spans="2:35" ht="15.75" thickBot="1" x14ac:dyDescent="0.3">
      <c r="O64"/>
      <c r="P64" s="106"/>
      <c r="Q64" s="106"/>
    </row>
    <row r="65" spans="2:29" ht="15.75" thickBot="1" x14ac:dyDescent="0.3">
      <c r="B65" s="237" t="s">
        <v>114</v>
      </c>
      <c r="C65" s="238"/>
      <c r="E65" s="439" t="s">
        <v>505</v>
      </c>
      <c r="F65" s="440"/>
      <c r="G65" s="441"/>
      <c r="I65" s="237" t="s">
        <v>507</v>
      </c>
      <c r="J65" s="238"/>
      <c r="L65" s="248" t="s">
        <v>535</v>
      </c>
      <c r="M65" s="249"/>
      <c r="N65" s="250"/>
      <c r="O65" s="87"/>
      <c r="P65" s="173" t="s">
        <v>507</v>
      </c>
      <c r="Q65" s="174"/>
      <c r="R65" s="2"/>
      <c r="S65" s="194" t="s">
        <v>509</v>
      </c>
      <c r="T65" s="195"/>
      <c r="U65" s="196"/>
      <c r="W65" s="194" t="s">
        <v>32</v>
      </c>
      <c r="X65" s="195"/>
      <c r="Y65" s="196"/>
      <c r="AA65" s="194" t="s">
        <v>35</v>
      </c>
      <c r="AB65" s="195"/>
      <c r="AC65" s="196"/>
    </row>
    <row r="66" spans="2:29" ht="15.75" x14ac:dyDescent="0.25">
      <c r="B66" s="241">
        <v>1</v>
      </c>
      <c r="C66" s="242"/>
      <c r="E66" s="352" t="s">
        <v>772</v>
      </c>
      <c r="F66" s="353"/>
      <c r="G66" s="354"/>
      <c r="I66" s="190" t="s">
        <v>111</v>
      </c>
      <c r="J66" s="191"/>
      <c r="L66" s="442" t="s">
        <v>111</v>
      </c>
      <c r="M66" s="443"/>
      <c r="N66" s="444"/>
      <c r="O66" s="93"/>
      <c r="P66" s="190" t="s">
        <v>111</v>
      </c>
      <c r="Q66" s="191"/>
      <c r="R66" s="3"/>
      <c r="S66" s="203" t="s">
        <v>518</v>
      </c>
      <c r="T66" s="204"/>
      <c r="U66" s="205"/>
      <c r="V66" s="8"/>
      <c r="W66" s="206" t="s">
        <v>72</v>
      </c>
      <c r="X66" s="207"/>
      <c r="Y66" s="208"/>
      <c r="AA66" s="445" t="s">
        <v>542</v>
      </c>
      <c r="AB66" s="446"/>
      <c r="AC66" s="447"/>
    </row>
    <row r="67" spans="2:29" ht="15.75" x14ac:dyDescent="0.25">
      <c r="B67" s="241">
        <v>2</v>
      </c>
      <c r="C67" s="242"/>
      <c r="E67" s="197" t="s">
        <v>772</v>
      </c>
      <c r="F67" s="198"/>
      <c r="G67" s="199"/>
      <c r="I67" s="190" t="s">
        <v>111</v>
      </c>
      <c r="J67" s="191"/>
      <c r="L67" s="232" t="s">
        <v>111</v>
      </c>
      <c r="M67" s="233"/>
      <c r="N67" s="234"/>
      <c r="O67" s="93"/>
      <c r="P67" s="190" t="s">
        <v>111</v>
      </c>
      <c r="Q67" s="191"/>
      <c r="R67" s="3"/>
      <c r="S67" s="229" t="s">
        <v>518</v>
      </c>
      <c r="T67" s="230"/>
      <c r="U67" s="231"/>
      <c r="V67" s="8"/>
      <c r="W67" s="226" t="s">
        <v>72</v>
      </c>
      <c r="X67" s="227"/>
      <c r="Y67" s="228"/>
      <c r="AA67" s="436" t="s">
        <v>542</v>
      </c>
      <c r="AB67" s="437"/>
      <c r="AC67" s="438"/>
    </row>
    <row r="68" spans="2:29" ht="15.75" x14ac:dyDescent="0.25">
      <c r="B68" s="241">
        <v>3</v>
      </c>
      <c r="C68" s="242"/>
      <c r="E68" s="197" t="s">
        <v>772</v>
      </c>
      <c r="F68" s="198"/>
      <c r="G68" s="199"/>
      <c r="I68" s="190" t="s">
        <v>111</v>
      </c>
      <c r="J68" s="191"/>
      <c r="L68" s="232" t="s">
        <v>111</v>
      </c>
      <c r="M68" s="233"/>
      <c r="N68" s="234"/>
      <c r="O68" s="93"/>
      <c r="P68" s="190" t="s">
        <v>111</v>
      </c>
      <c r="Q68" s="191"/>
      <c r="R68" s="3"/>
      <c r="S68" s="229" t="s">
        <v>518</v>
      </c>
      <c r="T68" s="230"/>
      <c r="U68" s="231"/>
      <c r="V68" s="8"/>
      <c r="W68" s="226" t="s">
        <v>72</v>
      </c>
      <c r="X68" s="227"/>
      <c r="Y68" s="228"/>
      <c r="AA68" s="436" t="s">
        <v>542</v>
      </c>
      <c r="AB68" s="437"/>
      <c r="AC68" s="438"/>
    </row>
    <row r="69" spans="2:29" ht="15.75" x14ac:dyDescent="0.25">
      <c r="B69" s="241">
        <v>4</v>
      </c>
      <c r="C69" s="242"/>
      <c r="E69" s="197" t="s">
        <v>772</v>
      </c>
      <c r="F69" s="198"/>
      <c r="G69" s="199"/>
      <c r="I69" s="190" t="s">
        <v>111</v>
      </c>
      <c r="J69" s="191"/>
      <c r="L69" s="232" t="s">
        <v>111</v>
      </c>
      <c r="M69" s="233"/>
      <c r="N69" s="234"/>
      <c r="O69" s="93"/>
      <c r="P69" s="190" t="s">
        <v>111</v>
      </c>
      <c r="Q69" s="191"/>
      <c r="R69" s="3"/>
      <c r="S69" s="229" t="s">
        <v>518</v>
      </c>
      <c r="T69" s="230"/>
      <c r="U69" s="231"/>
      <c r="V69" s="8"/>
      <c r="W69" s="226" t="s">
        <v>72</v>
      </c>
      <c r="X69" s="227"/>
      <c r="Y69" s="228"/>
      <c r="AA69" s="436" t="s">
        <v>542</v>
      </c>
      <c r="AB69" s="437"/>
      <c r="AC69" s="438"/>
    </row>
    <row r="70" spans="2:29" ht="15.75" x14ac:dyDescent="0.25">
      <c r="B70" s="241">
        <v>5</v>
      </c>
      <c r="C70" s="242"/>
      <c r="E70" s="197" t="s">
        <v>772</v>
      </c>
      <c r="F70" s="198"/>
      <c r="G70" s="199"/>
      <c r="I70" s="190" t="s">
        <v>111</v>
      </c>
      <c r="J70" s="191"/>
      <c r="L70" s="232" t="s">
        <v>111</v>
      </c>
      <c r="M70" s="233"/>
      <c r="N70" s="234"/>
      <c r="O70" s="93"/>
      <c r="P70" s="190" t="s">
        <v>111</v>
      </c>
      <c r="Q70" s="191"/>
      <c r="R70" s="3"/>
      <c r="S70" s="229" t="s">
        <v>518</v>
      </c>
      <c r="T70" s="230"/>
      <c r="U70" s="231"/>
      <c r="V70" s="8"/>
      <c r="W70" s="226" t="s">
        <v>72</v>
      </c>
      <c r="X70" s="227"/>
      <c r="Y70" s="228"/>
      <c r="AA70" s="436" t="s">
        <v>542</v>
      </c>
      <c r="AB70" s="437"/>
      <c r="AC70" s="438"/>
    </row>
    <row r="71" spans="2:29" ht="15.75" x14ac:dyDescent="0.25">
      <c r="B71" s="241">
        <v>6</v>
      </c>
      <c r="C71" s="242"/>
      <c r="E71" s="197" t="s">
        <v>772</v>
      </c>
      <c r="F71" s="198"/>
      <c r="G71" s="199"/>
      <c r="I71" s="190" t="s">
        <v>111</v>
      </c>
      <c r="J71" s="191"/>
      <c r="L71" s="232" t="s">
        <v>111</v>
      </c>
      <c r="M71" s="233"/>
      <c r="N71" s="234"/>
      <c r="O71" s="93"/>
      <c r="P71" s="190" t="s">
        <v>111</v>
      </c>
      <c r="Q71" s="191"/>
      <c r="R71" s="3"/>
      <c r="S71" s="229" t="s">
        <v>518</v>
      </c>
      <c r="T71" s="230"/>
      <c r="U71" s="231"/>
      <c r="V71" s="8"/>
      <c r="W71" s="226" t="s">
        <v>72</v>
      </c>
      <c r="X71" s="227"/>
      <c r="Y71" s="228"/>
      <c r="AA71" s="436" t="s">
        <v>542</v>
      </c>
      <c r="AB71" s="437"/>
      <c r="AC71" s="438"/>
    </row>
    <row r="72" spans="2:29" ht="16.5" thickBot="1" x14ac:dyDescent="0.3">
      <c r="B72" s="243">
        <v>7</v>
      </c>
      <c r="C72" s="244"/>
      <c r="E72" s="456" t="s">
        <v>772</v>
      </c>
      <c r="F72" s="457"/>
      <c r="G72" s="458"/>
      <c r="I72" s="192" t="s">
        <v>111</v>
      </c>
      <c r="J72" s="193"/>
      <c r="L72" s="459" t="s">
        <v>111</v>
      </c>
      <c r="M72" s="460"/>
      <c r="N72" s="461"/>
      <c r="O72" s="93"/>
      <c r="P72" s="192" t="s">
        <v>111</v>
      </c>
      <c r="Q72" s="193"/>
      <c r="R72" s="3"/>
      <c r="S72" s="218" t="s">
        <v>518</v>
      </c>
      <c r="T72" s="219"/>
      <c r="U72" s="220"/>
      <c r="V72" s="8"/>
      <c r="W72" s="215" t="s">
        <v>72</v>
      </c>
      <c r="X72" s="221"/>
      <c r="Y72" s="222"/>
      <c r="AA72" s="223" t="s">
        <v>542</v>
      </c>
      <c r="AB72" s="224"/>
      <c r="AC72" s="225"/>
    </row>
    <row r="73" spans="2:29" ht="15.75" thickBot="1" x14ac:dyDescent="0.3">
      <c r="O73"/>
      <c r="P73" s="106"/>
      <c r="Q73" s="106"/>
    </row>
    <row r="74" spans="2:29" ht="15.75" thickBot="1" x14ac:dyDescent="0.3">
      <c r="B74" s="237" t="s">
        <v>114</v>
      </c>
      <c r="C74" s="238"/>
      <c r="E74" s="462" t="s">
        <v>506</v>
      </c>
      <c r="F74" s="463"/>
      <c r="G74" s="464"/>
      <c r="I74" s="237" t="s">
        <v>507</v>
      </c>
      <c r="J74" s="238"/>
      <c r="L74" s="248" t="s">
        <v>524</v>
      </c>
      <c r="M74" s="249"/>
      <c r="N74" s="250"/>
      <c r="O74" s="87"/>
      <c r="P74" s="173" t="s">
        <v>507</v>
      </c>
      <c r="Q74" s="174"/>
      <c r="R74" s="2"/>
      <c r="S74" s="194" t="s">
        <v>523</v>
      </c>
      <c r="T74" s="195"/>
      <c r="U74" s="196"/>
      <c r="W74" s="194" t="s">
        <v>522</v>
      </c>
      <c r="X74" s="195"/>
      <c r="Y74" s="196"/>
      <c r="AA74" s="453" t="s">
        <v>35</v>
      </c>
      <c r="AB74" s="454"/>
      <c r="AC74" s="455"/>
    </row>
    <row r="75" spans="2:29" ht="15.75" x14ac:dyDescent="0.25">
      <c r="B75" s="241">
        <v>1</v>
      </c>
      <c r="C75" s="242"/>
      <c r="E75" s="352" t="s">
        <v>773</v>
      </c>
      <c r="F75" s="353"/>
      <c r="G75" s="354"/>
      <c r="I75" s="190" t="s">
        <v>111</v>
      </c>
      <c r="J75" s="191"/>
      <c r="L75" s="206" t="s">
        <v>519</v>
      </c>
      <c r="M75" s="448"/>
      <c r="N75" s="449"/>
      <c r="O75" s="93"/>
      <c r="P75" s="190" t="s">
        <v>111</v>
      </c>
      <c r="Q75" s="191"/>
      <c r="R75" s="3"/>
      <c r="S75" s="203" t="s">
        <v>520</v>
      </c>
      <c r="T75" s="204"/>
      <c r="U75" s="205"/>
      <c r="V75" s="8"/>
      <c r="W75" s="450" t="s">
        <v>521</v>
      </c>
      <c r="X75" s="451"/>
      <c r="Y75" s="452"/>
      <c r="AA75" s="378" t="s">
        <v>573</v>
      </c>
      <c r="AB75" s="379"/>
      <c r="AC75" s="380"/>
    </row>
    <row r="76" spans="2:29" ht="15.75" x14ac:dyDescent="0.25">
      <c r="B76" s="241">
        <v>2</v>
      </c>
      <c r="C76" s="242"/>
      <c r="E76" s="253" t="s">
        <v>773</v>
      </c>
      <c r="F76" s="254"/>
      <c r="G76" s="255"/>
      <c r="I76" s="190" t="s">
        <v>111</v>
      </c>
      <c r="J76" s="191"/>
      <c r="L76" s="226" t="s">
        <v>519</v>
      </c>
      <c r="M76" s="434"/>
      <c r="N76" s="435"/>
      <c r="O76" s="93"/>
      <c r="P76" s="190" t="s">
        <v>111</v>
      </c>
      <c r="Q76" s="191"/>
      <c r="R76" s="3"/>
      <c r="S76" s="229" t="s">
        <v>520</v>
      </c>
      <c r="T76" s="230"/>
      <c r="U76" s="231"/>
      <c r="V76" s="8"/>
      <c r="W76" s="305" t="s">
        <v>521</v>
      </c>
      <c r="X76" s="306"/>
      <c r="Y76" s="307"/>
      <c r="AA76" s="305" t="s">
        <v>573</v>
      </c>
      <c r="AB76" s="306"/>
      <c r="AC76" s="307"/>
    </row>
    <row r="77" spans="2:29" ht="15.75" x14ac:dyDescent="0.25">
      <c r="B77" s="241">
        <v>3</v>
      </c>
      <c r="C77" s="242"/>
      <c r="E77" s="253" t="s">
        <v>773</v>
      </c>
      <c r="F77" s="254"/>
      <c r="G77" s="255"/>
      <c r="I77" s="190" t="s">
        <v>111</v>
      </c>
      <c r="J77" s="191"/>
      <c r="L77" s="226" t="s">
        <v>519</v>
      </c>
      <c r="M77" s="434"/>
      <c r="N77" s="435"/>
      <c r="O77" s="93"/>
      <c r="P77" s="190" t="s">
        <v>111</v>
      </c>
      <c r="Q77" s="191"/>
      <c r="R77" s="3"/>
      <c r="S77" s="229" t="s">
        <v>520</v>
      </c>
      <c r="T77" s="230"/>
      <c r="U77" s="231"/>
      <c r="V77" s="8"/>
      <c r="W77" s="305" t="s">
        <v>521</v>
      </c>
      <c r="X77" s="306"/>
      <c r="Y77" s="307"/>
      <c r="AA77" s="305" t="s">
        <v>573</v>
      </c>
      <c r="AB77" s="306"/>
      <c r="AC77" s="307"/>
    </row>
    <row r="78" spans="2:29" ht="15.75" x14ac:dyDescent="0.25">
      <c r="B78" s="241">
        <v>4</v>
      </c>
      <c r="C78" s="242"/>
      <c r="E78" s="253" t="s">
        <v>773</v>
      </c>
      <c r="F78" s="254"/>
      <c r="G78" s="255"/>
      <c r="I78" s="190" t="s">
        <v>111</v>
      </c>
      <c r="J78" s="191"/>
      <c r="L78" s="226" t="s">
        <v>519</v>
      </c>
      <c r="M78" s="434"/>
      <c r="N78" s="435"/>
      <c r="O78" s="93"/>
      <c r="P78" s="190" t="s">
        <v>111</v>
      </c>
      <c r="Q78" s="191"/>
      <c r="R78" s="3"/>
      <c r="S78" s="229" t="s">
        <v>520</v>
      </c>
      <c r="T78" s="230"/>
      <c r="U78" s="231"/>
      <c r="V78" s="8"/>
      <c r="W78" s="305" t="s">
        <v>521</v>
      </c>
      <c r="X78" s="306"/>
      <c r="Y78" s="307"/>
      <c r="AA78" s="305" t="s">
        <v>573</v>
      </c>
      <c r="AB78" s="306"/>
      <c r="AC78" s="307"/>
    </row>
    <row r="79" spans="2:29" ht="15.75" x14ac:dyDescent="0.25">
      <c r="B79" s="241">
        <v>5</v>
      </c>
      <c r="C79" s="242"/>
      <c r="E79" s="253" t="s">
        <v>773</v>
      </c>
      <c r="F79" s="254"/>
      <c r="G79" s="255"/>
      <c r="I79" s="190" t="s">
        <v>111</v>
      </c>
      <c r="J79" s="191"/>
      <c r="L79" s="226" t="s">
        <v>519</v>
      </c>
      <c r="M79" s="434"/>
      <c r="N79" s="435"/>
      <c r="O79" s="93"/>
      <c r="P79" s="190" t="s">
        <v>111</v>
      </c>
      <c r="Q79" s="191"/>
      <c r="R79" s="3"/>
      <c r="S79" s="229" t="s">
        <v>520</v>
      </c>
      <c r="T79" s="230"/>
      <c r="U79" s="231"/>
      <c r="V79" s="8"/>
      <c r="W79" s="305" t="s">
        <v>521</v>
      </c>
      <c r="X79" s="306"/>
      <c r="Y79" s="307"/>
      <c r="AA79" s="305" t="s">
        <v>573</v>
      </c>
      <c r="AB79" s="306"/>
      <c r="AC79" s="307"/>
    </row>
    <row r="80" spans="2:29" ht="16.5" thickBot="1" x14ac:dyDescent="0.3">
      <c r="B80" s="243">
        <v>6</v>
      </c>
      <c r="C80" s="244"/>
      <c r="E80" s="212" t="s">
        <v>773</v>
      </c>
      <c r="F80" s="213"/>
      <c r="G80" s="214"/>
      <c r="I80" s="192" t="s">
        <v>111</v>
      </c>
      <c r="J80" s="193"/>
      <c r="L80" s="215" t="s">
        <v>519</v>
      </c>
      <c r="M80" s="216"/>
      <c r="N80" s="217"/>
      <c r="O80" s="93"/>
      <c r="P80" s="192" t="s">
        <v>111</v>
      </c>
      <c r="Q80" s="193"/>
      <c r="R80" s="3"/>
      <c r="S80" s="218" t="s">
        <v>520</v>
      </c>
      <c r="T80" s="219"/>
      <c r="U80" s="220"/>
      <c r="V80" s="8"/>
      <c r="W80" s="335" t="s">
        <v>521</v>
      </c>
      <c r="X80" s="336"/>
      <c r="Y80" s="337"/>
      <c r="AA80" s="335" t="s">
        <v>573</v>
      </c>
      <c r="AB80" s="336"/>
      <c r="AC80" s="337"/>
    </row>
    <row r="81" spans="2:29" ht="15.75" thickBot="1" x14ac:dyDescent="0.3">
      <c r="P81" s="106"/>
      <c r="Q81" s="106"/>
    </row>
    <row r="82" spans="2:29" ht="15.75" thickBot="1" x14ac:dyDescent="0.3">
      <c r="B82" s="237" t="s">
        <v>292</v>
      </c>
      <c r="C82" s="238"/>
      <c r="E82" s="462" t="s">
        <v>665</v>
      </c>
      <c r="F82" s="463"/>
      <c r="G82" s="464"/>
      <c r="I82" s="237" t="s">
        <v>507</v>
      </c>
      <c r="J82" s="238"/>
      <c r="L82" s="248" t="s">
        <v>524</v>
      </c>
      <c r="M82" s="249"/>
      <c r="N82" s="250"/>
      <c r="O82" s="87"/>
      <c r="P82" s="173" t="s">
        <v>507</v>
      </c>
      <c r="Q82" s="174"/>
      <c r="R82" s="2"/>
      <c r="S82" s="194" t="s">
        <v>523</v>
      </c>
      <c r="T82" s="195"/>
      <c r="U82" s="196"/>
      <c r="W82" s="453" t="s">
        <v>603</v>
      </c>
      <c r="X82" s="454"/>
      <c r="Y82" s="455"/>
      <c r="AA82" s="453" t="s">
        <v>35</v>
      </c>
      <c r="AB82" s="454"/>
      <c r="AC82" s="455"/>
    </row>
    <row r="83" spans="2:29" ht="15.75" x14ac:dyDescent="0.25">
      <c r="B83" s="423">
        <v>1</v>
      </c>
      <c r="C83" s="424"/>
      <c r="E83" s="471" t="s">
        <v>600</v>
      </c>
      <c r="F83" s="472"/>
      <c r="G83" s="473"/>
      <c r="I83" s="474" t="s">
        <v>893</v>
      </c>
      <c r="J83" s="475"/>
      <c r="K83" s="158"/>
      <c r="L83" s="476" t="s">
        <v>601</v>
      </c>
      <c r="M83" s="477"/>
      <c r="N83" s="478"/>
      <c r="O83" s="159"/>
      <c r="P83" s="479" t="s">
        <v>111</v>
      </c>
      <c r="Q83" s="480"/>
      <c r="R83" s="160"/>
      <c r="S83" s="481" t="s">
        <v>602</v>
      </c>
      <c r="T83" s="482"/>
      <c r="U83" s="483"/>
      <c r="V83" s="161"/>
      <c r="W83" s="484" t="s">
        <v>604</v>
      </c>
      <c r="X83" s="472"/>
      <c r="Y83" s="473"/>
      <c r="Z83" s="158"/>
      <c r="AA83" s="484" t="s">
        <v>573</v>
      </c>
      <c r="AB83" s="472"/>
      <c r="AC83" s="473"/>
    </row>
    <row r="84" spans="2:29" ht="15.75" x14ac:dyDescent="0.25">
      <c r="B84" s="241">
        <v>2</v>
      </c>
      <c r="C84" s="242"/>
      <c r="E84" s="485" t="s">
        <v>600</v>
      </c>
      <c r="F84" s="486"/>
      <c r="G84" s="487"/>
      <c r="I84" s="488" t="s">
        <v>893</v>
      </c>
      <c r="J84" s="489"/>
      <c r="K84" s="158"/>
      <c r="L84" s="490" t="s">
        <v>601</v>
      </c>
      <c r="M84" s="491"/>
      <c r="N84" s="492"/>
      <c r="O84" s="159"/>
      <c r="P84" s="493" t="s">
        <v>111</v>
      </c>
      <c r="Q84" s="494"/>
      <c r="R84" s="160"/>
      <c r="S84" s="495" t="s">
        <v>602</v>
      </c>
      <c r="T84" s="496"/>
      <c r="U84" s="497"/>
      <c r="V84" s="161"/>
      <c r="W84" s="485" t="s">
        <v>604</v>
      </c>
      <c r="X84" s="486"/>
      <c r="Y84" s="487"/>
      <c r="Z84" s="158"/>
      <c r="AA84" s="485" t="s">
        <v>573</v>
      </c>
      <c r="AB84" s="486"/>
      <c r="AC84" s="487"/>
    </row>
    <row r="85" spans="2:29" ht="15.75" x14ac:dyDescent="0.25">
      <c r="B85" s="241">
        <v>3</v>
      </c>
      <c r="C85" s="242"/>
      <c r="E85" s="485" t="s">
        <v>600</v>
      </c>
      <c r="F85" s="486"/>
      <c r="G85" s="487"/>
      <c r="I85" s="488" t="s">
        <v>893</v>
      </c>
      <c r="J85" s="489"/>
      <c r="K85" s="158"/>
      <c r="L85" s="490" t="s">
        <v>601</v>
      </c>
      <c r="M85" s="491"/>
      <c r="N85" s="492"/>
      <c r="O85" s="159"/>
      <c r="P85" s="493" t="s">
        <v>111</v>
      </c>
      <c r="Q85" s="494"/>
      <c r="R85" s="160"/>
      <c r="S85" s="495" t="s">
        <v>602</v>
      </c>
      <c r="T85" s="496"/>
      <c r="U85" s="497"/>
      <c r="V85" s="161"/>
      <c r="W85" s="485" t="s">
        <v>604</v>
      </c>
      <c r="X85" s="486"/>
      <c r="Y85" s="487"/>
      <c r="Z85" s="158"/>
      <c r="AA85" s="485" t="s">
        <v>573</v>
      </c>
      <c r="AB85" s="486"/>
      <c r="AC85" s="487"/>
    </row>
    <row r="86" spans="2:29" ht="15.75" x14ac:dyDescent="0.25">
      <c r="B86" s="241">
        <v>4</v>
      </c>
      <c r="C86" s="242"/>
      <c r="E86" s="485" t="s">
        <v>600</v>
      </c>
      <c r="F86" s="486"/>
      <c r="G86" s="487"/>
      <c r="I86" s="488" t="s">
        <v>893</v>
      </c>
      <c r="J86" s="489"/>
      <c r="K86" s="158"/>
      <c r="L86" s="490" t="s">
        <v>601</v>
      </c>
      <c r="M86" s="491"/>
      <c r="N86" s="492"/>
      <c r="O86" s="159"/>
      <c r="P86" s="493" t="s">
        <v>111</v>
      </c>
      <c r="Q86" s="494"/>
      <c r="R86" s="160"/>
      <c r="S86" s="495" t="s">
        <v>602</v>
      </c>
      <c r="T86" s="496"/>
      <c r="U86" s="497"/>
      <c r="V86" s="161"/>
      <c r="W86" s="485" t="s">
        <v>604</v>
      </c>
      <c r="X86" s="486"/>
      <c r="Y86" s="487"/>
      <c r="Z86" s="158"/>
      <c r="AA86" s="485" t="s">
        <v>573</v>
      </c>
      <c r="AB86" s="486"/>
      <c r="AC86" s="487"/>
    </row>
    <row r="87" spans="2:29" ht="16.5" thickBot="1" x14ac:dyDescent="0.3">
      <c r="B87" s="243">
        <v>5</v>
      </c>
      <c r="C87" s="244"/>
      <c r="E87" s="498" t="s">
        <v>600</v>
      </c>
      <c r="F87" s="499"/>
      <c r="G87" s="500"/>
      <c r="I87" s="501" t="s">
        <v>893</v>
      </c>
      <c r="J87" s="502"/>
      <c r="K87" s="158"/>
      <c r="L87" s="503" t="s">
        <v>601</v>
      </c>
      <c r="M87" s="504"/>
      <c r="N87" s="505"/>
      <c r="O87" s="159"/>
      <c r="P87" s="506" t="s">
        <v>111</v>
      </c>
      <c r="Q87" s="507"/>
      <c r="R87" s="160"/>
      <c r="S87" s="508" t="s">
        <v>602</v>
      </c>
      <c r="T87" s="509"/>
      <c r="U87" s="510"/>
      <c r="V87" s="161"/>
      <c r="W87" s="498" t="s">
        <v>604</v>
      </c>
      <c r="X87" s="499"/>
      <c r="Y87" s="500"/>
      <c r="Z87" s="158"/>
      <c r="AA87" s="498" t="s">
        <v>573</v>
      </c>
      <c r="AB87" s="499"/>
      <c r="AC87" s="500"/>
    </row>
    <row r="88" spans="2:29" ht="15.75" thickBot="1" x14ac:dyDescent="0.3"/>
    <row r="89" spans="2:29" ht="15.75" thickBot="1" x14ac:dyDescent="0.3">
      <c r="B89" s="511" t="s">
        <v>765</v>
      </c>
      <c r="C89" s="512"/>
      <c r="E89" s="513" t="s">
        <v>764</v>
      </c>
      <c r="F89" s="514"/>
      <c r="G89" s="515"/>
      <c r="I89" s="511" t="s">
        <v>507</v>
      </c>
      <c r="J89" s="512"/>
      <c r="L89" s="516" t="s">
        <v>535</v>
      </c>
      <c r="M89" s="517"/>
      <c r="N89" s="518"/>
      <c r="O89" s="87"/>
      <c r="P89" s="519" t="s">
        <v>507</v>
      </c>
      <c r="Q89" s="520"/>
      <c r="R89" s="2"/>
      <c r="S89" s="521" t="s">
        <v>37</v>
      </c>
      <c r="T89" s="522"/>
      <c r="U89" s="523"/>
      <c r="W89" s="524" t="s">
        <v>32</v>
      </c>
      <c r="X89" s="525"/>
      <c r="Y89" s="526"/>
      <c r="AA89" s="521" t="s">
        <v>35</v>
      </c>
      <c r="AB89" s="522"/>
      <c r="AC89" s="523"/>
    </row>
    <row r="90" spans="2:29" ht="16.5" thickBot="1" x14ac:dyDescent="0.3">
      <c r="B90" s="243" t="s">
        <v>847</v>
      </c>
      <c r="C90" s="527"/>
      <c r="E90" s="528" t="s">
        <v>774</v>
      </c>
      <c r="F90" s="529"/>
      <c r="G90" s="530"/>
      <c r="H90" s="158"/>
      <c r="I90" s="531" t="s">
        <v>893</v>
      </c>
      <c r="J90" s="532"/>
      <c r="K90" s="158"/>
      <c r="L90" s="503" t="s">
        <v>111</v>
      </c>
      <c r="M90" s="504"/>
      <c r="N90" s="505"/>
      <c r="O90" s="159"/>
      <c r="P90" s="533" t="s">
        <v>111</v>
      </c>
      <c r="Q90" s="534"/>
      <c r="R90" s="160"/>
      <c r="S90" s="535" t="s">
        <v>775</v>
      </c>
      <c r="T90" s="536"/>
      <c r="U90" s="537"/>
      <c r="V90" s="160"/>
      <c r="W90" s="538" t="s">
        <v>72</v>
      </c>
      <c r="X90" s="539"/>
      <c r="Y90" s="540"/>
      <c r="Z90" s="161"/>
      <c r="AA90" s="541" t="s">
        <v>797</v>
      </c>
      <c r="AB90" s="542"/>
      <c r="AC90" s="543"/>
    </row>
    <row r="91" spans="2:29" ht="15.75" thickBot="1" x14ac:dyDescent="0.3"/>
    <row r="92" spans="2:29" ht="15.75" thickBot="1" x14ac:dyDescent="0.3">
      <c r="B92" s="556" t="s">
        <v>766</v>
      </c>
      <c r="C92" s="557"/>
      <c r="E92" s="558" t="s">
        <v>764</v>
      </c>
      <c r="F92" s="559"/>
      <c r="G92" s="560"/>
      <c r="I92" s="556" t="s">
        <v>507</v>
      </c>
      <c r="J92" s="557"/>
      <c r="L92" s="561" t="s">
        <v>535</v>
      </c>
      <c r="M92" s="562"/>
      <c r="N92" s="563"/>
      <c r="O92" s="87"/>
      <c r="P92" s="564" t="s">
        <v>507</v>
      </c>
      <c r="Q92" s="565"/>
      <c r="R92" s="2"/>
      <c r="S92" s="566" t="s">
        <v>37</v>
      </c>
      <c r="T92" s="567"/>
      <c r="U92" s="568"/>
      <c r="W92" s="569" t="s">
        <v>32</v>
      </c>
      <c r="X92" s="570"/>
      <c r="Y92" s="571"/>
      <c r="AA92" s="566" t="s">
        <v>35</v>
      </c>
      <c r="AB92" s="567"/>
      <c r="AC92" s="568"/>
    </row>
    <row r="93" spans="2:29" ht="16.5" thickBot="1" x14ac:dyDescent="0.3">
      <c r="B93" s="243" t="s">
        <v>766</v>
      </c>
      <c r="C93" s="244"/>
      <c r="E93" s="544" t="s">
        <v>774</v>
      </c>
      <c r="F93" s="545"/>
      <c r="G93" s="546"/>
      <c r="I93" s="192" t="s">
        <v>111</v>
      </c>
      <c r="J93" s="193"/>
      <c r="L93" s="547" t="s">
        <v>111</v>
      </c>
      <c r="M93" s="221"/>
      <c r="N93" s="222"/>
      <c r="O93" s="88"/>
      <c r="P93" s="548" t="s">
        <v>111</v>
      </c>
      <c r="Q93" s="549"/>
      <c r="R93" s="3"/>
      <c r="S93" s="550" t="s">
        <v>775</v>
      </c>
      <c r="T93" s="551"/>
      <c r="U93" s="552"/>
      <c r="V93" s="3"/>
      <c r="W93" s="550" t="s">
        <v>72</v>
      </c>
      <c r="X93" s="551"/>
      <c r="Y93" s="552"/>
      <c r="Z93" s="8"/>
      <c r="AA93" s="553" t="s">
        <v>776</v>
      </c>
      <c r="AB93" s="554"/>
      <c r="AC93" s="555"/>
    </row>
  </sheetData>
  <mergeCells count="585">
    <mergeCell ref="B93:C93"/>
    <mergeCell ref="E93:G93"/>
    <mergeCell ref="I93:J93"/>
    <mergeCell ref="L93:N93"/>
    <mergeCell ref="P93:Q93"/>
    <mergeCell ref="S93:U93"/>
    <mergeCell ref="W93:Y93"/>
    <mergeCell ref="AA93:AC93"/>
    <mergeCell ref="B92:C92"/>
    <mergeCell ref="E92:G92"/>
    <mergeCell ref="I92:J92"/>
    <mergeCell ref="L92:N92"/>
    <mergeCell ref="P92:Q92"/>
    <mergeCell ref="S92:U92"/>
    <mergeCell ref="W92:Y92"/>
    <mergeCell ref="AA92:AC92"/>
    <mergeCell ref="B89:C89"/>
    <mergeCell ref="E89:G89"/>
    <mergeCell ref="I89:J89"/>
    <mergeCell ref="L89:N89"/>
    <mergeCell ref="P89:Q89"/>
    <mergeCell ref="S89:U89"/>
    <mergeCell ref="W89:Y89"/>
    <mergeCell ref="AA89:AC89"/>
    <mergeCell ref="B90:C90"/>
    <mergeCell ref="E90:G90"/>
    <mergeCell ref="I90:J90"/>
    <mergeCell ref="L90:N90"/>
    <mergeCell ref="P90:Q90"/>
    <mergeCell ref="S90:U90"/>
    <mergeCell ref="W90:Y90"/>
    <mergeCell ref="AA90:AC90"/>
    <mergeCell ref="B86:C86"/>
    <mergeCell ref="E86:G86"/>
    <mergeCell ref="I86:J86"/>
    <mergeCell ref="L86:N86"/>
    <mergeCell ref="P86:Q86"/>
    <mergeCell ref="S86:U86"/>
    <mergeCell ref="W86:Y86"/>
    <mergeCell ref="AA86:AC86"/>
    <mergeCell ref="B87:C87"/>
    <mergeCell ref="E87:G87"/>
    <mergeCell ref="I87:J87"/>
    <mergeCell ref="L87:N87"/>
    <mergeCell ref="P87:Q87"/>
    <mergeCell ref="S87:U87"/>
    <mergeCell ref="W87:Y87"/>
    <mergeCell ref="AA87:AC87"/>
    <mergeCell ref="B84:C84"/>
    <mergeCell ref="E84:G84"/>
    <mergeCell ref="I84:J84"/>
    <mergeCell ref="L84:N84"/>
    <mergeCell ref="P84:Q84"/>
    <mergeCell ref="S84:U84"/>
    <mergeCell ref="W84:Y84"/>
    <mergeCell ref="AA84:AC84"/>
    <mergeCell ref="B85:C85"/>
    <mergeCell ref="E85:G85"/>
    <mergeCell ref="I85:J85"/>
    <mergeCell ref="L85:N85"/>
    <mergeCell ref="P85:Q85"/>
    <mergeCell ref="S85:U85"/>
    <mergeCell ref="W85:Y85"/>
    <mergeCell ref="AA85:AC85"/>
    <mergeCell ref="B82:C82"/>
    <mergeCell ref="E82:G82"/>
    <mergeCell ref="I82:J82"/>
    <mergeCell ref="L82:N82"/>
    <mergeCell ref="P82:Q82"/>
    <mergeCell ref="S82:U82"/>
    <mergeCell ref="W82:Y82"/>
    <mergeCell ref="AA82:AC82"/>
    <mergeCell ref="B83:C83"/>
    <mergeCell ref="E83:G83"/>
    <mergeCell ref="I83:J83"/>
    <mergeCell ref="L83:N83"/>
    <mergeCell ref="P83:Q83"/>
    <mergeCell ref="S83:U83"/>
    <mergeCell ref="W83:Y83"/>
    <mergeCell ref="AA83:AC83"/>
    <mergeCell ref="AA55:AC55"/>
    <mergeCell ref="AA56:AC56"/>
    <mergeCell ref="AA57:AC57"/>
    <mergeCell ref="AA58:AC58"/>
    <mergeCell ref="AA59:AC59"/>
    <mergeCell ref="AA60:AC60"/>
    <mergeCell ref="AA61:AC61"/>
    <mergeCell ref="L79:N79"/>
    <mergeCell ref="S76:U76"/>
    <mergeCell ref="S77:U77"/>
    <mergeCell ref="S78:U78"/>
    <mergeCell ref="S79:U79"/>
    <mergeCell ref="AA67:AC67"/>
    <mergeCell ref="AA68:AC68"/>
    <mergeCell ref="AA69:AC69"/>
    <mergeCell ref="AA70:AC70"/>
    <mergeCell ref="AA71:AC71"/>
    <mergeCell ref="W67:Y67"/>
    <mergeCell ref="W68:Y68"/>
    <mergeCell ref="W69:Y69"/>
    <mergeCell ref="W70:Y70"/>
    <mergeCell ref="W71:Y71"/>
    <mergeCell ref="S68:U68"/>
    <mergeCell ref="S69:U69"/>
    <mergeCell ref="S70:U70"/>
    <mergeCell ref="S71:U71"/>
    <mergeCell ref="P67:Q67"/>
    <mergeCell ref="P68:Q68"/>
    <mergeCell ref="P69:Q69"/>
    <mergeCell ref="S30:U30"/>
    <mergeCell ref="S31:U31"/>
    <mergeCell ref="E18:G18"/>
    <mergeCell ref="L18:N18"/>
    <mergeCell ref="S18:U18"/>
    <mergeCell ref="E30:G30"/>
    <mergeCell ref="E31:G31"/>
    <mergeCell ref="E67:G67"/>
    <mergeCell ref="E68:G68"/>
    <mergeCell ref="L67:N67"/>
    <mergeCell ref="L68:N68"/>
    <mergeCell ref="L55:N55"/>
    <mergeCell ref="L56:N56"/>
    <mergeCell ref="L57:N57"/>
    <mergeCell ref="L58:N58"/>
    <mergeCell ref="L59:N59"/>
    <mergeCell ref="L60:N60"/>
    <mergeCell ref="L61:N61"/>
    <mergeCell ref="E32:G32"/>
    <mergeCell ref="E13:G13"/>
    <mergeCell ref="L13:N13"/>
    <mergeCell ref="S13:U13"/>
    <mergeCell ref="W13:Y13"/>
    <mergeCell ref="E14:G14"/>
    <mergeCell ref="L14:N14"/>
    <mergeCell ref="S14:U14"/>
    <mergeCell ref="W14:Y14"/>
    <mergeCell ref="L19:N19"/>
    <mergeCell ref="S19:U19"/>
    <mergeCell ref="P13:Q13"/>
    <mergeCell ref="P14:Q14"/>
    <mergeCell ref="P15:Q15"/>
    <mergeCell ref="P16:Q16"/>
    <mergeCell ref="P17:Q17"/>
    <mergeCell ref="P18:Q18"/>
    <mergeCell ref="P19:Q19"/>
    <mergeCell ref="W80:Y80"/>
    <mergeCell ref="AA80:AC80"/>
    <mergeCell ref="B76:C76"/>
    <mergeCell ref="B77:C77"/>
    <mergeCell ref="B78:C78"/>
    <mergeCell ref="B79:C79"/>
    <mergeCell ref="B80:C80"/>
    <mergeCell ref="E80:G80"/>
    <mergeCell ref="L80:N80"/>
    <mergeCell ref="S80:U80"/>
    <mergeCell ref="AA76:AC76"/>
    <mergeCell ref="AA77:AC77"/>
    <mergeCell ref="AA78:AC78"/>
    <mergeCell ref="AA79:AC79"/>
    <mergeCell ref="I80:J80"/>
    <mergeCell ref="W76:Y76"/>
    <mergeCell ref="W77:Y77"/>
    <mergeCell ref="W78:Y78"/>
    <mergeCell ref="W79:Y79"/>
    <mergeCell ref="E76:G76"/>
    <mergeCell ref="E77:G77"/>
    <mergeCell ref="E78:G78"/>
    <mergeCell ref="L77:N77"/>
    <mergeCell ref="L78:N78"/>
    <mergeCell ref="E79:G79"/>
    <mergeCell ref="L76:N76"/>
    <mergeCell ref="B75:C75"/>
    <mergeCell ref="E75:G75"/>
    <mergeCell ref="L75:N75"/>
    <mergeCell ref="S75:U75"/>
    <mergeCell ref="W75:Y75"/>
    <mergeCell ref="AA75:AC75"/>
    <mergeCell ref="B67:C67"/>
    <mergeCell ref="B68:C68"/>
    <mergeCell ref="B69:C69"/>
    <mergeCell ref="B70:C70"/>
    <mergeCell ref="B71:C71"/>
    <mergeCell ref="W74:Y74"/>
    <mergeCell ref="AA74:AC74"/>
    <mergeCell ref="B72:C72"/>
    <mergeCell ref="E72:G72"/>
    <mergeCell ref="L72:N72"/>
    <mergeCell ref="S72:U72"/>
    <mergeCell ref="W72:Y72"/>
    <mergeCell ref="AA72:AC72"/>
    <mergeCell ref="B74:C74"/>
    <mergeCell ref="E74:G74"/>
    <mergeCell ref="L74:N74"/>
    <mergeCell ref="S74:U74"/>
    <mergeCell ref="S67:U67"/>
    <mergeCell ref="B65:C65"/>
    <mergeCell ref="E65:G65"/>
    <mergeCell ref="L65:N65"/>
    <mergeCell ref="S65:U65"/>
    <mergeCell ref="W65:Y65"/>
    <mergeCell ref="AA65:AC65"/>
    <mergeCell ref="B66:C66"/>
    <mergeCell ref="E66:G66"/>
    <mergeCell ref="L66:N66"/>
    <mergeCell ref="S66:U66"/>
    <mergeCell ref="W66:Y66"/>
    <mergeCell ref="AA66:AC66"/>
    <mergeCell ref="P66:Q66"/>
    <mergeCell ref="I70:J70"/>
    <mergeCell ref="P72:Q72"/>
    <mergeCell ref="P74:Q74"/>
    <mergeCell ref="P70:Q70"/>
    <mergeCell ref="P71:Q71"/>
    <mergeCell ref="I71:J71"/>
    <mergeCell ref="E69:G69"/>
    <mergeCell ref="E70:G70"/>
    <mergeCell ref="E71:G71"/>
    <mergeCell ref="B62:C62"/>
    <mergeCell ref="E62:G62"/>
    <mergeCell ref="L62:N62"/>
    <mergeCell ref="W62:Y62"/>
    <mergeCell ref="AA62:AC62"/>
    <mergeCell ref="S60:U60"/>
    <mergeCell ref="B55:C55"/>
    <mergeCell ref="B59:C59"/>
    <mergeCell ref="B60:C60"/>
    <mergeCell ref="B56:C56"/>
    <mergeCell ref="B57:C57"/>
    <mergeCell ref="B58:C58"/>
    <mergeCell ref="B61:C61"/>
    <mergeCell ref="E55:G55"/>
    <mergeCell ref="E56:G56"/>
    <mergeCell ref="E57:G57"/>
    <mergeCell ref="E58:G58"/>
    <mergeCell ref="E59:G59"/>
    <mergeCell ref="E60:G60"/>
    <mergeCell ref="E61:G61"/>
    <mergeCell ref="W55:Y55"/>
    <mergeCell ref="W56:Y56"/>
    <mergeCell ref="W57:Y57"/>
    <mergeCell ref="W58:Y58"/>
    <mergeCell ref="I11:J11"/>
    <mergeCell ref="I12:J12"/>
    <mergeCell ref="I13:J13"/>
    <mergeCell ref="I14:J14"/>
    <mergeCell ref="I15:J15"/>
    <mergeCell ref="I16:J16"/>
    <mergeCell ref="I17:J17"/>
    <mergeCell ref="I18:J18"/>
    <mergeCell ref="I19:J19"/>
    <mergeCell ref="B40:C40"/>
    <mergeCell ref="S40:U40"/>
    <mergeCell ref="B41:C41"/>
    <mergeCell ref="E41:G41"/>
    <mergeCell ref="L41:N41"/>
    <mergeCell ref="S41:U41"/>
    <mergeCell ref="L40:N40"/>
    <mergeCell ref="E39:G39"/>
    <mergeCell ref="L39:N39"/>
    <mergeCell ref="B39:C39"/>
    <mergeCell ref="AA47:AC47"/>
    <mergeCell ref="S43:U43"/>
    <mergeCell ref="E40:G40"/>
    <mergeCell ref="W39:Y39"/>
    <mergeCell ref="AA39:AC39"/>
    <mergeCell ref="W40:Y40"/>
    <mergeCell ref="AA40:AC40"/>
    <mergeCell ref="W41:Y41"/>
    <mergeCell ref="AA41:AC41"/>
    <mergeCell ref="W42:Y42"/>
    <mergeCell ref="AA42:AC42"/>
    <mergeCell ref="W43:Y43"/>
    <mergeCell ref="AA43:AC43"/>
    <mergeCell ref="W47:Y47"/>
    <mergeCell ref="P42:Q42"/>
    <mergeCell ref="I41:J41"/>
    <mergeCell ref="I42:J42"/>
    <mergeCell ref="I45:J45"/>
    <mergeCell ref="I46:J46"/>
    <mergeCell ref="I47:J47"/>
    <mergeCell ref="P39:Q39"/>
    <mergeCell ref="P40:Q40"/>
    <mergeCell ref="P41:Q41"/>
    <mergeCell ref="P47:Q47"/>
    <mergeCell ref="B14:C14"/>
    <mergeCell ref="E33:G33"/>
    <mergeCell ref="L33:N33"/>
    <mergeCell ref="W33:Y33"/>
    <mergeCell ref="E16:G16"/>
    <mergeCell ref="L16:N16"/>
    <mergeCell ref="S16:U16"/>
    <mergeCell ref="B22:C22"/>
    <mergeCell ref="E22:G22"/>
    <mergeCell ref="L22:N22"/>
    <mergeCell ref="S22:U22"/>
    <mergeCell ref="L25:N25"/>
    <mergeCell ref="W22:Y22"/>
    <mergeCell ref="W23:Y23"/>
    <mergeCell ref="W24:Y24"/>
    <mergeCell ref="W25:Y25"/>
    <mergeCell ref="S25:U25"/>
    <mergeCell ref="B33:C33"/>
    <mergeCell ref="S33:U33"/>
    <mergeCell ref="B26:C26"/>
    <mergeCell ref="E26:G26"/>
    <mergeCell ref="B27:C27"/>
    <mergeCell ref="E27:G27"/>
    <mergeCell ref="B28:C28"/>
    <mergeCell ref="B11:C11"/>
    <mergeCell ref="E11:G11"/>
    <mergeCell ref="L11:N11"/>
    <mergeCell ref="S11:U11"/>
    <mergeCell ref="B12:C12"/>
    <mergeCell ref="E12:G12"/>
    <mergeCell ref="L12:N12"/>
    <mergeCell ref="S12:U12"/>
    <mergeCell ref="L20:N20"/>
    <mergeCell ref="S20:U20"/>
    <mergeCell ref="B17:C17"/>
    <mergeCell ref="E17:G17"/>
    <mergeCell ref="L17:N17"/>
    <mergeCell ref="S17:U17"/>
    <mergeCell ref="B20:C20"/>
    <mergeCell ref="E20:G20"/>
    <mergeCell ref="B18:C18"/>
    <mergeCell ref="B15:C15"/>
    <mergeCell ref="E15:G15"/>
    <mergeCell ref="L15:N15"/>
    <mergeCell ref="S15:U15"/>
    <mergeCell ref="B16:C16"/>
    <mergeCell ref="B13:C13"/>
    <mergeCell ref="E19:G19"/>
    <mergeCell ref="AA11:AC11"/>
    <mergeCell ref="AA12:AC12"/>
    <mergeCell ref="AA15:AC15"/>
    <mergeCell ref="AA16:AC16"/>
    <mergeCell ref="AA17:AC17"/>
    <mergeCell ref="AA20:AC20"/>
    <mergeCell ref="W11:Y11"/>
    <mergeCell ref="W12:Y12"/>
    <mergeCell ref="W15:Y15"/>
    <mergeCell ref="W16:Y16"/>
    <mergeCell ref="W17:Y17"/>
    <mergeCell ref="W19:Y19"/>
    <mergeCell ref="AA19:AC19"/>
    <mergeCell ref="W18:Y18"/>
    <mergeCell ref="AA18:AC18"/>
    <mergeCell ref="W20:Y20"/>
    <mergeCell ref="AA13:AC13"/>
    <mergeCell ref="AA14:AC14"/>
    <mergeCell ref="AA22:AC22"/>
    <mergeCell ref="L27:N27"/>
    <mergeCell ref="S27:U27"/>
    <mergeCell ref="L26:N26"/>
    <mergeCell ref="S26:U26"/>
    <mergeCell ref="AA23:AC23"/>
    <mergeCell ref="AA24:AC24"/>
    <mergeCell ref="AA25:AC25"/>
    <mergeCell ref="AA26:AC26"/>
    <mergeCell ref="AA27:AC27"/>
    <mergeCell ref="I30:J30"/>
    <mergeCell ref="E29:G29"/>
    <mergeCell ref="E28:G28"/>
    <mergeCell ref="L28:N28"/>
    <mergeCell ref="S28:U28"/>
    <mergeCell ref="P20:Q20"/>
    <mergeCell ref="P22:Q22"/>
    <mergeCell ref="P23:Q23"/>
    <mergeCell ref="P24:Q24"/>
    <mergeCell ref="P25:Q25"/>
    <mergeCell ref="I20:J20"/>
    <mergeCell ref="I22:J22"/>
    <mergeCell ref="I23:J23"/>
    <mergeCell ref="I24:J24"/>
    <mergeCell ref="I25:J25"/>
    <mergeCell ref="I26:J26"/>
    <mergeCell ref="I27:J27"/>
    <mergeCell ref="I28:J28"/>
    <mergeCell ref="I29:J29"/>
    <mergeCell ref="I31:J31"/>
    <mergeCell ref="I32:J32"/>
    <mergeCell ref="L29:N29"/>
    <mergeCell ref="B43:C43"/>
    <mergeCell ref="E43:G43"/>
    <mergeCell ref="S46:U46"/>
    <mergeCell ref="B47:C47"/>
    <mergeCell ref="B44:C44"/>
    <mergeCell ref="E44:G44"/>
    <mergeCell ref="L44:N44"/>
    <mergeCell ref="S44:U44"/>
    <mergeCell ref="B45:C45"/>
    <mergeCell ref="E45:G45"/>
    <mergeCell ref="L45:N45"/>
    <mergeCell ref="S45:U45"/>
    <mergeCell ref="B46:C46"/>
    <mergeCell ref="E47:G47"/>
    <mergeCell ref="L47:N47"/>
    <mergeCell ref="S47:U47"/>
    <mergeCell ref="L43:N43"/>
    <mergeCell ref="P43:Q43"/>
    <mergeCell ref="P44:Q44"/>
    <mergeCell ref="P45:Q45"/>
    <mergeCell ref="P46:Q46"/>
    <mergeCell ref="I43:J43"/>
    <mergeCell ref="I44:J44"/>
    <mergeCell ref="B42:C42"/>
    <mergeCell ref="E42:G42"/>
    <mergeCell ref="L42:N42"/>
    <mergeCell ref="S42:U42"/>
    <mergeCell ref="AA37:AC37"/>
    <mergeCell ref="W31:Y31"/>
    <mergeCell ref="AA31:AC31"/>
    <mergeCell ref="AA32:AC32"/>
    <mergeCell ref="AA33:AC33"/>
    <mergeCell ref="AA35:AC35"/>
    <mergeCell ref="AA36:AC36"/>
    <mergeCell ref="S39:U39"/>
    <mergeCell ref="B35:C35"/>
    <mergeCell ref="B36:C36"/>
    <mergeCell ref="B37:C37"/>
    <mergeCell ref="E35:G35"/>
    <mergeCell ref="E36:G36"/>
    <mergeCell ref="E37:G37"/>
    <mergeCell ref="L35:N35"/>
    <mergeCell ref="S35:U35"/>
    <mergeCell ref="W35:Y35"/>
    <mergeCell ref="L36:N36"/>
    <mergeCell ref="W36:Y36"/>
    <mergeCell ref="L37:N37"/>
    <mergeCell ref="AA30:AC30"/>
    <mergeCell ref="W26:Y26"/>
    <mergeCell ref="W27:Y27"/>
    <mergeCell ref="W30:Y30"/>
    <mergeCell ref="W29:Y29"/>
    <mergeCell ref="W32:Y32"/>
    <mergeCell ref="AA29:AC29"/>
    <mergeCell ref="P26:Q26"/>
    <mergeCell ref="P27:Q27"/>
    <mergeCell ref="P30:Q30"/>
    <mergeCell ref="E46:G46"/>
    <mergeCell ref="L46:N46"/>
    <mergeCell ref="W46:Y46"/>
    <mergeCell ref="AA46:AC46"/>
    <mergeCell ref="W28:Y28"/>
    <mergeCell ref="AA28:AC28"/>
    <mergeCell ref="W44:Y44"/>
    <mergeCell ref="AA44:AC44"/>
    <mergeCell ref="W45:Y45"/>
    <mergeCell ref="AA45:AC45"/>
    <mergeCell ref="S37:U37"/>
    <mergeCell ref="S36:U36"/>
    <mergeCell ref="W37:Y37"/>
    <mergeCell ref="P28:Q28"/>
    <mergeCell ref="P29:Q29"/>
    <mergeCell ref="I33:J33"/>
    <mergeCell ref="I35:J35"/>
    <mergeCell ref="I36:J36"/>
    <mergeCell ref="I37:J37"/>
    <mergeCell ref="I39:J39"/>
    <mergeCell ref="I40:J40"/>
    <mergeCell ref="L30:N30"/>
    <mergeCell ref="L31:N31"/>
    <mergeCell ref="L32:N32"/>
    <mergeCell ref="B51:C51"/>
    <mergeCell ref="E51:G51"/>
    <mergeCell ref="L51:N51"/>
    <mergeCell ref="S51:U51"/>
    <mergeCell ref="W51:Y51"/>
    <mergeCell ref="AA51:AC51"/>
    <mergeCell ref="B49:C49"/>
    <mergeCell ref="E49:G49"/>
    <mergeCell ref="L49:N49"/>
    <mergeCell ref="S49:U49"/>
    <mergeCell ref="W49:Y49"/>
    <mergeCell ref="AA49:AC49"/>
    <mergeCell ref="B50:C50"/>
    <mergeCell ref="E50:G50"/>
    <mergeCell ref="L50:N50"/>
    <mergeCell ref="S50:U50"/>
    <mergeCell ref="W50:Y50"/>
    <mergeCell ref="AA50:AC50"/>
    <mergeCell ref="P49:Q49"/>
    <mergeCell ref="P50:Q50"/>
    <mergeCell ref="P51:Q51"/>
    <mergeCell ref="I49:J49"/>
    <mergeCell ref="I50:J50"/>
    <mergeCell ref="B19:C19"/>
    <mergeCell ref="B53:C53"/>
    <mergeCell ref="B54:C54"/>
    <mergeCell ref="B63:C63"/>
    <mergeCell ref="E53:G53"/>
    <mergeCell ref="L53:N53"/>
    <mergeCell ref="S53:U53"/>
    <mergeCell ref="W53:Y53"/>
    <mergeCell ref="B23:C23"/>
    <mergeCell ref="E23:G23"/>
    <mergeCell ref="L23:N23"/>
    <mergeCell ref="S23:U23"/>
    <mergeCell ref="B24:C24"/>
    <mergeCell ref="E24:G24"/>
    <mergeCell ref="L24:N24"/>
    <mergeCell ref="S24:U24"/>
    <mergeCell ref="B25:C25"/>
    <mergeCell ref="E25:G25"/>
    <mergeCell ref="B32:C32"/>
    <mergeCell ref="B29:C29"/>
    <mergeCell ref="S32:U32"/>
    <mergeCell ref="S29:U29"/>
    <mergeCell ref="B30:C30"/>
    <mergeCell ref="B31:C31"/>
    <mergeCell ref="S56:U56"/>
    <mergeCell ref="S57:U57"/>
    <mergeCell ref="S58:U58"/>
    <mergeCell ref="S59:U59"/>
    <mergeCell ref="S61:U61"/>
    <mergeCell ref="S62:U62"/>
    <mergeCell ref="P53:Q53"/>
    <mergeCell ref="P54:Q54"/>
    <mergeCell ref="P55:Q55"/>
    <mergeCell ref="I78:J78"/>
    <mergeCell ref="I79:J79"/>
    <mergeCell ref="I51:J51"/>
    <mergeCell ref="I53:J53"/>
    <mergeCell ref="I54:J54"/>
    <mergeCell ref="I55:J55"/>
    <mergeCell ref="I56:J56"/>
    <mergeCell ref="I57:J57"/>
    <mergeCell ref="I58:J58"/>
    <mergeCell ref="I59:J59"/>
    <mergeCell ref="I60:J60"/>
    <mergeCell ref="I61:J61"/>
    <mergeCell ref="I62:J62"/>
    <mergeCell ref="I63:J63"/>
    <mergeCell ref="I65:J65"/>
    <mergeCell ref="I66:J66"/>
    <mergeCell ref="I67:J67"/>
    <mergeCell ref="I68:J68"/>
    <mergeCell ref="I69:J69"/>
    <mergeCell ref="I72:J72"/>
    <mergeCell ref="I74:J74"/>
    <mergeCell ref="I75:J75"/>
    <mergeCell ref="I76:J76"/>
    <mergeCell ref="I77:J77"/>
    <mergeCell ref="L69:N69"/>
    <mergeCell ref="L70:N70"/>
    <mergeCell ref="L71:N71"/>
    <mergeCell ref="P75:Q75"/>
    <mergeCell ref="P76:Q76"/>
    <mergeCell ref="P77:Q77"/>
    <mergeCell ref="P78:Q78"/>
    <mergeCell ref="P79:Q79"/>
    <mergeCell ref="P80:Q80"/>
    <mergeCell ref="A7:AC7"/>
    <mergeCell ref="P56:Q56"/>
    <mergeCell ref="P57:Q57"/>
    <mergeCell ref="P58:Q58"/>
    <mergeCell ref="P59:Q59"/>
    <mergeCell ref="P60:Q60"/>
    <mergeCell ref="P61:Q61"/>
    <mergeCell ref="P62:Q62"/>
    <mergeCell ref="P63:Q63"/>
    <mergeCell ref="AA53:AC53"/>
    <mergeCell ref="E54:G54"/>
    <mergeCell ref="L54:N54"/>
    <mergeCell ref="S54:U54"/>
    <mergeCell ref="W54:Y54"/>
    <mergeCell ref="AA54:AC54"/>
    <mergeCell ref="E63:G63"/>
    <mergeCell ref="L63:N63"/>
    <mergeCell ref="S63:U63"/>
    <mergeCell ref="W63:Y63"/>
    <mergeCell ref="AA63:AC63"/>
    <mergeCell ref="W59:Y59"/>
    <mergeCell ref="W60:Y60"/>
    <mergeCell ref="W61:Y61"/>
    <mergeCell ref="S55:U55"/>
    <mergeCell ref="P65:Q65"/>
    <mergeCell ref="P31:Q31"/>
    <mergeCell ref="P32:Q32"/>
    <mergeCell ref="P33:Q33"/>
    <mergeCell ref="P35:Q35"/>
    <mergeCell ref="P36:Q36"/>
    <mergeCell ref="P37:Q37"/>
    <mergeCell ref="P11:Q11"/>
    <mergeCell ref="P12:Q12"/>
  </mergeCells>
  <phoneticPr fontId="5" type="noConversion"/>
  <pageMargins left="0.511811024" right="0.511811024" top="0.78740157499999996" bottom="0.78740157499999996" header="0.31496062000000002" footer="0.31496062000000002"/>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209"/>
  </sheetPr>
  <dimension ref="A1:U64"/>
  <sheetViews>
    <sheetView workbookViewId="0">
      <pane ySplit="6" topLeftCell="A7" activePane="bottomLeft" state="frozen"/>
      <selection pane="bottomLeft"/>
    </sheetView>
  </sheetViews>
  <sheetFormatPr defaultColWidth="9.140625" defaultRowHeight="15" x14ac:dyDescent="0.25"/>
  <cols>
    <col min="1" max="1" width="3.140625" style="1" customWidth="1"/>
    <col min="2" max="2" width="9.140625" style="1"/>
    <col min="3" max="3" width="9.140625" style="1" customWidth="1"/>
    <col min="4" max="4" width="2.140625" style="1" customWidth="1"/>
    <col min="5" max="7" width="9.140625" style="1"/>
    <col min="8" max="8" width="2.140625" style="1" customWidth="1"/>
    <col min="9" max="11" width="9.140625" style="1"/>
    <col min="12" max="12" width="2.140625" style="1" customWidth="1"/>
    <col min="13" max="14" width="9.140625" style="1"/>
    <col min="15" max="15" width="12.7109375" style="1" customWidth="1"/>
    <col min="16" max="16" width="2.140625" style="1" customWidth="1"/>
    <col min="17" max="17" width="9.140625" style="1"/>
    <col min="18" max="18" width="15.42578125" style="1" customWidth="1"/>
    <col min="19" max="19" width="2.140625" style="1" customWidth="1"/>
    <col min="20" max="16384" width="9.140625" style="1"/>
  </cols>
  <sheetData>
    <row r="1" spans="1:21" s="150" customFormat="1" x14ac:dyDescent="0.25"/>
    <row r="2" spans="1:21" s="150" customFormat="1" x14ac:dyDescent="0.25"/>
    <row r="3" spans="1:21" s="150" customFormat="1" x14ac:dyDescent="0.25"/>
    <row r="4" spans="1:21" s="150" customFormat="1" x14ac:dyDescent="0.25"/>
    <row r="5" spans="1:21" s="150" customFormat="1" x14ac:dyDescent="0.25"/>
    <row r="6" spans="1:21" s="150" customFormat="1" x14ac:dyDescent="0.25"/>
    <row r="7" spans="1:21" s="150" customFormat="1" ht="21" customHeight="1" x14ac:dyDescent="0.25">
      <c r="A7" s="582" t="s">
        <v>829</v>
      </c>
      <c r="B7" s="582"/>
      <c r="C7" s="582"/>
      <c r="D7" s="582"/>
      <c r="E7" s="582"/>
      <c r="F7" s="582"/>
      <c r="G7" s="582"/>
      <c r="H7" s="582"/>
      <c r="I7" s="582"/>
      <c r="J7" s="582"/>
      <c r="K7" s="582"/>
      <c r="L7" s="582"/>
      <c r="M7" s="582"/>
      <c r="N7" s="582"/>
      <c r="O7" s="582"/>
      <c r="P7" s="582"/>
      <c r="Q7" s="582"/>
      <c r="R7" s="582"/>
      <c r="S7" s="582"/>
      <c r="T7" s="582"/>
      <c r="U7" s="582"/>
    </row>
    <row r="8" spans="1:21" s="150" customFormat="1" x14ac:dyDescent="0.25"/>
    <row r="9" spans="1:21" s="150" customFormat="1" x14ac:dyDescent="0.25"/>
    <row r="10" spans="1:21" s="150" customFormat="1" x14ac:dyDescent="0.25"/>
    <row r="11" spans="1:21" ht="15.75" x14ac:dyDescent="0.25">
      <c r="B11" s="595" t="s">
        <v>0</v>
      </c>
      <c r="C11" s="595"/>
      <c r="D11" s="6"/>
      <c r="E11" s="681" t="s">
        <v>11</v>
      </c>
      <c r="F11" s="681"/>
      <c r="G11" s="681"/>
      <c r="H11" s="7"/>
      <c r="I11" s="691" t="s">
        <v>3</v>
      </c>
      <c r="J11" s="691"/>
      <c r="K11" s="691"/>
      <c r="L11" s="2"/>
      <c r="M11" s="692" t="s">
        <v>667</v>
      </c>
      <c r="N11" s="692"/>
      <c r="O11" s="692"/>
      <c r="P11" s="4"/>
      <c r="Q11" s="595" t="s">
        <v>537</v>
      </c>
      <c r="R11" s="595"/>
      <c r="T11" s="595" t="s">
        <v>507</v>
      </c>
      <c r="U11" s="595"/>
    </row>
    <row r="12" spans="1:21" ht="15.75" thickBot="1" x14ac:dyDescent="0.3">
      <c r="B12" s="596"/>
      <c r="C12" s="596"/>
      <c r="D12" s="5"/>
      <c r="E12" s="5"/>
      <c r="Q12" s="596"/>
      <c r="R12" s="596"/>
      <c r="T12" s="596"/>
      <c r="U12" s="596"/>
    </row>
    <row r="13" spans="1:21" ht="15.75" x14ac:dyDescent="0.25">
      <c r="B13" s="389" t="s">
        <v>112</v>
      </c>
      <c r="C13" s="390"/>
      <c r="D13" s="5"/>
      <c r="E13" s="682" t="s">
        <v>70</v>
      </c>
      <c r="F13" s="683"/>
      <c r="G13" s="684"/>
      <c r="H13" s="4"/>
      <c r="I13" s="442" t="s">
        <v>68</v>
      </c>
      <c r="J13" s="443"/>
      <c r="K13" s="444"/>
      <c r="L13" s="3"/>
      <c r="M13" s="646">
        <v>44496</v>
      </c>
      <c r="N13" s="647"/>
      <c r="O13" s="648"/>
      <c r="P13" s="8"/>
      <c r="Q13" s="630" t="s">
        <v>591</v>
      </c>
      <c r="R13" s="631"/>
      <c r="T13" s="187" t="s">
        <v>111</v>
      </c>
      <c r="U13" s="188"/>
    </row>
    <row r="14" spans="1:21" ht="15.75" x14ac:dyDescent="0.25">
      <c r="B14" s="239" t="s">
        <v>4</v>
      </c>
      <c r="C14" s="240"/>
      <c r="D14" s="5"/>
      <c r="E14" s="685" t="s">
        <v>70</v>
      </c>
      <c r="F14" s="686"/>
      <c r="G14" s="687"/>
      <c r="H14" s="4"/>
      <c r="I14" s="232" t="s">
        <v>68</v>
      </c>
      <c r="J14" s="233"/>
      <c r="K14" s="234"/>
      <c r="L14" s="3"/>
      <c r="M14" s="655">
        <v>44496</v>
      </c>
      <c r="N14" s="263"/>
      <c r="O14" s="264"/>
      <c r="P14" s="8"/>
      <c r="Q14" s="611" t="s">
        <v>591</v>
      </c>
      <c r="R14" s="612"/>
      <c r="T14" s="175" t="s">
        <v>853</v>
      </c>
      <c r="U14" s="176"/>
    </row>
    <row r="15" spans="1:21" ht="15.75" x14ac:dyDescent="0.25">
      <c r="B15" s="239" t="s">
        <v>5</v>
      </c>
      <c r="C15" s="240"/>
      <c r="D15" s="5"/>
      <c r="E15" s="685" t="s">
        <v>70</v>
      </c>
      <c r="F15" s="686"/>
      <c r="G15" s="687"/>
      <c r="H15" s="4"/>
      <c r="I15" s="232" t="s">
        <v>68</v>
      </c>
      <c r="J15" s="233"/>
      <c r="K15" s="234"/>
      <c r="L15" s="3"/>
      <c r="M15" s="655">
        <v>44496</v>
      </c>
      <c r="N15" s="263"/>
      <c r="O15" s="264"/>
      <c r="P15" s="8"/>
      <c r="Q15" s="611" t="s">
        <v>591</v>
      </c>
      <c r="R15" s="612"/>
      <c r="T15" s="175" t="s">
        <v>111</v>
      </c>
      <c r="U15" s="176"/>
    </row>
    <row r="16" spans="1:21" ht="15.75" x14ac:dyDescent="0.25">
      <c r="B16" s="239" t="s">
        <v>6</v>
      </c>
      <c r="C16" s="240"/>
      <c r="D16" s="5"/>
      <c r="E16" s="332" t="s">
        <v>804</v>
      </c>
      <c r="F16" s="333"/>
      <c r="G16" s="334"/>
      <c r="H16" s="4"/>
      <c r="I16" s="232" t="s">
        <v>68</v>
      </c>
      <c r="J16" s="233"/>
      <c r="K16" s="234"/>
      <c r="L16" s="3"/>
      <c r="M16" s="655">
        <v>44496</v>
      </c>
      <c r="N16" s="263"/>
      <c r="O16" s="264"/>
      <c r="P16" s="8"/>
      <c r="Q16" s="611" t="s">
        <v>591</v>
      </c>
      <c r="R16" s="612"/>
      <c r="T16" s="175" t="s">
        <v>619</v>
      </c>
      <c r="U16" s="176"/>
    </row>
    <row r="17" spans="2:21" ht="15.75" x14ac:dyDescent="0.25">
      <c r="B17" s="239" t="s">
        <v>7</v>
      </c>
      <c r="C17" s="240"/>
      <c r="D17" s="5"/>
      <c r="E17" s="685" t="s">
        <v>70</v>
      </c>
      <c r="F17" s="686"/>
      <c r="G17" s="687"/>
      <c r="H17" s="4"/>
      <c r="I17" s="232" t="s">
        <v>68</v>
      </c>
      <c r="J17" s="233"/>
      <c r="K17" s="234"/>
      <c r="L17" s="3"/>
      <c r="M17" s="655">
        <v>44496</v>
      </c>
      <c r="N17" s="263"/>
      <c r="O17" s="264"/>
      <c r="P17" s="8"/>
      <c r="Q17" s="611" t="s">
        <v>591</v>
      </c>
      <c r="R17" s="612"/>
      <c r="T17" s="175" t="s">
        <v>859</v>
      </c>
      <c r="U17" s="176"/>
    </row>
    <row r="18" spans="2:21" ht="15.75" x14ac:dyDescent="0.25">
      <c r="B18" s="239" t="s">
        <v>8</v>
      </c>
      <c r="C18" s="240"/>
      <c r="D18" s="5"/>
      <c r="E18" s="332" t="s">
        <v>804</v>
      </c>
      <c r="F18" s="333"/>
      <c r="G18" s="334"/>
      <c r="H18" s="4"/>
      <c r="I18" s="232" t="s">
        <v>68</v>
      </c>
      <c r="J18" s="233"/>
      <c r="K18" s="234"/>
      <c r="L18" s="3"/>
      <c r="M18" s="655">
        <v>44496</v>
      </c>
      <c r="N18" s="263"/>
      <c r="O18" s="264"/>
      <c r="P18" s="8"/>
      <c r="Q18" s="611" t="s">
        <v>591</v>
      </c>
      <c r="R18" s="612"/>
      <c r="T18" s="175" t="s">
        <v>111</v>
      </c>
      <c r="U18" s="176"/>
    </row>
    <row r="19" spans="2:21" ht="15.75" x14ac:dyDescent="0.25">
      <c r="B19" s="239" t="s">
        <v>9</v>
      </c>
      <c r="C19" s="240"/>
      <c r="D19" s="5"/>
      <c r="E19" s="332" t="s">
        <v>804</v>
      </c>
      <c r="F19" s="333"/>
      <c r="G19" s="334"/>
      <c r="H19" s="4"/>
      <c r="I19" s="232" t="s">
        <v>68</v>
      </c>
      <c r="J19" s="233"/>
      <c r="K19" s="234"/>
      <c r="L19" s="3"/>
      <c r="M19" s="655">
        <v>44496</v>
      </c>
      <c r="N19" s="263"/>
      <c r="O19" s="264"/>
      <c r="P19" s="8"/>
      <c r="Q19" s="611" t="s">
        <v>664</v>
      </c>
      <c r="R19" s="612"/>
      <c r="T19" s="175" t="s">
        <v>866</v>
      </c>
      <c r="U19" s="176"/>
    </row>
    <row r="20" spans="2:21" ht="15.75" x14ac:dyDescent="0.25">
      <c r="B20" s="239" t="s">
        <v>10</v>
      </c>
      <c r="C20" s="240"/>
      <c r="D20" s="5"/>
      <c r="E20" s="332" t="s">
        <v>804</v>
      </c>
      <c r="F20" s="333"/>
      <c r="G20" s="334"/>
      <c r="H20" s="4"/>
      <c r="I20" s="232" t="s">
        <v>68</v>
      </c>
      <c r="J20" s="233"/>
      <c r="K20" s="234"/>
      <c r="L20" s="3"/>
      <c r="M20" s="655">
        <v>44496</v>
      </c>
      <c r="N20" s="263"/>
      <c r="O20" s="264"/>
      <c r="P20" s="8"/>
      <c r="Q20" s="611" t="s">
        <v>670</v>
      </c>
      <c r="R20" s="612"/>
      <c r="T20" s="175" t="s">
        <v>874</v>
      </c>
      <c r="U20" s="176"/>
    </row>
    <row r="21" spans="2:21" ht="16.5" thickBot="1" x14ac:dyDescent="0.3">
      <c r="B21" s="396" t="s">
        <v>113</v>
      </c>
      <c r="C21" s="397"/>
      <c r="D21" s="136"/>
      <c r="E21" s="398" t="s">
        <v>763</v>
      </c>
      <c r="F21" s="399"/>
      <c r="G21" s="400"/>
      <c r="H21" s="138"/>
      <c r="I21" s="688" t="s">
        <v>768</v>
      </c>
      <c r="J21" s="689"/>
      <c r="K21" s="690"/>
      <c r="L21" s="141"/>
      <c r="M21" s="693" t="s">
        <v>922</v>
      </c>
      <c r="N21" s="694"/>
      <c r="O21" s="695"/>
      <c r="P21" s="142"/>
      <c r="Q21" s="613" t="s">
        <v>111</v>
      </c>
      <c r="R21" s="614"/>
      <c r="S21" s="139"/>
      <c r="T21" s="592" t="s">
        <v>111</v>
      </c>
      <c r="U21" s="593"/>
    </row>
    <row r="22" spans="2:21" x14ac:dyDescent="0.25">
      <c r="T22" s="106"/>
      <c r="U22" s="106"/>
    </row>
    <row r="23" spans="2:21" x14ac:dyDescent="0.25">
      <c r="T23" s="106"/>
      <c r="U23" s="106"/>
    </row>
    <row r="24" spans="2:21" ht="15.75" x14ac:dyDescent="0.25">
      <c r="B24" s="615" t="s">
        <v>1</v>
      </c>
      <c r="C24" s="615"/>
      <c r="D24" s="6"/>
      <c r="E24" s="698" t="s">
        <v>11</v>
      </c>
      <c r="F24" s="698"/>
      <c r="G24" s="698"/>
      <c r="H24" s="7"/>
      <c r="I24" s="699" t="s">
        <v>3</v>
      </c>
      <c r="J24" s="699"/>
      <c r="K24" s="699"/>
      <c r="L24" s="2"/>
      <c r="M24" s="696" t="s">
        <v>667</v>
      </c>
      <c r="N24" s="696"/>
      <c r="O24" s="696"/>
      <c r="Q24" s="615" t="s">
        <v>537</v>
      </c>
      <c r="R24" s="615"/>
      <c r="T24" s="594" t="s">
        <v>507</v>
      </c>
      <c r="U24" s="594"/>
    </row>
    <row r="25" spans="2:21" ht="15.75" thickBot="1" x14ac:dyDescent="0.3">
      <c r="B25" s="596"/>
      <c r="C25" s="596"/>
      <c r="D25" s="5"/>
      <c r="E25" s="5"/>
      <c r="Q25" s="596"/>
      <c r="R25" s="596"/>
      <c r="T25" s="584"/>
      <c r="U25" s="584"/>
    </row>
    <row r="26" spans="2:21" ht="15.75" x14ac:dyDescent="0.25">
      <c r="B26" s="389" t="s">
        <v>13</v>
      </c>
      <c r="C26" s="390"/>
      <c r="D26" s="5"/>
      <c r="E26" s="697" t="s">
        <v>78</v>
      </c>
      <c r="F26" s="679"/>
      <c r="G26" s="680"/>
      <c r="H26" s="4"/>
      <c r="I26" s="442" t="s">
        <v>68</v>
      </c>
      <c r="J26" s="443"/>
      <c r="K26" s="444"/>
      <c r="L26" s="3"/>
      <c r="M26" s="646">
        <v>44496</v>
      </c>
      <c r="N26" s="647"/>
      <c r="O26" s="648"/>
      <c r="Q26" s="624" t="s">
        <v>583</v>
      </c>
      <c r="R26" s="625"/>
      <c r="T26" s="320" t="s">
        <v>620</v>
      </c>
      <c r="U26" s="321"/>
    </row>
    <row r="27" spans="2:21" ht="15.75" x14ac:dyDescent="0.25">
      <c r="B27" s="239" t="s">
        <v>14</v>
      </c>
      <c r="C27" s="240"/>
      <c r="D27" s="5"/>
      <c r="E27" s="332" t="s">
        <v>76</v>
      </c>
      <c r="F27" s="333"/>
      <c r="G27" s="334"/>
      <c r="H27" s="4"/>
      <c r="I27" s="232" t="s">
        <v>68</v>
      </c>
      <c r="J27" s="233"/>
      <c r="K27" s="234"/>
      <c r="L27" s="3"/>
      <c r="M27" s="655">
        <v>44496</v>
      </c>
      <c r="N27" s="263"/>
      <c r="O27" s="264"/>
      <c r="Q27" s="626" t="s">
        <v>583</v>
      </c>
      <c r="R27" s="627"/>
      <c r="T27" s="328" t="s">
        <v>621</v>
      </c>
      <c r="U27" s="329"/>
    </row>
    <row r="28" spans="2:21" ht="15.75" x14ac:dyDescent="0.25">
      <c r="B28" s="239" t="s">
        <v>15</v>
      </c>
      <c r="C28" s="240"/>
      <c r="D28" s="5"/>
      <c r="E28" s="332" t="s">
        <v>804</v>
      </c>
      <c r="F28" s="333"/>
      <c r="G28" s="334"/>
      <c r="H28" s="4"/>
      <c r="I28" s="232" t="s">
        <v>68</v>
      </c>
      <c r="J28" s="233"/>
      <c r="K28" s="234"/>
      <c r="L28" s="3"/>
      <c r="M28" s="655">
        <v>44496</v>
      </c>
      <c r="N28" s="263"/>
      <c r="O28" s="264"/>
      <c r="Q28" s="626" t="s">
        <v>583</v>
      </c>
      <c r="R28" s="627"/>
      <c r="T28" s="328" t="s">
        <v>622</v>
      </c>
      <c r="U28" s="329"/>
    </row>
    <row r="29" spans="2:21" ht="15.75" x14ac:dyDescent="0.25">
      <c r="B29" s="239" t="s">
        <v>16</v>
      </c>
      <c r="C29" s="240"/>
      <c r="D29" s="5"/>
      <c r="E29" s="332" t="s">
        <v>70</v>
      </c>
      <c r="F29" s="333"/>
      <c r="G29" s="334"/>
      <c r="H29" s="4"/>
      <c r="I29" s="232" t="s">
        <v>68</v>
      </c>
      <c r="J29" s="233"/>
      <c r="K29" s="234"/>
      <c r="L29" s="3"/>
      <c r="M29" s="655">
        <v>44496</v>
      </c>
      <c r="N29" s="263"/>
      <c r="O29" s="264"/>
      <c r="Q29" s="626" t="s">
        <v>583</v>
      </c>
      <c r="R29" s="627"/>
      <c r="T29" s="328" t="s">
        <v>623</v>
      </c>
      <c r="U29" s="329"/>
    </row>
    <row r="30" spans="2:21" ht="15.75" x14ac:dyDescent="0.25">
      <c r="B30" s="239" t="s">
        <v>17</v>
      </c>
      <c r="C30" s="240"/>
      <c r="D30" s="5"/>
      <c r="E30" s="332" t="s">
        <v>804</v>
      </c>
      <c r="F30" s="333"/>
      <c r="G30" s="334"/>
      <c r="H30" s="4"/>
      <c r="I30" s="232" t="s">
        <v>68</v>
      </c>
      <c r="J30" s="233"/>
      <c r="K30" s="234"/>
      <c r="L30" s="3"/>
      <c r="M30" s="655">
        <v>44496</v>
      </c>
      <c r="N30" s="263"/>
      <c r="O30" s="264"/>
      <c r="Q30" s="626" t="s">
        <v>583</v>
      </c>
      <c r="R30" s="627"/>
      <c r="T30" s="328" t="s">
        <v>624</v>
      </c>
      <c r="U30" s="329"/>
    </row>
    <row r="31" spans="2:21" ht="15.75" x14ac:dyDescent="0.25">
      <c r="B31" s="239" t="s">
        <v>18</v>
      </c>
      <c r="C31" s="240"/>
      <c r="D31" s="5"/>
      <c r="E31" s="332" t="s">
        <v>70</v>
      </c>
      <c r="F31" s="333"/>
      <c r="G31" s="334"/>
      <c r="H31" s="4"/>
      <c r="I31" s="232" t="s">
        <v>68</v>
      </c>
      <c r="J31" s="233"/>
      <c r="K31" s="234"/>
      <c r="L31" s="3"/>
      <c r="M31" s="655">
        <v>44496</v>
      </c>
      <c r="N31" s="263"/>
      <c r="O31" s="264"/>
      <c r="Q31" s="626" t="s">
        <v>583</v>
      </c>
      <c r="R31" s="627"/>
      <c r="T31" s="328" t="s">
        <v>625</v>
      </c>
      <c r="U31" s="329"/>
    </row>
    <row r="32" spans="2:21" ht="15.75" x14ac:dyDescent="0.25">
      <c r="B32" s="261" t="s">
        <v>98</v>
      </c>
      <c r="C32" s="262"/>
      <c r="D32" s="5"/>
      <c r="E32" s="332" t="s">
        <v>804</v>
      </c>
      <c r="F32" s="333"/>
      <c r="G32" s="334"/>
      <c r="H32" s="4"/>
      <c r="I32" s="232" t="s">
        <v>68</v>
      </c>
      <c r="J32" s="233"/>
      <c r="K32" s="234"/>
      <c r="L32" s="3"/>
      <c r="M32" s="655">
        <v>44496</v>
      </c>
      <c r="N32" s="263"/>
      <c r="O32" s="264"/>
      <c r="Q32" s="626" t="s">
        <v>583</v>
      </c>
      <c r="R32" s="627"/>
      <c r="T32" s="361" t="s">
        <v>626</v>
      </c>
      <c r="U32" s="362"/>
    </row>
    <row r="33" spans="2:21" ht="15.75" x14ac:dyDescent="0.25">
      <c r="B33" s="239" t="s">
        <v>19</v>
      </c>
      <c r="C33" s="240"/>
      <c r="D33" s="5"/>
      <c r="E33" s="332" t="s">
        <v>804</v>
      </c>
      <c r="F33" s="333"/>
      <c r="G33" s="334"/>
      <c r="H33" s="4"/>
      <c r="I33" s="226" t="s">
        <v>68</v>
      </c>
      <c r="J33" s="434"/>
      <c r="K33" s="435"/>
      <c r="L33" s="3"/>
      <c r="M33" s="655">
        <v>44496</v>
      </c>
      <c r="N33" s="263"/>
      <c r="O33" s="264"/>
      <c r="Q33" s="626" t="s">
        <v>583</v>
      </c>
      <c r="R33" s="627"/>
      <c r="T33" s="361" t="s">
        <v>627</v>
      </c>
      <c r="U33" s="362"/>
    </row>
    <row r="34" spans="2:21" ht="15.75" x14ac:dyDescent="0.25">
      <c r="B34" s="239" t="s">
        <v>20</v>
      </c>
      <c r="C34" s="240"/>
      <c r="D34" s="5"/>
      <c r="E34" s="332" t="s">
        <v>804</v>
      </c>
      <c r="F34" s="333"/>
      <c r="G34" s="334"/>
      <c r="H34" s="4"/>
      <c r="I34" s="226" t="s">
        <v>68</v>
      </c>
      <c r="J34" s="434"/>
      <c r="K34" s="435"/>
      <c r="L34" s="3"/>
      <c r="M34" s="655">
        <v>44496</v>
      </c>
      <c r="N34" s="263"/>
      <c r="O34" s="264"/>
      <c r="Q34" s="626" t="s">
        <v>572</v>
      </c>
      <c r="R34" s="627"/>
      <c r="T34" s="328" t="s">
        <v>628</v>
      </c>
      <c r="U34" s="329"/>
    </row>
    <row r="35" spans="2:21" ht="15.75" x14ac:dyDescent="0.25">
      <c r="B35" s="239" t="s">
        <v>21</v>
      </c>
      <c r="C35" s="240"/>
      <c r="E35" s="332" t="s">
        <v>804</v>
      </c>
      <c r="F35" s="333"/>
      <c r="G35" s="334"/>
      <c r="I35" s="226" t="s">
        <v>68</v>
      </c>
      <c r="J35" s="434"/>
      <c r="K35" s="435"/>
      <c r="M35" s="655">
        <v>44496</v>
      </c>
      <c r="N35" s="263"/>
      <c r="O35" s="264"/>
      <c r="Q35" s="626" t="s">
        <v>583</v>
      </c>
      <c r="R35" s="627"/>
      <c r="T35" s="328" t="s">
        <v>628</v>
      </c>
      <c r="U35" s="329"/>
    </row>
    <row r="36" spans="2:21" ht="16.5" thickBot="1" x14ac:dyDescent="0.3">
      <c r="B36" s="416" t="s">
        <v>22</v>
      </c>
      <c r="C36" s="417"/>
      <c r="E36" s="700" t="s">
        <v>804</v>
      </c>
      <c r="F36" s="701"/>
      <c r="G36" s="702"/>
      <c r="I36" s="215" t="s">
        <v>68</v>
      </c>
      <c r="J36" s="216"/>
      <c r="K36" s="217"/>
      <c r="M36" s="703">
        <v>44496</v>
      </c>
      <c r="N36" s="394"/>
      <c r="O36" s="395"/>
      <c r="Q36" s="628" t="s">
        <v>583</v>
      </c>
      <c r="R36" s="629"/>
      <c r="T36" s="312" t="s">
        <v>629</v>
      </c>
      <c r="U36" s="313"/>
    </row>
    <row r="37" spans="2:21" ht="15.75" x14ac:dyDescent="0.25">
      <c r="B37" s="9"/>
      <c r="C37" s="9"/>
      <c r="Q37" s="9"/>
      <c r="R37" s="9"/>
      <c r="T37" s="107"/>
      <c r="U37" s="107"/>
    </row>
    <row r="38" spans="2:21" ht="15.75" x14ac:dyDescent="0.25">
      <c r="B38" s="9"/>
      <c r="C38" s="9"/>
      <c r="Q38" s="9"/>
      <c r="R38" s="9"/>
      <c r="T38" s="107"/>
      <c r="U38" s="107"/>
    </row>
    <row r="39" spans="2:21" ht="15.75" x14ac:dyDescent="0.25">
      <c r="B39" s="616" t="s">
        <v>39</v>
      </c>
      <c r="C39" s="616"/>
      <c r="E39" s="704" t="s">
        <v>11</v>
      </c>
      <c r="F39" s="704"/>
      <c r="G39" s="704"/>
      <c r="H39" s="7"/>
      <c r="I39" s="705" t="s">
        <v>3</v>
      </c>
      <c r="J39" s="705"/>
      <c r="K39" s="705"/>
      <c r="L39" s="2"/>
      <c r="M39" s="706" t="s">
        <v>667</v>
      </c>
      <c r="N39" s="706"/>
      <c r="O39" s="706"/>
      <c r="Q39" s="616" t="s">
        <v>537</v>
      </c>
      <c r="R39" s="616"/>
      <c r="T39" s="591" t="s">
        <v>507</v>
      </c>
      <c r="U39" s="591"/>
    </row>
    <row r="40" spans="2:21" ht="16.5" thickBot="1" x14ac:dyDescent="0.3">
      <c r="B40" s="9"/>
      <c r="C40" s="9"/>
      <c r="Q40" s="9"/>
      <c r="R40" s="9"/>
      <c r="T40" s="107"/>
      <c r="U40" s="107"/>
    </row>
    <row r="41" spans="2:21" ht="15.75" x14ac:dyDescent="0.25">
      <c r="B41" s="423" t="s">
        <v>40</v>
      </c>
      <c r="C41" s="424"/>
      <c r="E41" s="707" t="s">
        <v>70</v>
      </c>
      <c r="F41" s="708"/>
      <c r="G41" s="709"/>
      <c r="H41" s="4"/>
      <c r="I41" s="200" t="s">
        <v>95</v>
      </c>
      <c r="J41" s="201"/>
      <c r="K41" s="202"/>
      <c r="L41" s="3"/>
      <c r="M41" s="646">
        <v>44496</v>
      </c>
      <c r="N41" s="647"/>
      <c r="O41" s="648"/>
      <c r="Q41" s="617" t="s">
        <v>591</v>
      </c>
      <c r="R41" s="618"/>
      <c r="T41" s="585" t="s">
        <v>630</v>
      </c>
      <c r="U41" s="586"/>
    </row>
    <row r="42" spans="2:21" ht="16.5" thickBot="1" x14ac:dyDescent="0.3">
      <c r="B42" s="347" t="s">
        <v>41</v>
      </c>
      <c r="C42" s="348"/>
      <c r="E42" s="401" t="s">
        <v>70</v>
      </c>
      <c r="F42" s="402"/>
      <c r="G42" s="403"/>
      <c r="H42" s="4"/>
      <c r="I42" s="215" t="s">
        <v>68</v>
      </c>
      <c r="J42" s="216"/>
      <c r="K42" s="217"/>
      <c r="L42" s="3"/>
      <c r="M42" s="703">
        <v>44496</v>
      </c>
      <c r="N42" s="394"/>
      <c r="O42" s="395"/>
      <c r="Q42" s="619" t="s">
        <v>591</v>
      </c>
      <c r="R42" s="620"/>
      <c r="T42" s="572" t="s">
        <v>111</v>
      </c>
      <c r="U42" s="573"/>
    </row>
    <row r="43" spans="2:21" ht="15.75" x14ac:dyDescent="0.25">
      <c r="B43" s="9"/>
      <c r="C43" s="9"/>
      <c r="Q43" s="9"/>
      <c r="R43" s="9"/>
      <c r="T43" s="107"/>
      <c r="U43" s="107"/>
    </row>
    <row r="44" spans="2:21" x14ac:dyDescent="0.25">
      <c r="T44" s="106"/>
      <c r="U44" s="106"/>
    </row>
    <row r="45" spans="2:21" ht="15.75" x14ac:dyDescent="0.25">
      <c r="B45" s="604" t="s">
        <v>2</v>
      </c>
      <c r="C45" s="604"/>
      <c r="D45" s="6"/>
      <c r="E45" s="675" t="s">
        <v>11</v>
      </c>
      <c r="F45" s="675"/>
      <c r="G45" s="675"/>
      <c r="H45" s="7"/>
      <c r="I45" s="676" t="s">
        <v>3</v>
      </c>
      <c r="J45" s="676"/>
      <c r="K45" s="676"/>
      <c r="L45" s="2"/>
      <c r="M45" s="677" t="s">
        <v>667</v>
      </c>
      <c r="N45" s="677"/>
      <c r="O45" s="677"/>
      <c r="Q45" s="604" t="s">
        <v>537</v>
      </c>
      <c r="R45" s="604"/>
      <c r="T45" s="583" t="s">
        <v>507</v>
      </c>
      <c r="U45" s="583"/>
    </row>
    <row r="46" spans="2:21" ht="15.75" thickBot="1" x14ac:dyDescent="0.3">
      <c r="B46" s="596"/>
      <c r="C46" s="596"/>
      <c r="D46" s="5"/>
      <c r="E46" s="5"/>
      <c r="Q46" s="596"/>
      <c r="R46" s="596"/>
      <c r="T46" s="584"/>
      <c r="U46" s="584"/>
    </row>
    <row r="47" spans="2:21" ht="15.75" x14ac:dyDescent="0.25">
      <c r="B47" s="423" t="s">
        <v>23</v>
      </c>
      <c r="C47" s="424"/>
      <c r="D47" s="5"/>
      <c r="E47" s="678" t="s">
        <v>891</v>
      </c>
      <c r="F47" s="679"/>
      <c r="G47" s="680"/>
      <c r="H47" s="4"/>
      <c r="I47" s="442" t="s">
        <v>68</v>
      </c>
      <c r="J47" s="443"/>
      <c r="K47" s="444"/>
      <c r="L47" s="3"/>
      <c r="M47" s="646">
        <v>44496</v>
      </c>
      <c r="N47" s="647"/>
      <c r="O47" s="648"/>
      <c r="Q47" s="605" t="s">
        <v>663</v>
      </c>
      <c r="R47" s="606"/>
      <c r="T47" s="585" t="s">
        <v>631</v>
      </c>
      <c r="U47" s="586"/>
    </row>
    <row r="48" spans="2:21" ht="15.75" x14ac:dyDescent="0.25">
      <c r="B48" s="656" t="s">
        <v>24</v>
      </c>
      <c r="C48" s="657"/>
      <c r="D48" s="5"/>
      <c r="E48" s="270" t="s">
        <v>763</v>
      </c>
      <c r="F48" s="271"/>
      <c r="G48" s="272"/>
      <c r="H48" s="138"/>
      <c r="I48" s="289" t="s">
        <v>111</v>
      </c>
      <c r="J48" s="290"/>
      <c r="K48" s="291"/>
      <c r="L48" s="141"/>
      <c r="M48" s="658" t="s">
        <v>111</v>
      </c>
      <c r="N48" s="659"/>
      <c r="O48" s="660"/>
      <c r="P48" s="139"/>
      <c r="Q48" s="607" t="s">
        <v>111</v>
      </c>
      <c r="R48" s="608"/>
      <c r="S48" s="139"/>
      <c r="T48" s="587" t="s">
        <v>111</v>
      </c>
      <c r="U48" s="588"/>
    </row>
    <row r="49" spans="2:21" ht="15.75" x14ac:dyDescent="0.25">
      <c r="B49" s="656" t="s">
        <v>25</v>
      </c>
      <c r="C49" s="657"/>
      <c r="D49" s="5"/>
      <c r="E49" s="270" t="s">
        <v>763</v>
      </c>
      <c r="F49" s="271"/>
      <c r="G49" s="272"/>
      <c r="H49" s="138"/>
      <c r="I49" s="289" t="s">
        <v>111</v>
      </c>
      <c r="J49" s="290"/>
      <c r="K49" s="291"/>
      <c r="L49" s="141"/>
      <c r="M49" s="658" t="s">
        <v>111</v>
      </c>
      <c r="N49" s="659"/>
      <c r="O49" s="660"/>
      <c r="P49" s="139"/>
      <c r="Q49" s="607" t="s">
        <v>111</v>
      </c>
      <c r="R49" s="608"/>
      <c r="S49" s="139"/>
      <c r="T49" s="587" t="s">
        <v>111</v>
      </c>
      <c r="U49" s="588"/>
    </row>
    <row r="50" spans="2:21" ht="15.75" x14ac:dyDescent="0.25">
      <c r="B50" s="330" t="s">
        <v>26</v>
      </c>
      <c r="C50" s="331"/>
      <c r="D50" s="5"/>
      <c r="E50" s="303" t="s">
        <v>805</v>
      </c>
      <c r="F50" s="254"/>
      <c r="G50" s="255"/>
      <c r="H50" s="4"/>
      <c r="I50" s="232" t="s">
        <v>68</v>
      </c>
      <c r="J50" s="233"/>
      <c r="K50" s="234"/>
      <c r="L50" s="3"/>
      <c r="M50" s="655">
        <v>44496</v>
      </c>
      <c r="N50" s="263"/>
      <c r="O50" s="264"/>
      <c r="Q50" s="609" t="s">
        <v>591</v>
      </c>
      <c r="R50" s="610"/>
      <c r="T50" s="589" t="s">
        <v>111</v>
      </c>
      <c r="U50" s="590"/>
    </row>
    <row r="51" spans="2:21" ht="15.75" x14ac:dyDescent="0.25">
      <c r="B51" s="330" t="s">
        <v>27</v>
      </c>
      <c r="C51" s="331"/>
      <c r="D51" s="5"/>
      <c r="E51" s="253" t="s">
        <v>805</v>
      </c>
      <c r="F51" s="254"/>
      <c r="G51" s="255"/>
      <c r="H51" s="4"/>
      <c r="I51" s="232" t="s">
        <v>68</v>
      </c>
      <c r="J51" s="233"/>
      <c r="K51" s="234"/>
      <c r="L51" s="3"/>
      <c r="M51" s="655">
        <v>44496</v>
      </c>
      <c r="N51" s="263"/>
      <c r="O51" s="264"/>
      <c r="Q51" s="609" t="s">
        <v>591</v>
      </c>
      <c r="R51" s="610"/>
      <c r="T51" s="589" t="s">
        <v>111</v>
      </c>
      <c r="U51" s="590"/>
    </row>
    <row r="52" spans="2:21" ht="15.75" x14ac:dyDescent="0.25">
      <c r="B52" s="330" t="s">
        <v>28</v>
      </c>
      <c r="C52" s="331"/>
      <c r="D52" s="5"/>
      <c r="E52" s="253" t="s">
        <v>805</v>
      </c>
      <c r="F52" s="254"/>
      <c r="G52" s="255"/>
      <c r="H52" s="4"/>
      <c r="I52" s="232" t="s">
        <v>68</v>
      </c>
      <c r="J52" s="233"/>
      <c r="K52" s="234"/>
      <c r="L52" s="3"/>
      <c r="M52" s="655">
        <v>44496</v>
      </c>
      <c r="N52" s="263"/>
      <c r="O52" s="264"/>
      <c r="Q52" s="609" t="s">
        <v>591</v>
      </c>
      <c r="R52" s="610"/>
      <c r="T52" s="589" t="s">
        <v>111</v>
      </c>
      <c r="U52" s="590"/>
    </row>
    <row r="53" spans="2:21" ht="15.75" x14ac:dyDescent="0.25">
      <c r="B53" s="330" t="s">
        <v>29</v>
      </c>
      <c r="C53" s="331"/>
      <c r="D53" s="5"/>
      <c r="E53" s="253" t="s">
        <v>805</v>
      </c>
      <c r="F53" s="254"/>
      <c r="G53" s="255"/>
      <c r="H53" s="4"/>
      <c r="I53" s="232" t="s">
        <v>68</v>
      </c>
      <c r="J53" s="233"/>
      <c r="K53" s="234"/>
      <c r="L53" s="3"/>
      <c r="M53" s="655">
        <v>44496</v>
      </c>
      <c r="N53" s="263"/>
      <c r="O53" s="264"/>
      <c r="Q53" s="609" t="s">
        <v>670</v>
      </c>
      <c r="R53" s="610"/>
      <c r="T53" s="589" t="s">
        <v>111</v>
      </c>
      <c r="U53" s="590"/>
    </row>
    <row r="54" spans="2:21" ht="16.5" thickBot="1" x14ac:dyDescent="0.3">
      <c r="B54" s="347" t="s">
        <v>30</v>
      </c>
      <c r="C54" s="348"/>
      <c r="E54" s="212" t="s">
        <v>805</v>
      </c>
      <c r="F54" s="213"/>
      <c r="G54" s="214"/>
      <c r="I54" s="459" t="s">
        <v>68</v>
      </c>
      <c r="J54" s="460"/>
      <c r="K54" s="461"/>
      <c r="M54" s="703">
        <v>44496</v>
      </c>
      <c r="N54" s="394"/>
      <c r="O54" s="395"/>
      <c r="Q54" s="621" t="s">
        <v>591</v>
      </c>
      <c r="R54" s="622"/>
      <c r="T54" s="572" t="s">
        <v>111</v>
      </c>
      <c r="U54" s="573"/>
    </row>
    <row r="55" spans="2:21" x14ac:dyDescent="0.25">
      <c r="T55" s="106"/>
      <c r="U55" s="106"/>
    </row>
    <row r="56" spans="2:21" x14ac:dyDescent="0.25">
      <c r="T56" s="106"/>
      <c r="U56" s="106"/>
    </row>
    <row r="57" spans="2:21" ht="15.75" x14ac:dyDescent="0.25">
      <c r="B57" s="623" t="s">
        <v>50</v>
      </c>
      <c r="C57" s="623"/>
      <c r="E57" s="661" t="s">
        <v>11</v>
      </c>
      <c r="F57" s="661"/>
      <c r="G57" s="661"/>
      <c r="H57" s="7"/>
      <c r="I57" s="662" t="s">
        <v>3</v>
      </c>
      <c r="J57" s="662"/>
      <c r="K57" s="662"/>
      <c r="L57" s="2"/>
      <c r="M57" s="663" t="s">
        <v>667</v>
      </c>
      <c r="N57" s="663"/>
      <c r="O57" s="663"/>
      <c r="Q57" s="623" t="s">
        <v>537</v>
      </c>
      <c r="R57" s="623"/>
      <c r="T57" s="574" t="s">
        <v>507</v>
      </c>
      <c r="U57" s="574"/>
    </row>
    <row r="58" spans="2:21" ht="16.5" thickBot="1" x14ac:dyDescent="0.3">
      <c r="B58" s="9"/>
      <c r="C58" s="9"/>
      <c r="Q58" s="9"/>
      <c r="R58" s="9"/>
      <c r="T58" s="107"/>
      <c r="U58" s="107"/>
    </row>
    <row r="59" spans="2:21" ht="15.75" x14ac:dyDescent="0.25">
      <c r="B59" s="664" t="s">
        <v>108</v>
      </c>
      <c r="C59" s="665"/>
      <c r="D59" s="139"/>
      <c r="E59" s="666" t="s">
        <v>763</v>
      </c>
      <c r="F59" s="667"/>
      <c r="G59" s="668"/>
      <c r="H59" s="4"/>
      <c r="I59" s="669" t="s">
        <v>111</v>
      </c>
      <c r="J59" s="670"/>
      <c r="K59" s="671"/>
      <c r="L59" s="126"/>
      <c r="M59" s="672" t="s">
        <v>111</v>
      </c>
      <c r="N59" s="673"/>
      <c r="O59" s="674"/>
      <c r="P59" s="125"/>
      <c r="Q59" s="597" t="s">
        <v>111</v>
      </c>
      <c r="R59" s="598"/>
      <c r="S59" s="125"/>
      <c r="T59" s="575" t="s">
        <v>111</v>
      </c>
      <c r="U59" s="576"/>
    </row>
    <row r="60" spans="2:21" ht="16.5" thickBot="1" x14ac:dyDescent="0.3">
      <c r="B60" s="265" t="s">
        <v>109</v>
      </c>
      <c r="C60" s="266"/>
      <c r="D60" s="139"/>
      <c r="E60" s="398" t="s">
        <v>763</v>
      </c>
      <c r="F60" s="399"/>
      <c r="G60" s="400"/>
      <c r="H60" s="4"/>
      <c r="I60" s="649" t="s">
        <v>111</v>
      </c>
      <c r="J60" s="650"/>
      <c r="K60" s="651"/>
      <c r="L60" s="126"/>
      <c r="M60" s="652" t="s">
        <v>111</v>
      </c>
      <c r="N60" s="653"/>
      <c r="O60" s="654"/>
      <c r="P60" s="125"/>
      <c r="Q60" s="599" t="s">
        <v>111</v>
      </c>
      <c r="R60" s="600"/>
      <c r="S60" s="125"/>
      <c r="T60" s="577" t="s">
        <v>111</v>
      </c>
      <c r="U60" s="578"/>
    </row>
    <row r="61" spans="2:21" x14ac:dyDescent="0.25">
      <c r="T61" s="106"/>
      <c r="U61" s="106"/>
    </row>
    <row r="62" spans="2:21" ht="15.75" x14ac:dyDescent="0.25">
      <c r="B62" s="601" t="s">
        <v>114</v>
      </c>
      <c r="C62" s="601"/>
      <c r="E62" s="632" t="s">
        <v>11</v>
      </c>
      <c r="F62" s="632"/>
      <c r="G62" s="632"/>
      <c r="H62" s="7"/>
      <c r="I62" s="633" t="s">
        <v>3</v>
      </c>
      <c r="J62" s="633"/>
      <c r="K62" s="633"/>
      <c r="L62" s="2"/>
      <c r="M62" s="634" t="s">
        <v>667</v>
      </c>
      <c r="N62" s="634"/>
      <c r="O62" s="634"/>
      <c r="Q62" s="601" t="s">
        <v>537</v>
      </c>
      <c r="R62" s="601"/>
      <c r="T62" s="579" t="s">
        <v>507</v>
      </c>
      <c r="U62" s="579"/>
    </row>
    <row r="63" spans="2:21" ht="15.75" thickBot="1" x14ac:dyDescent="0.3">
      <c r="T63" s="106"/>
      <c r="U63" s="106"/>
    </row>
    <row r="64" spans="2:21" ht="16.5" thickBot="1" x14ac:dyDescent="0.3">
      <c r="B64" s="635" t="s">
        <v>529</v>
      </c>
      <c r="C64" s="636"/>
      <c r="E64" s="637" t="s">
        <v>70</v>
      </c>
      <c r="F64" s="638"/>
      <c r="G64" s="639"/>
      <c r="H64" s="4"/>
      <c r="I64" s="640" t="s">
        <v>111</v>
      </c>
      <c r="J64" s="641"/>
      <c r="K64" s="642"/>
      <c r="L64" s="3"/>
      <c r="M64" s="643">
        <v>44496</v>
      </c>
      <c r="N64" s="644"/>
      <c r="O64" s="645"/>
      <c r="Q64" s="602" t="s">
        <v>591</v>
      </c>
      <c r="R64" s="603"/>
      <c r="T64" s="580" t="s">
        <v>111</v>
      </c>
      <c r="U64" s="581"/>
    </row>
  </sheetData>
  <mergeCells count="244">
    <mergeCell ref="E20:G20"/>
    <mergeCell ref="I15:K15"/>
    <mergeCell ref="M15:O15"/>
    <mergeCell ref="M20:O20"/>
    <mergeCell ref="I20:K20"/>
    <mergeCell ref="I33:K33"/>
    <mergeCell ref="B36:C36"/>
    <mergeCell ref="M42:O42"/>
    <mergeCell ref="E54:G54"/>
    <mergeCell ref="I54:K54"/>
    <mergeCell ref="M54:O54"/>
    <mergeCell ref="M33:O33"/>
    <mergeCell ref="M34:O34"/>
    <mergeCell ref="M35:O35"/>
    <mergeCell ref="M36:O36"/>
    <mergeCell ref="E39:G39"/>
    <mergeCell ref="I39:K39"/>
    <mergeCell ref="M39:O39"/>
    <mergeCell ref="E41:G41"/>
    <mergeCell ref="I41:K41"/>
    <mergeCell ref="M41:O41"/>
    <mergeCell ref="M50:O50"/>
    <mergeCell ref="B39:C39"/>
    <mergeCell ref="B41:C41"/>
    <mergeCell ref="E36:G36"/>
    <mergeCell ref="M49:O49"/>
    <mergeCell ref="B54:C54"/>
    <mergeCell ref="B52:C52"/>
    <mergeCell ref="E52:G52"/>
    <mergeCell ref="I52:K52"/>
    <mergeCell ref="M52:O52"/>
    <mergeCell ref="B53:C53"/>
    <mergeCell ref="E53:G53"/>
    <mergeCell ref="I53:K53"/>
    <mergeCell ref="M53:O53"/>
    <mergeCell ref="M31:O31"/>
    <mergeCell ref="B29:C29"/>
    <mergeCell ref="E29:G29"/>
    <mergeCell ref="I29:K29"/>
    <mergeCell ref="M29:O29"/>
    <mergeCell ref="B30:C30"/>
    <mergeCell ref="E30:G30"/>
    <mergeCell ref="I30:K30"/>
    <mergeCell ref="M30:O30"/>
    <mergeCell ref="M27:O27"/>
    <mergeCell ref="B28:C28"/>
    <mergeCell ref="E28:G28"/>
    <mergeCell ref="I28:K28"/>
    <mergeCell ref="M28:O28"/>
    <mergeCell ref="M24:O24"/>
    <mergeCell ref="B25:C25"/>
    <mergeCell ref="B26:C26"/>
    <mergeCell ref="E26:G26"/>
    <mergeCell ref="I26:K26"/>
    <mergeCell ref="M26:O26"/>
    <mergeCell ref="B24:C24"/>
    <mergeCell ref="E24:G24"/>
    <mergeCell ref="I24:K24"/>
    <mergeCell ref="I13:K13"/>
    <mergeCell ref="I16:K16"/>
    <mergeCell ref="I17:K17"/>
    <mergeCell ref="I18:K18"/>
    <mergeCell ref="I19:K19"/>
    <mergeCell ref="I21:K21"/>
    <mergeCell ref="I11:K11"/>
    <mergeCell ref="M11:O11"/>
    <mergeCell ref="M13:O13"/>
    <mergeCell ref="M16:O16"/>
    <mergeCell ref="M17:O17"/>
    <mergeCell ref="M18:O18"/>
    <mergeCell ref="M19:O19"/>
    <mergeCell ref="M21:O21"/>
    <mergeCell ref="I14:K14"/>
    <mergeCell ref="M14:O14"/>
    <mergeCell ref="B11:C11"/>
    <mergeCell ref="B12:C12"/>
    <mergeCell ref="B13:C13"/>
    <mergeCell ref="E11:G11"/>
    <mergeCell ref="E13:G13"/>
    <mergeCell ref="E16:G16"/>
    <mergeCell ref="E17:G17"/>
    <mergeCell ref="B16:C16"/>
    <mergeCell ref="B17:C17"/>
    <mergeCell ref="B14:C14"/>
    <mergeCell ref="B15:C15"/>
    <mergeCell ref="E14:G14"/>
    <mergeCell ref="E15:G15"/>
    <mergeCell ref="B32:C32"/>
    <mergeCell ref="I32:K32"/>
    <mergeCell ref="M32:O32"/>
    <mergeCell ref="E32:G32"/>
    <mergeCell ref="B57:C57"/>
    <mergeCell ref="E57:G57"/>
    <mergeCell ref="I57:K57"/>
    <mergeCell ref="M57:O57"/>
    <mergeCell ref="B59:C59"/>
    <mergeCell ref="E59:G59"/>
    <mergeCell ref="I59:K59"/>
    <mergeCell ref="M59:O59"/>
    <mergeCell ref="B45:C45"/>
    <mergeCell ref="E45:G45"/>
    <mergeCell ref="I45:K45"/>
    <mergeCell ref="M45:O45"/>
    <mergeCell ref="B46:C46"/>
    <mergeCell ref="B47:C47"/>
    <mergeCell ref="E47:G47"/>
    <mergeCell ref="I47:K47"/>
    <mergeCell ref="B42:C42"/>
    <mergeCell ref="E33:G33"/>
    <mergeCell ref="E34:G34"/>
    <mergeCell ref="E35:G35"/>
    <mergeCell ref="M62:O62"/>
    <mergeCell ref="B64:C64"/>
    <mergeCell ref="E64:G64"/>
    <mergeCell ref="I64:K64"/>
    <mergeCell ref="M64:O64"/>
    <mergeCell ref="M47:O47"/>
    <mergeCell ref="B50:C50"/>
    <mergeCell ref="E50:G50"/>
    <mergeCell ref="I50:K50"/>
    <mergeCell ref="B60:C60"/>
    <mergeCell ref="E60:G60"/>
    <mergeCell ref="I60:K60"/>
    <mergeCell ref="M60:O60"/>
    <mergeCell ref="B51:C51"/>
    <mergeCell ref="E51:G51"/>
    <mergeCell ref="I51:K51"/>
    <mergeCell ref="M51:O51"/>
    <mergeCell ref="B48:C48"/>
    <mergeCell ref="E48:G48"/>
    <mergeCell ref="I48:K48"/>
    <mergeCell ref="M48:O48"/>
    <mergeCell ref="B49:C49"/>
    <mergeCell ref="E49:G49"/>
    <mergeCell ref="I49:K49"/>
    <mergeCell ref="B18:C18"/>
    <mergeCell ref="B19:C19"/>
    <mergeCell ref="B21:C21"/>
    <mergeCell ref="E18:G18"/>
    <mergeCell ref="E19:G19"/>
    <mergeCell ref="B20:C20"/>
    <mergeCell ref="B62:C62"/>
    <mergeCell ref="E62:G62"/>
    <mergeCell ref="I62:K62"/>
    <mergeCell ref="E21:G21"/>
    <mergeCell ref="B27:C27"/>
    <mergeCell ref="E27:G27"/>
    <mergeCell ref="I27:K27"/>
    <mergeCell ref="B31:C31"/>
    <mergeCell ref="E31:G31"/>
    <mergeCell ref="I31:K31"/>
    <mergeCell ref="I34:K34"/>
    <mergeCell ref="I35:K35"/>
    <mergeCell ref="I36:K36"/>
    <mergeCell ref="E42:G42"/>
    <mergeCell ref="I42:K42"/>
    <mergeCell ref="B33:C33"/>
    <mergeCell ref="B34:C34"/>
    <mergeCell ref="B35:C35"/>
    <mergeCell ref="Q11:R11"/>
    <mergeCell ref="Q12:R12"/>
    <mergeCell ref="Q13:R13"/>
    <mergeCell ref="Q14:R14"/>
    <mergeCell ref="Q15:R15"/>
    <mergeCell ref="Q16:R16"/>
    <mergeCell ref="Q17:R17"/>
    <mergeCell ref="Q18:R18"/>
    <mergeCell ref="Q19:R19"/>
    <mergeCell ref="Q20:R20"/>
    <mergeCell ref="Q21:R21"/>
    <mergeCell ref="Q24:R24"/>
    <mergeCell ref="Q25:R25"/>
    <mergeCell ref="Q39:R39"/>
    <mergeCell ref="Q41:R41"/>
    <mergeCell ref="Q42:R42"/>
    <mergeCell ref="Q54:R54"/>
    <mergeCell ref="Q57:R57"/>
    <mergeCell ref="Q26:R26"/>
    <mergeCell ref="Q27:R27"/>
    <mergeCell ref="Q28:R28"/>
    <mergeCell ref="Q29:R29"/>
    <mergeCell ref="Q30:R30"/>
    <mergeCell ref="Q31:R31"/>
    <mergeCell ref="Q32:R32"/>
    <mergeCell ref="Q33:R33"/>
    <mergeCell ref="Q34:R34"/>
    <mergeCell ref="Q35:R35"/>
    <mergeCell ref="Q36:R36"/>
    <mergeCell ref="Q59:R59"/>
    <mergeCell ref="Q60:R60"/>
    <mergeCell ref="Q62:R62"/>
    <mergeCell ref="Q64:R64"/>
    <mergeCell ref="Q45:R45"/>
    <mergeCell ref="Q46:R46"/>
    <mergeCell ref="Q47:R47"/>
    <mergeCell ref="Q48:R48"/>
    <mergeCell ref="Q49:R49"/>
    <mergeCell ref="Q50:R50"/>
    <mergeCell ref="Q51:R51"/>
    <mergeCell ref="Q52:R52"/>
    <mergeCell ref="Q53:R53"/>
    <mergeCell ref="T11:U11"/>
    <mergeCell ref="T12:U12"/>
    <mergeCell ref="T13:U13"/>
    <mergeCell ref="T14:U14"/>
    <mergeCell ref="T15:U15"/>
    <mergeCell ref="T16:U16"/>
    <mergeCell ref="T17:U17"/>
    <mergeCell ref="T18:U18"/>
    <mergeCell ref="T19:U19"/>
    <mergeCell ref="T42:U42"/>
    <mergeCell ref="T20:U20"/>
    <mergeCell ref="T21:U21"/>
    <mergeCell ref="T24:U24"/>
    <mergeCell ref="T25:U25"/>
    <mergeCell ref="T26:U26"/>
    <mergeCell ref="T27:U27"/>
    <mergeCell ref="T28:U28"/>
    <mergeCell ref="T29:U29"/>
    <mergeCell ref="T30:U30"/>
    <mergeCell ref="T54:U54"/>
    <mergeCell ref="T57:U57"/>
    <mergeCell ref="T59:U59"/>
    <mergeCell ref="T60:U60"/>
    <mergeCell ref="T62:U62"/>
    <mergeCell ref="T64:U64"/>
    <mergeCell ref="A7:U7"/>
    <mergeCell ref="T45:U45"/>
    <mergeCell ref="T46:U46"/>
    <mergeCell ref="T47:U47"/>
    <mergeCell ref="T48:U48"/>
    <mergeCell ref="T49:U49"/>
    <mergeCell ref="T50:U50"/>
    <mergeCell ref="T51:U51"/>
    <mergeCell ref="T52:U52"/>
    <mergeCell ref="T53:U53"/>
    <mergeCell ref="T31:U31"/>
    <mergeCell ref="T32:U32"/>
    <mergeCell ref="T33:U33"/>
    <mergeCell ref="T34:U34"/>
    <mergeCell ref="T35:U35"/>
    <mergeCell ref="T36:U36"/>
    <mergeCell ref="T39:U39"/>
    <mergeCell ref="T41:U41"/>
  </mergeCells>
  <phoneticPr fontId="5" type="noConversion"/>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3673B"/>
  </sheetPr>
  <dimension ref="A1:V74"/>
  <sheetViews>
    <sheetView showGridLines="0" showRowColHeaders="0" zoomScaleNormal="100" workbookViewId="0">
      <pane ySplit="6" topLeftCell="A7" activePane="bottomLeft" state="frozen"/>
      <selection pane="bottomLeft"/>
    </sheetView>
  </sheetViews>
  <sheetFormatPr defaultColWidth="9.140625" defaultRowHeight="15" x14ac:dyDescent="0.25"/>
  <cols>
    <col min="1" max="1" width="3.28515625" style="1" customWidth="1"/>
    <col min="2" max="2" width="9.140625" style="1"/>
    <col min="3" max="3" width="9.140625" style="1" customWidth="1"/>
    <col min="4" max="4" width="2.42578125" style="1" customWidth="1"/>
    <col min="5" max="7" width="9.140625" style="1"/>
    <col min="8" max="8" width="2.42578125" style="1" customWidth="1"/>
    <col min="9" max="11" width="9.140625" style="1"/>
    <col min="12" max="12" width="2.42578125" style="1" customWidth="1"/>
    <col min="13" max="14" width="9.140625" style="1"/>
    <col min="15" max="15" width="12.140625" style="1" customWidth="1"/>
    <col min="16" max="16" width="2.42578125" style="1" customWidth="1"/>
    <col min="17" max="19" width="9.140625" style="1"/>
    <col min="20" max="20" width="2.42578125" style="1" customWidth="1"/>
    <col min="21" max="16384" width="9.140625" style="1"/>
  </cols>
  <sheetData>
    <row r="1" spans="1:22" s="150" customFormat="1" ht="15.75" x14ac:dyDescent="0.25">
      <c r="A1" s="152"/>
    </row>
    <row r="2" spans="1:22" s="150" customFormat="1" x14ac:dyDescent="0.25"/>
    <row r="3" spans="1:22" s="150" customFormat="1" x14ac:dyDescent="0.25"/>
    <row r="4" spans="1:22" s="150" customFormat="1" x14ac:dyDescent="0.25"/>
    <row r="5" spans="1:22" s="150" customFormat="1" x14ac:dyDescent="0.25"/>
    <row r="6" spans="1:22" s="150" customFormat="1" x14ac:dyDescent="0.25"/>
    <row r="7" spans="1:22" s="153" customFormat="1" ht="21" customHeight="1" x14ac:dyDescent="0.25">
      <c r="A7" s="582" t="s">
        <v>494</v>
      </c>
      <c r="B7" s="582"/>
      <c r="C7" s="582"/>
      <c r="D7" s="582"/>
      <c r="E7" s="582"/>
      <c r="F7" s="582"/>
      <c r="G7" s="582"/>
      <c r="H7" s="582"/>
      <c r="I7" s="582"/>
      <c r="J7" s="582"/>
      <c r="K7" s="582"/>
      <c r="L7" s="582"/>
      <c r="M7" s="582"/>
      <c r="N7" s="582"/>
      <c r="O7" s="582"/>
      <c r="P7" s="582"/>
      <c r="Q7" s="582"/>
      <c r="R7" s="582"/>
      <c r="S7" s="582"/>
      <c r="T7" s="582"/>
      <c r="U7" s="582"/>
      <c r="V7" s="582"/>
    </row>
    <row r="8" spans="1:22" s="150" customFormat="1" x14ac:dyDescent="0.25">
      <c r="G8" s="151"/>
      <c r="H8" s="151"/>
      <c r="I8" s="151"/>
      <c r="J8" s="151"/>
      <c r="K8" s="151"/>
      <c r="L8" s="151"/>
    </row>
    <row r="9" spans="1:22" s="150" customFormat="1" x14ac:dyDescent="0.25">
      <c r="G9" s="151"/>
      <c r="H9" s="151"/>
      <c r="I9" s="151"/>
      <c r="J9" s="151"/>
      <c r="K9" s="151"/>
      <c r="L9" s="151"/>
    </row>
    <row r="10" spans="1:22" s="150" customFormat="1" x14ac:dyDescent="0.25">
      <c r="G10" s="151"/>
      <c r="H10" s="151"/>
      <c r="I10" s="151"/>
      <c r="J10" s="151"/>
      <c r="K10" s="151"/>
      <c r="L10" s="151"/>
    </row>
    <row r="11" spans="1:22" s="150" customFormat="1" x14ac:dyDescent="0.25">
      <c r="G11" s="151"/>
      <c r="H11" s="151"/>
      <c r="I11" s="151"/>
      <c r="J11" s="151"/>
      <c r="K11" s="151"/>
      <c r="L11" s="151"/>
    </row>
    <row r="12" spans="1:22" s="150" customFormat="1" x14ac:dyDescent="0.25">
      <c r="G12" s="151"/>
      <c r="H12" s="151"/>
      <c r="I12" s="151"/>
      <c r="J12" s="151"/>
      <c r="K12" s="151"/>
      <c r="L12" s="151"/>
    </row>
    <row r="13" spans="1:22" ht="15.75" x14ac:dyDescent="0.25">
      <c r="B13" s="595" t="s">
        <v>0</v>
      </c>
      <c r="C13" s="595"/>
      <c r="D13" s="6"/>
      <c r="E13" s="681" t="s">
        <v>778</v>
      </c>
      <c r="F13" s="681"/>
      <c r="G13" s="681"/>
      <c r="H13" s="7"/>
      <c r="I13" s="691" t="s">
        <v>457</v>
      </c>
      <c r="J13" s="691"/>
      <c r="K13" s="691"/>
      <c r="L13" s="2"/>
      <c r="M13" s="856" t="s">
        <v>667</v>
      </c>
      <c r="N13" s="856"/>
      <c r="O13" s="856"/>
      <c r="P13" s="4"/>
      <c r="Q13" s="759" t="s">
        <v>503</v>
      </c>
      <c r="R13" s="759"/>
      <c r="S13" s="759"/>
      <c r="U13" s="595" t="s">
        <v>507</v>
      </c>
      <c r="V13" s="595"/>
    </row>
    <row r="14" spans="1:22" ht="15.75" thickBot="1" x14ac:dyDescent="0.3">
      <c r="B14" s="596"/>
      <c r="C14" s="596"/>
      <c r="D14" s="5"/>
      <c r="E14" s="5"/>
      <c r="U14" s="596"/>
      <c r="V14" s="596"/>
    </row>
    <row r="15" spans="1:22" ht="16.5" x14ac:dyDescent="0.3">
      <c r="B15" s="857" t="s">
        <v>112</v>
      </c>
      <c r="C15" s="858"/>
      <c r="D15" s="5"/>
      <c r="E15" s="352" t="s">
        <v>548</v>
      </c>
      <c r="F15" s="353"/>
      <c r="G15" s="354"/>
      <c r="H15" s="4"/>
      <c r="I15" s="859" t="s">
        <v>111</v>
      </c>
      <c r="J15" s="860"/>
      <c r="K15" s="861"/>
      <c r="L15" s="3"/>
      <c r="M15" s="792">
        <v>44399</v>
      </c>
      <c r="N15" s="793"/>
      <c r="O15" s="794"/>
      <c r="P15" s="8"/>
      <c r="Q15" s="756" t="s">
        <v>111</v>
      </c>
      <c r="R15" s="757"/>
      <c r="S15" s="758"/>
      <c r="U15" s="320" t="s">
        <v>111</v>
      </c>
      <c r="V15" s="321"/>
    </row>
    <row r="16" spans="1:22" ht="16.5" x14ac:dyDescent="0.3">
      <c r="B16" s="842" t="s">
        <v>4</v>
      </c>
      <c r="C16" s="843"/>
      <c r="D16" s="5"/>
      <c r="E16" s="226" t="s">
        <v>548</v>
      </c>
      <c r="F16" s="434"/>
      <c r="G16" s="435"/>
      <c r="H16" s="4"/>
      <c r="I16" s="855" t="s">
        <v>111</v>
      </c>
      <c r="J16" s="845"/>
      <c r="K16" s="846"/>
      <c r="L16" s="3"/>
      <c r="M16" s="809">
        <v>44399</v>
      </c>
      <c r="N16" s="810"/>
      <c r="O16" s="811"/>
      <c r="P16" s="8"/>
      <c r="Q16" s="760" t="s">
        <v>111</v>
      </c>
      <c r="R16" s="761"/>
      <c r="S16" s="762"/>
      <c r="U16" s="328" t="s">
        <v>852</v>
      </c>
      <c r="V16" s="329"/>
    </row>
    <row r="17" spans="2:22" ht="16.5" x14ac:dyDescent="0.3">
      <c r="B17" s="842" t="s">
        <v>5</v>
      </c>
      <c r="C17" s="843"/>
      <c r="D17" s="5"/>
      <c r="E17" s="226" t="s">
        <v>546</v>
      </c>
      <c r="F17" s="434"/>
      <c r="G17" s="435"/>
      <c r="H17" s="4"/>
      <c r="I17" s="855" t="s">
        <v>111</v>
      </c>
      <c r="J17" s="845"/>
      <c r="K17" s="846"/>
      <c r="L17" s="3"/>
      <c r="M17" s="809">
        <v>44399</v>
      </c>
      <c r="N17" s="810"/>
      <c r="O17" s="811"/>
      <c r="P17" s="8"/>
      <c r="Q17" s="760" t="s">
        <v>111</v>
      </c>
      <c r="R17" s="761"/>
      <c r="S17" s="762"/>
      <c r="U17" s="328" t="s">
        <v>632</v>
      </c>
      <c r="V17" s="420"/>
    </row>
    <row r="18" spans="2:22" ht="16.5" x14ac:dyDescent="0.3">
      <c r="B18" s="842" t="s">
        <v>6</v>
      </c>
      <c r="C18" s="843"/>
      <c r="D18" s="5"/>
      <c r="E18" s="253" t="s">
        <v>546</v>
      </c>
      <c r="F18" s="254"/>
      <c r="G18" s="255"/>
      <c r="H18" s="4"/>
      <c r="I18" s="855" t="s">
        <v>111</v>
      </c>
      <c r="J18" s="845"/>
      <c r="K18" s="846"/>
      <c r="L18" s="3"/>
      <c r="M18" s="809">
        <v>44399</v>
      </c>
      <c r="N18" s="810"/>
      <c r="O18" s="811"/>
      <c r="P18" s="8"/>
      <c r="Q18" s="763" t="s">
        <v>111</v>
      </c>
      <c r="R18" s="764"/>
      <c r="S18" s="765"/>
      <c r="U18" s="328" t="s">
        <v>111</v>
      </c>
      <c r="V18" s="329"/>
    </row>
    <row r="19" spans="2:22" ht="16.5" x14ac:dyDescent="0.3">
      <c r="B19" s="842" t="s">
        <v>7</v>
      </c>
      <c r="C19" s="843"/>
      <c r="D19" s="5"/>
      <c r="E19" s="253" t="s">
        <v>548</v>
      </c>
      <c r="F19" s="254"/>
      <c r="G19" s="255"/>
      <c r="H19" s="4"/>
      <c r="I19" s="855" t="s">
        <v>111</v>
      </c>
      <c r="J19" s="845"/>
      <c r="K19" s="846"/>
      <c r="L19" s="3"/>
      <c r="M19" s="809">
        <v>44399</v>
      </c>
      <c r="N19" s="810"/>
      <c r="O19" s="811"/>
      <c r="P19" s="8"/>
      <c r="Q19" s="763" t="s">
        <v>111</v>
      </c>
      <c r="R19" s="764"/>
      <c r="S19" s="765"/>
      <c r="U19" s="328" t="s">
        <v>858</v>
      </c>
      <c r="V19" s="329"/>
    </row>
    <row r="20" spans="2:22" ht="16.5" x14ac:dyDescent="0.3">
      <c r="B20" s="842" t="s">
        <v>8</v>
      </c>
      <c r="C20" s="843"/>
      <c r="D20" s="5"/>
      <c r="E20" s="253" t="s">
        <v>546</v>
      </c>
      <c r="F20" s="254"/>
      <c r="G20" s="255"/>
      <c r="H20" s="4"/>
      <c r="I20" s="855" t="s">
        <v>111</v>
      </c>
      <c r="J20" s="845"/>
      <c r="K20" s="846"/>
      <c r="L20" s="3"/>
      <c r="M20" s="809">
        <v>44399</v>
      </c>
      <c r="N20" s="810"/>
      <c r="O20" s="811"/>
      <c r="P20" s="8"/>
      <c r="Q20" s="763" t="s">
        <v>111</v>
      </c>
      <c r="R20" s="764"/>
      <c r="S20" s="765"/>
      <c r="U20" s="328" t="s">
        <v>111</v>
      </c>
      <c r="V20" s="329"/>
    </row>
    <row r="21" spans="2:22" ht="16.5" x14ac:dyDescent="0.3">
      <c r="B21" s="842" t="s">
        <v>9</v>
      </c>
      <c r="C21" s="843"/>
      <c r="D21" s="5"/>
      <c r="E21" s="253" t="s">
        <v>546</v>
      </c>
      <c r="F21" s="254"/>
      <c r="G21" s="255"/>
      <c r="H21" s="4"/>
      <c r="I21" s="844" t="s">
        <v>111</v>
      </c>
      <c r="J21" s="845"/>
      <c r="K21" s="846"/>
      <c r="L21" s="3"/>
      <c r="M21" s="809">
        <v>44399</v>
      </c>
      <c r="N21" s="810"/>
      <c r="O21" s="811"/>
      <c r="P21" s="8"/>
      <c r="Q21" s="763" t="s">
        <v>111</v>
      </c>
      <c r="R21" s="764"/>
      <c r="S21" s="765"/>
      <c r="U21" s="328" t="s">
        <v>865</v>
      </c>
      <c r="V21" s="329"/>
    </row>
    <row r="22" spans="2:22" ht="16.5" x14ac:dyDescent="0.3">
      <c r="B22" s="842" t="s">
        <v>10</v>
      </c>
      <c r="C22" s="843"/>
      <c r="D22" s="5"/>
      <c r="E22" s="253" t="s">
        <v>548</v>
      </c>
      <c r="F22" s="254"/>
      <c r="G22" s="255"/>
      <c r="H22" s="4"/>
      <c r="I22" s="844" t="s">
        <v>111</v>
      </c>
      <c r="J22" s="845"/>
      <c r="K22" s="846"/>
      <c r="L22" s="3"/>
      <c r="M22" s="809">
        <v>44399</v>
      </c>
      <c r="N22" s="810"/>
      <c r="O22" s="811"/>
      <c r="P22" s="8"/>
      <c r="Q22" s="760" t="s">
        <v>111</v>
      </c>
      <c r="R22" s="761"/>
      <c r="S22" s="762"/>
      <c r="U22" s="328" t="s">
        <v>873</v>
      </c>
      <c r="V22" s="329"/>
    </row>
    <row r="23" spans="2:22" ht="17.25" thickBot="1" x14ac:dyDescent="0.35">
      <c r="B23" s="847" t="s">
        <v>113</v>
      </c>
      <c r="C23" s="848"/>
      <c r="D23" s="136"/>
      <c r="E23" s="398" t="s">
        <v>763</v>
      </c>
      <c r="F23" s="399"/>
      <c r="G23" s="400"/>
      <c r="H23" s="138"/>
      <c r="I23" s="849" t="s">
        <v>111</v>
      </c>
      <c r="J23" s="850"/>
      <c r="K23" s="851"/>
      <c r="L23" s="141"/>
      <c r="M23" s="852" t="s">
        <v>111</v>
      </c>
      <c r="N23" s="853"/>
      <c r="O23" s="854"/>
      <c r="P23" s="142"/>
      <c r="Q23" s="746" t="s">
        <v>111</v>
      </c>
      <c r="R23" s="747"/>
      <c r="S23" s="748"/>
      <c r="T23" s="139"/>
      <c r="U23" s="299" t="s">
        <v>111</v>
      </c>
      <c r="V23" s="300"/>
    </row>
    <row r="24" spans="2:22" x14ac:dyDescent="0.25">
      <c r="U24" s="106"/>
      <c r="V24" s="106"/>
    </row>
    <row r="25" spans="2:22" x14ac:dyDescent="0.25">
      <c r="U25" s="106"/>
      <c r="V25" s="106"/>
    </row>
    <row r="26" spans="2:22" ht="15.75" x14ac:dyDescent="0.25">
      <c r="B26" s="837" t="s">
        <v>1</v>
      </c>
      <c r="C26" s="837"/>
      <c r="D26" s="6"/>
      <c r="E26" s="838" t="s">
        <v>778</v>
      </c>
      <c r="F26" s="838"/>
      <c r="G26" s="838"/>
      <c r="H26" s="7"/>
      <c r="I26" s="839" t="s">
        <v>457</v>
      </c>
      <c r="J26" s="839"/>
      <c r="K26" s="839"/>
      <c r="L26" s="2"/>
      <c r="M26" s="839" t="s">
        <v>667</v>
      </c>
      <c r="N26" s="839"/>
      <c r="O26" s="839"/>
      <c r="Q26" s="749" t="s">
        <v>503</v>
      </c>
      <c r="R26" s="749"/>
      <c r="S26" s="749"/>
      <c r="U26" s="723" t="s">
        <v>507</v>
      </c>
      <c r="V26" s="723"/>
    </row>
    <row r="27" spans="2:22" ht="15.75" thickBot="1" x14ac:dyDescent="0.3">
      <c r="B27" s="596"/>
      <c r="C27" s="596"/>
      <c r="D27" s="5"/>
      <c r="E27" s="5"/>
      <c r="U27" s="584"/>
      <c r="V27" s="584"/>
    </row>
    <row r="28" spans="2:22" ht="15.75" x14ac:dyDescent="0.3">
      <c r="B28" s="840" t="s">
        <v>13</v>
      </c>
      <c r="C28" s="841"/>
      <c r="D28" s="5"/>
      <c r="E28" s="707" t="s">
        <v>546</v>
      </c>
      <c r="F28" s="708"/>
      <c r="G28" s="709"/>
      <c r="H28" s="4"/>
      <c r="I28" s="200" t="s">
        <v>111</v>
      </c>
      <c r="J28" s="201"/>
      <c r="K28" s="202"/>
      <c r="L28" s="3"/>
      <c r="M28" s="792">
        <v>44399</v>
      </c>
      <c r="N28" s="793"/>
      <c r="O28" s="794"/>
      <c r="Q28" s="750" t="s">
        <v>111</v>
      </c>
      <c r="R28" s="751"/>
      <c r="S28" s="752"/>
      <c r="U28" s="187" t="s">
        <v>633</v>
      </c>
      <c r="V28" s="188"/>
    </row>
    <row r="29" spans="2:22" ht="15.75" x14ac:dyDescent="0.3">
      <c r="B29" s="833" t="s">
        <v>14</v>
      </c>
      <c r="C29" s="834"/>
      <c r="D29" s="5"/>
      <c r="E29" s="363" t="s">
        <v>546</v>
      </c>
      <c r="F29" s="364"/>
      <c r="G29" s="365"/>
      <c r="H29" s="4"/>
      <c r="I29" s="226" t="s">
        <v>111</v>
      </c>
      <c r="J29" s="434"/>
      <c r="K29" s="435"/>
      <c r="L29" s="3"/>
      <c r="M29" s="809">
        <v>44399</v>
      </c>
      <c r="N29" s="810"/>
      <c r="O29" s="811"/>
      <c r="Q29" s="724" t="s">
        <v>111</v>
      </c>
      <c r="R29" s="725"/>
      <c r="S29" s="726"/>
      <c r="U29" s="175" t="s">
        <v>621</v>
      </c>
      <c r="V29" s="176"/>
    </row>
    <row r="30" spans="2:22" ht="16.5" x14ac:dyDescent="0.3">
      <c r="B30" s="833" t="s">
        <v>15</v>
      </c>
      <c r="C30" s="834"/>
      <c r="D30" s="5"/>
      <c r="E30" s="685" t="s">
        <v>547</v>
      </c>
      <c r="F30" s="686"/>
      <c r="G30" s="687"/>
      <c r="H30" s="85"/>
      <c r="I30" s="655" t="s">
        <v>111</v>
      </c>
      <c r="J30" s="263"/>
      <c r="K30" s="264"/>
      <c r="L30" s="86"/>
      <c r="M30" s="809">
        <v>44400</v>
      </c>
      <c r="N30" s="810"/>
      <c r="O30" s="811"/>
      <c r="Q30" s="753">
        <v>1153</v>
      </c>
      <c r="R30" s="754"/>
      <c r="S30" s="755"/>
      <c r="U30" s="175" t="s">
        <v>111</v>
      </c>
      <c r="V30" s="176"/>
    </row>
    <row r="31" spans="2:22" ht="15.75" x14ac:dyDescent="0.3">
      <c r="B31" s="833" t="s">
        <v>16</v>
      </c>
      <c r="C31" s="834"/>
      <c r="D31" s="5"/>
      <c r="E31" s="363" t="s">
        <v>546</v>
      </c>
      <c r="F31" s="364"/>
      <c r="G31" s="365"/>
      <c r="H31" s="4"/>
      <c r="I31" s="226" t="s">
        <v>111</v>
      </c>
      <c r="J31" s="434"/>
      <c r="K31" s="435"/>
      <c r="L31" s="3"/>
      <c r="M31" s="809">
        <v>44400</v>
      </c>
      <c r="N31" s="810"/>
      <c r="O31" s="811"/>
      <c r="Q31" s="756" t="s">
        <v>111</v>
      </c>
      <c r="R31" s="757"/>
      <c r="S31" s="758"/>
      <c r="U31" s="175" t="s">
        <v>111</v>
      </c>
      <c r="V31" s="176"/>
    </row>
    <row r="32" spans="2:22" ht="15.75" x14ac:dyDescent="0.3">
      <c r="B32" s="833" t="s">
        <v>17</v>
      </c>
      <c r="C32" s="834"/>
      <c r="D32" s="5"/>
      <c r="E32" s="363" t="s">
        <v>546</v>
      </c>
      <c r="F32" s="364"/>
      <c r="G32" s="365"/>
      <c r="H32" s="4"/>
      <c r="I32" s="226" t="s">
        <v>111</v>
      </c>
      <c r="J32" s="434"/>
      <c r="K32" s="435"/>
      <c r="L32" s="3"/>
      <c r="M32" s="809">
        <v>44400</v>
      </c>
      <c r="N32" s="810"/>
      <c r="O32" s="811"/>
      <c r="Q32" s="724" t="s">
        <v>111</v>
      </c>
      <c r="R32" s="725"/>
      <c r="S32" s="726"/>
      <c r="U32" s="175" t="s">
        <v>111</v>
      </c>
      <c r="V32" s="176"/>
    </row>
    <row r="33" spans="2:22" ht="15.75" x14ac:dyDescent="0.3">
      <c r="B33" s="833" t="s">
        <v>18</v>
      </c>
      <c r="C33" s="834"/>
      <c r="D33" s="5"/>
      <c r="E33" s="363" t="s">
        <v>548</v>
      </c>
      <c r="F33" s="364"/>
      <c r="G33" s="365"/>
      <c r="H33" s="4"/>
      <c r="I33" s="226" t="s">
        <v>111</v>
      </c>
      <c r="J33" s="434"/>
      <c r="K33" s="435"/>
      <c r="L33" s="3"/>
      <c r="M33" s="809">
        <v>44400</v>
      </c>
      <c r="N33" s="810"/>
      <c r="O33" s="811"/>
      <c r="Q33" s="724" t="s">
        <v>111</v>
      </c>
      <c r="R33" s="725"/>
      <c r="S33" s="726"/>
      <c r="U33" s="175" t="s">
        <v>634</v>
      </c>
      <c r="V33" s="176"/>
    </row>
    <row r="34" spans="2:22" ht="16.5" x14ac:dyDescent="0.3">
      <c r="B34" s="833" t="s">
        <v>98</v>
      </c>
      <c r="C34" s="834"/>
      <c r="D34" s="5"/>
      <c r="E34" s="363" t="s">
        <v>549</v>
      </c>
      <c r="F34" s="364"/>
      <c r="G34" s="365"/>
      <c r="H34" s="4"/>
      <c r="I34" s="226" t="s">
        <v>111</v>
      </c>
      <c r="J34" s="434"/>
      <c r="K34" s="435"/>
      <c r="L34" s="3"/>
      <c r="M34" s="809">
        <v>44400</v>
      </c>
      <c r="N34" s="810"/>
      <c r="O34" s="811"/>
      <c r="Q34" s="753">
        <v>41800</v>
      </c>
      <c r="R34" s="754"/>
      <c r="S34" s="755"/>
      <c r="U34" s="175" t="s">
        <v>635</v>
      </c>
      <c r="V34" s="176"/>
    </row>
    <row r="35" spans="2:22" ht="16.5" x14ac:dyDescent="0.3">
      <c r="B35" s="835" t="s">
        <v>19</v>
      </c>
      <c r="C35" s="836"/>
      <c r="D35" s="5"/>
      <c r="E35" s="363" t="s">
        <v>548</v>
      </c>
      <c r="F35" s="364"/>
      <c r="G35" s="365"/>
      <c r="H35" s="4"/>
      <c r="I35" s="232" t="s">
        <v>111</v>
      </c>
      <c r="J35" s="233"/>
      <c r="K35" s="234"/>
      <c r="L35" s="3"/>
      <c r="M35" s="809">
        <v>44400</v>
      </c>
      <c r="N35" s="810"/>
      <c r="O35" s="811"/>
      <c r="Q35" s="727">
        <v>57034</v>
      </c>
      <c r="R35" s="728"/>
      <c r="S35" s="729"/>
      <c r="U35" s="469" t="s">
        <v>636</v>
      </c>
      <c r="V35" s="470"/>
    </row>
    <row r="36" spans="2:22" ht="15.75" x14ac:dyDescent="0.3">
      <c r="B36" s="833" t="s">
        <v>20</v>
      </c>
      <c r="C36" s="834"/>
      <c r="D36" s="5"/>
      <c r="E36" s="363" t="s">
        <v>546</v>
      </c>
      <c r="F36" s="364"/>
      <c r="G36" s="365"/>
      <c r="H36" s="4"/>
      <c r="I36" s="226" t="s">
        <v>111</v>
      </c>
      <c r="J36" s="434"/>
      <c r="K36" s="435"/>
      <c r="L36" s="3"/>
      <c r="M36" s="809">
        <v>44400</v>
      </c>
      <c r="N36" s="810"/>
      <c r="O36" s="811"/>
      <c r="Q36" s="724" t="s">
        <v>111</v>
      </c>
      <c r="R36" s="725"/>
      <c r="S36" s="726"/>
      <c r="U36" s="175" t="s">
        <v>111</v>
      </c>
      <c r="V36" s="176"/>
    </row>
    <row r="37" spans="2:22" ht="15.75" x14ac:dyDescent="0.3">
      <c r="B37" s="833" t="s">
        <v>21</v>
      </c>
      <c r="C37" s="834"/>
      <c r="E37" s="363" t="s">
        <v>546</v>
      </c>
      <c r="F37" s="364"/>
      <c r="G37" s="365"/>
      <c r="I37" s="226" t="s">
        <v>111</v>
      </c>
      <c r="J37" s="434"/>
      <c r="K37" s="435"/>
      <c r="M37" s="804">
        <v>44399</v>
      </c>
      <c r="N37" s="805"/>
      <c r="O37" s="806"/>
      <c r="Q37" s="724" t="s">
        <v>111</v>
      </c>
      <c r="R37" s="725"/>
      <c r="S37" s="726"/>
      <c r="U37" s="175" t="s">
        <v>111</v>
      </c>
      <c r="V37" s="176"/>
    </row>
    <row r="38" spans="2:22" ht="17.25" thickBot="1" x14ac:dyDescent="0.35">
      <c r="B38" s="831" t="s">
        <v>22</v>
      </c>
      <c r="C38" s="832"/>
      <c r="E38" s="401" t="s">
        <v>547</v>
      </c>
      <c r="F38" s="402"/>
      <c r="G38" s="403"/>
      <c r="I38" s="215" t="s">
        <v>111</v>
      </c>
      <c r="J38" s="216"/>
      <c r="K38" s="217"/>
      <c r="M38" s="797">
        <v>44399</v>
      </c>
      <c r="N38" s="798"/>
      <c r="O38" s="799"/>
      <c r="Q38" s="775">
        <v>54171</v>
      </c>
      <c r="R38" s="776"/>
      <c r="S38" s="777"/>
      <c r="U38" s="177" t="s">
        <v>637</v>
      </c>
      <c r="V38" s="178"/>
    </row>
    <row r="39" spans="2:22" ht="15.75" x14ac:dyDescent="0.25">
      <c r="B39" s="9"/>
      <c r="C39" s="9"/>
      <c r="U39" s="107"/>
      <c r="V39" s="107"/>
    </row>
    <row r="40" spans="2:22" ht="15.75" x14ac:dyDescent="0.25">
      <c r="B40" s="9"/>
      <c r="C40" s="9"/>
      <c r="U40" s="107"/>
      <c r="V40" s="107"/>
    </row>
    <row r="41" spans="2:22" ht="15.75" x14ac:dyDescent="0.25">
      <c r="B41" s="616" t="s">
        <v>39</v>
      </c>
      <c r="C41" s="616"/>
      <c r="E41" s="704" t="s">
        <v>778</v>
      </c>
      <c r="F41" s="704"/>
      <c r="G41" s="704"/>
      <c r="H41" s="7"/>
      <c r="I41" s="705" t="s">
        <v>457</v>
      </c>
      <c r="J41" s="705"/>
      <c r="K41" s="705"/>
      <c r="L41" s="2"/>
      <c r="M41" s="706" t="s">
        <v>667</v>
      </c>
      <c r="N41" s="706"/>
      <c r="O41" s="706"/>
      <c r="Q41" s="706" t="s">
        <v>503</v>
      </c>
      <c r="R41" s="706"/>
      <c r="S41" s="706"/>
      <c r="U41" s="591" t="s">
        <v>507</v>
      </c>
      <c r="V41" s="591"/>
    </row>
    <row r="42" spans="2:22" ht="16.5" thickBot="1" x14ac:dyDescent="0.3">
      <c r="B42" s="9"/>
      <c r="C42" s="9"/>
      <c r="U42" s="107"/>
      <c r="V42" s="107"/>
    </row>
    <row r="43" spans="2:22" ht="15.75" x14ac:dyDescent="0.3">
      <c r="B43" s="829" t="s">
        <v>40</v>
      </c>
      <c r="C43" s="830"/>
      <c r="E43" s="707" t="s">
        <v>548</v>
      </c>
      <c r="F43" s="708"/>
      <c r="G43" s="709"/>
      <c r="H43" s="4"/>
      <c r="I43" s="200" t="s">
        <v>111</v>
      </c>
      <c r="J43" s="201"/>
      <c r="K43" s="202"/>
      <c r="L43" s="3"/>
      <c r="M43" s="792">
        <v>44399</v>
      </c>
      <c r="N43" s="793"/>
      <c r="O43" s="794"/>
      <c r="Q43" s="730" t="s">
        <v>111</v>
      </c>
      <c r="R43" s="731"/>
      <c r="S43" s="732"/>
      <c r="U43" s="710" t="s">
        <v>638</v>
      </c>
      <c r="V43" s="711"/>
    </row>
    <row r="44" spans="2:22" ht="16.5" thickBot="1" x14ac:dyDescent="0.35">
      <c r="B44" s="800" t="s">
        <v>41</v>
      </c>
      <c r="C44" s="801"/>
      <c r="E44" s="401" t="s">
        <v>546</v>
      </c>
      <c r="F44" s="402"/>
      <c r="G44" s="403"/>
      <c r="H44" s="4"/>
      <c r="I44" s="215" t="s">
        <v>111</v>
      </c>
      <c r="J44" s="216"/>
      <c r="K44" s="217"/>
      <c r="L44" s="3"/>
      <c r="M44" s="797">
        <v>44399</v>
      </c>
      <c r="N44" s="798"/>
      <c r="O44" s="799"/>
      <c r="Q44" s="733" t="s">
        <v>111</v>
      </c>
      <c r="R44" s="734"/>
      <c r="S44" s="735"/>
      <c r="U44" s="712" t="s">
        <v>639</v>
      </c>
      <c r="V44" s="713"/>
    </row>
    <row r="45" spans="2:22" ht="15.75" x14ac:dyDescent="0.25">
      <c r="B45" s="9"/>
      <c r="C45" s="9"/>
      <c r="U45" s="107"/>
      <c r="V45" s="107"/>
    </row>
    <row r="46" spans="2:22" x14ac:dyDescent="0.25">
      <c r="U46" s="106"/>
      <c r="V46" s="106"/>
    </row>
    <row r="47" spans="2:22" ht="15.75" x14ac:dyDescent="0.25">
      <c r="B47" s="604" t="s">
        <v>2</v>
      </c>
      <c r="C47" s="604"/>
      <c r="D47" s="6"/>
      <c r="E47" s="675" t="s">
        <v>778</v>
      </c>
      <c r="F47" s="675"/>
      <c r="G47" s="675"/>
      <c r="H47" s="7"/>
      <c r="I47" s="828" t="s">
        <v>457</v>
      </c>
      <c r="J47" s="828"/>
      <c r="K47" s="828"/>
      <c r="L47" s="2"/>
      <c r="M47" s="736" t="s">
        <v>667</v>
      </c>
      <c r="N47" s="736"/>
      <c r="O47" s="736"/>
      <c r="Q47" s="736" t="s">
        <v>503</v>
      </c>
      <c r="R47" s="736"/>
      <c r="S47" s="736"/>
      <c r="U47" s="583" t="s">
        <v>507</v>
      </c>
      <c r="V47" s="583"/>
    </row>
    <row r="48" spans="2:22" ht="15.75" thickBot="1" x14ac:dyDescent="0.3">
      <c r="B48" s="596"/>
      <c r="C48" s="596"/>
      <c r="D48" s="5"/>
      <c r="E48" s="5"/>
      <c r="U48" s="584"/>
      <c r="V48" s="584"/>
    </row>
    <row r="49" spans="2:22" ht="15.75" x14ac:dyDescent="0.3">
      <c r="B49" s="829" t="s">
        <v>23</v>
      </c>
      <c r="C49" s="830"/>
      <c r="D49" s="5"/>
      <c r="E49" s="707" t="s">
        <v>546</v>
      </c>
      <c r="F49" s="708"/>
      <c r="G49" s="709"/>
      <c r="H49" s="4"/>
      <c r="I49" s="200" t="s">
        <v>111</v>
      </c>
      <c r="J49" s="201"/>
      <c r="K49" s="202"/>
      <c r="L49" s="3"/>
      <c r="M49" s="792">
        <v>44399</v>
      </c>
      <c r="N49" s="793"/>
      <c r="O49" s="794"/>
      <c r="Q49" s="737" t="s">
        <v>111</v>
      </c>
      <c r="R49" s="738"/>
      <c r="S49" s="739"/>
      <c r="U49" s="710" t="s">
        <v>816</v>
      </c>
      <c r="V49" s="711"/>
    </row>
    <row r="50" spans="2:22" ht="15.75" x14ac:dyDescent="0.3">
      <c r="B50" s="814" t="s">
        <v>24</v>
      </c>
      <c r="C50" s="815"/>
      <c r="D50" s="5"/>
      <c r="E50" s="816" t="s">
        <v>763</v>
      </c>
      <c r="F50" s="817"/>
      <c r="G50" s="818"/>
      <c r="H50" s="138"/>
      <c r="I50" s="819" t="s">
        <v>111</v>
      </c>
      <c r="J50" s="820"/>
      <c r="K50" s="821"/>
      <c r="L50" s="141"/>
      <c r="M50" s="822" t="s">
        <v>111</v>
      </c>
      <c r="N50" s="823"/>
      <c r="O50" s="824"/>
      <c r="P50" s="139"/>
      <c r="Q50" s="740" t="s">
        <v>111</v>
      </c>
      <c r="R50" s="741"/>
      <c r="S50" s="742"/>
      <c r="T50" s="139"/>
      <c r="U50" s="717" t="s">
        <v>111</v>
      </c>
      <c r="V50" s="718"/>
    </row>
    <row r="51" spans="2:22" ht="15.75" x14ac:dyDescent="0.3">
      <c r="B51" s="814" t="s">
        <v>25</v>
      </c>
      <c r="C51" s="815"/>
      <c r="D51" s="5"/>
      <c r="E51" s="825" t="s">
        <v>763</v>
      </c>
      <c r="F51" s="826"/>
      <c r="G51" s="827"/>
      <c r="H51" s="138"/>
      <c r="I51" s="289" t="s">
        <v>111</v>
      </c>
      <c r="J51" s="290"/>
      <c r="K51" s="291"/>
      <c r="L51" s="141"/>
      <c r="M51" s="658" t="s">
        <v>111</v>
      </c>
      <c r="N51" s="659"/>
      <c r="O51" s="660"/>
      <c r="P51" s="139"/>
      <c r="Q51" s="743" t="s">
        <v>111</v>
      </c>
      <c r="R51" s="744"/>
      <c r="S51" s="745"/>
      <c r="T51" s="139"/>
      <c r="U51" s="719" t="s">
        <v>111</v>
      </c>
      <c r="V51" s="720"/>
    </row>
    <row r="52" spans="2:22" ht="15.75" x14ac:dyDescent="0.3">
      <c r="B52" s="807" t="s">
        <v>26</v>
      </c>
      <c r="C52" s="808"/>
      <c r="D52" s="5"/>
      <c r="E52" s="253" t="s">
        <v>547</v>
      </c>
      <c r="F52" s="254"/>
      <c r="G52" s="255"/>
      <c r="H52" s="4"/>
      <c r="I52" s="226" t="s">
        <v>111</v>
      </c>
      <c r="J52" s="434"/>
      <c r="K52" s="435"/>
      <c r="L52" s="3"/>
      <c r="M52" s="804">
        <v>44400</v>
      </c>
      <c r="N52" s="805"/>
      <c r="O52" s="806"/>
      <c r="Q52" s="778" t="s">
        <v>111</v>
      </c>
      <c r="R52" s="779"/>
      <c r="S52" s="780"/>
      <c r="U52" s="721" t="s">
        <v>111</v>
      </c>
      <c r="V52" s="722"/>
    </row>
    <row r="53" spans="2:22" ht="16.5" x14ac:dyDescent="0.3">
      <c r="B53" s="812" t="s">
        <v>27</v>
      </c>
      <c r="C53" s="813"/>
      <c r="D53" s="5"/>
      <c r="E53" s="363" t="s">
        <v>546</v>
      </c>
      <c r="F53" s="364"/>
      <c r="G53" s="365"/>
      <c r="H53" s="4"/>
      <c r="I53" s="226" t="s">
        <v>111</v>
      </c>
      <c r="J53" s="434"/>
      <c r="K53" s="435"/>
      <c r="L53" s="3"/>
      <c r="M53" s="804">
        <v>44400</v>
      </c>
      <c r="N53" s="805"/>
      <c r="O53" s="806"/>
      <c r="Q53" s="753">
        <v>57604</v>
      </c>
      <c r="R53" s="754"/>
      <c r="S53" s="755"/>
      <c r="U53" s="721" t="s">
        <v>111</v>
      </c>
      <c r="V53" s="722"/>
    </row>
    <row r="54" spans="2:22" ht="16.5" x14ac:dyDescent="0.3">
      <c r="B54" s="802" t="s">
        <v>28</v>
      </c>
      <c r="C54" s="803"/>
      <c r="D54" s="5"/>
      <c r="E54" s="253" t="s">
        <v>546</v>
      </c>
      <c r="F54" s="254"/>
      <c r="G54" s="255"/>
      <c r="H54" s="4"/>
      <c r="I54" s="226" t="s">
        <v>111</v>
      </c>
      <c r="J54" s="434"/>
      <c r="K54" s="435"/>
      <c r="L54" s="3"/>
      <c r="M54" s="804">
        <v>44400</v>
      </c>
      <c r="N54" s="805"/>
      <c r="O54" s="806"/>
      <c r="Q54" s="753">
        <v>381</v>
      </c>
      <c r="R54" s="754"/>
      <c r="S54" s="755"/>
      <c r="U54" s="721" t="s">
        <v>111</v>
      </c>
      <c r="V54" s="722"/>
    </row>
    <row r="55" spans="2:22" ht="15.75" x14ac:dyDescent="0.3">
      <c r="B55" s="807" t="s">
        <v>29</v>
      </c>
      <c r="C55" s="808"/>
      <c r="D55" s="5"/>
      <c r="E55" s="253" t="s">
        <v>666</v>
      </c>
      <c r="F55" s="254"/>
      <c r="G55" s="255"/>
      <c r="H55" s="4"/>
      <c r="I55" s="226" t="s">
        <v>111</v>
      </c>
      <c r="J55" s="434"/>
      <c r="K55" s="435"/>
      <c r="L55" s="3"/>
      <c r="M55" s="809">
        <v>44399</v>
      </c>
      <c r="N55" s="810"/>
      <c r="O55" s="811"/>
      <c r="Q55" s="778" t="s">
        <v>111</v>
      </c>
      <c r="R55" s="779"/>
      <c r="S55" s="780"/>
      <c r="U55" s="721" t="s">
        <v>111</v>
      </c>
      <c r="V55" s="722"/>
    </row>
    <row r="56" spans="2:22" ht="17.25" thickBot="1" x14ac:dyDescent="0.35">
      <c r="B56" s="800" t="s">
        <v>30</v>
      </c>
      <c r="C56" s="801"/>
      <c r="E56" s="212" t="s">
        <v>548</v>
      </c>
      <c r="F56" s="213"/>
      <c r="G56" s="214"/>
      <c r="I56" s="215" t="s">
        <v>111</v>
      </c>
      <c r="J56" s="216"/>
      <c r="K56" s="217"/>
      <c r="M56" s="797">
        <v>44399</v>
      </c>
      <c r="N56" s="798"/>
      <c r="O56" s="799"/>
      <c r="Q56" s="775">
        <v>63356</v>
      </c>
      <c r="R56" s="776"/>
      <c r="S56" s="777"/>
      <c r="U56" s="712" t="s">
        <v>111</v>
      </c>
      <c r="V56" s="713"/>
    </row>
    <row r="57" spans="2:22" x14ac:dyDescent="0.25">
      <c r="U57" s="106"/>
      <c r="V57" s="106"/>
    </row>
    <row r="58" spans="2:22" x14ac:dyDescent="0.25">
      <c r="U58" s="106"/>
      <c r="V58" s="106"/>
    </row>
    <row r="59" spans="2:22" ht="15.75" x14ac:dyDescent="0.25">
      <c r="B59" s="623" t="s">
        <v>50</v>
      </c>
      <c r="C59" s="623"/>
      <c r="E59" s="661" t="s">
        <v>778</v>
      </c>
      <c r="F59" s="661"/>
      <c r="G59" s="661"/>
      <c r="H59" s="7"/>
      <c r="I59" s="662" t="s">
        <v>457</v>
      </c>
      <c r="J59" s="662"/>
      <c r="K59" s="662"/>
      <c r="L59" s="2"/>
      <c r="M59" s="663" t="s">
        <v>667</v>
      </c>
      <c r="N59" s="663"/>
      <c r="O59" s="663"/>
      <c r="Q59" s="663" t="s">
        <v>503</v>
      </c>
      <c r="R59" s="663"/>
      <c r="S59" s="663"/>
      <c r="U59" s="574" t="s">
        <v>507</v>
      </c>
      <c r="V59" s="574"/>
    </row>
    <row r="60" spans="2:22" ht="16.5" thickBot="1" x14ac:dyDescent="0.3">
      <c r="B60" s="9"/>
      <c r="C60" s="9"/>
      <c r="U60" s="107"/>
      <c r="V60" s="107"/>
    </row>
    <row r="61" spans="2:22" ht="15.75" x14ac:dyDescent="0.3">
      <c r="B61" s="790" t="s">
        <v>108</v>
      </c>
      <c r="C61" s="791"/>
      <c r="D61" s="139"/>
      <c r="E61" s="666" t="s">
        <v>763</v>
      </c>
      <c r="F61" s="667"/>
      <c r="G61" s="668"/>
      <c r="H61" s="4"/>
      <c r="I61" s="200" t="s">
        <v>111</v>
      </c>
      <c r="J61" s="201"/>
      <c r="K61" s="202"/>
      <c r="L61" s="3"/>
      <c r="M61" s="792" t="s">
        <v>111</v>
      </c>
      <c r="N61" s="793"/>
      <c r="O61" s="794"/>
      <c r="Q61" s="781" t="s">
        <v>111</v>
      </c>
      <c r="R61" s="782"/>
      <c r="S61" s="783"/>
      <c r="U61" s="710" t="s">
        <v>111</v>
      </c>
      <c r="V61" s="711"/>
    </row>
    <row r="62" spans="2:22" ht="16.5" thickBot="1" x14ac:dyDescent="0.35">
      <c r="B62" s="795" t="s">
        <v>109</v>
      </c>
      <c r="C62" s="796"/>
      <c r="E62" s="398" t="s">
        <v>763</v>
      </c>
      <c r="F62" s="399"/>
      <c r="G62" s="400"/>
      <c r="H62" s="4"/>
      <c r="I62" s="215" t="s">
        <v>111</v>
      </c>
      <c r="J62" s="216"/>
      <c r="K62" s="217"/>
      <c r="L62" s="3"/>
      <c r="M62" s="797" t="s">
        <v>111</v>
      </c>
      <c r="N62" s="798"/>
      <c r="O62" s="799"/>
      <c r="Q62" s="784" t="s">
        <v>111</v>
      </c>
      <c r="R62" s="785"/>
      <c r="S62" s="786"/>
      <c r="U62" s="712" t="s">
        <v>111</v>
      </c>
      <c r="V62" s="713"/>
    </row>
    <row r="63" spans="2:22" x14ac:dyDescent="0.25">
      <c r="U63" s="106"/>
      <c r="V63" s="106"/>
    </row>
    <row r="64" spans="2:22" ht="15.75" x14ac:dyDescent="0.25">
      <c r="B64" s="601" t="s">
        <v>114</v>
      </c>
      <c r="C64" s="601"/>
      <c r="E64" s="632" t="s">
        <v>778</v>
      </c>
      <c r="F64" s="632"/>
      <c r="G64" s="632"/>
      <c r="H64" s="7"/>
      <c r="I64" s="633" t="s">
        <v>457</v>
      </c>
      <c r="J64" s="633"/>
      <c r="K64" s="633"/>
      <c r="L64" s="2"/>
      <c r="M64" s="634" t="s">
        <v>667</v>
      </c>
      <c r="N64" s="634"/>
      <c r="O64" s="634"/>
      <c r="Q64" s="634" t="s">
        <v>503</v>
      </c>
      <c r="R64" s="634"/>
      <c r="S64" s="634"/>
      <c r="U64" s="579" t="s">
        <v>507</v>
      </c>
      <c r="V64" s="579"/>
    </row>
    <row r="65" spans="2:22" ht="15.75" thickBot="1" x14ac:dyDescent="0.3">
      <c r="U65" s="106"/>
      <c r="V65" s="106"/>
    </row>
    <row r="66" spans="2:22" ht="17.25" thickBot="1" x14ac:dyDescent="0.35">
      <c r="B66" s="766" t="s">
        <v>529</v>
      </c>
      <c r="C66" s="767"/>
      <c r="E66" s="768" t="s">
        <v>547</v>
      </c>
      <c r="F66" s="769"/>
      <c r="G66" s="770"/>
      <c r="H66" s="4"/>
      <c r="I66" s="771" t="s">
        <v>111</v>
      </c>
      <c r="J66" s="641"/>
      <c r="K66" s="642"/>
      <c r="L66" s="3"/>
      <c r="M66" s="772">
        <v>44399</v>
      </c>
      <c r="N66" s="773"/>
      <c r="O66" s="774"/>
      <c r="Q66" s="787">
        <v>248</v>
      </c>
      <c r="R66" s="788"/>
      <c r="S66" s="789"/>
      <c r="U66" s="714" t="s">
        <v>111</v>
      </c>
      <c r="V66" s="715"/>
    </row>
    <row r="67" spans="2:22" x14ac:dyDescent="0.25">
      <c r="U67" s="106"/>
      <c r="V67" s="106"/>
    </row>
    <row r="68" spans="2:22" ht="15.75" x14ac:dyDescent="0.25">
      <c r="B68" s="862" t="s">
        <v>453</v>
      </c>
      <c r="C68" s="862"/>
      <c r="E68" s="863" t="s">
        <v>778</v>
      </c>
      <c r="F68" s="863"/>
      <c r="G68" s="863"/>
      <c r="H68" s="80"/>
      <c r="I68" s="864" t="s">
        <v>457</v>
      </c>
      <c r="J68" s="864"/>
      <c r="K68" s="864"/>
      <c r="L68" s="81"/>
      <c r="M68" s="865" t="s">
        <v>495</v>
      </c>
      <c r="N68" s="865"/>
      <c r="O68" s="865"/>
      <c r="P68" s="82"/>
      <c r="Q68" s="865" t="s">
        <v>503</v>
      </c>
      <c r="R68" s="865"/>
      <c r="S68" s="865"/>
      <c r="U68" s="716" t="s">
        <v>507</v>
      </c>
      <c r="V68" s="716"/>
    </row>
    <row r="69" spans="2:22" ht="15.75" thickBot="1" x14ac:dyDescent="0.3">
      <c r="U69" s="106"/>
      <c r="V69" s="106"/>
    </row>
    <row r="70" spans="2:22" ht="17.25" thickBot="1" x14ac:dyDescent="0.35">
      <c r="B70" s="866" t="s">
        <v>543</v>
      </c>
      <c r="C70" s="767"/>
      <c r="E70" s="637" t="s">
        <v>669</v>
      </c>
      <c r="F70" s="638"/>
      <c r="G70" s="639"/>
      <c r="H70" s="4"/>
      <c r="I70" s="550" t="s">
        <v>111</v>
      </c>
      <c r="J70" s="641"/>
      <c r="K70" s="642"/>
      <c r="L70" s="3"/>
      <c r="M70" s="772">
        <v>44400</v>
      </c>
      <c r="N70" s="773"/>
      <c r="O70" s="774"/>
      <c r="Q70" s="867" t="s">
        <v>111</v>
      </c>
      <c r="R70" s="868"/>
      <c r="S70" s="869"/>
      <c r="U70" s="580" t="s">
        <v>111</v>
      </c>
      <c r="V70" s="581"/>
    </row>
    <row r="72" spans="2:22" ht="15.75" x14ac:dyDescent="0.25">
      <c r="B72" s="870" t="s">
        <v>766</v>
      </c>
      <c r="C72" s="870"/>
      <c r="E72" s="871" t="s">
        <v>778</v>
      </c>
      <c r="F72" s="871"/>
      <c r="G72" s="871"/>
      <c r="H72" s="80"/>
      <c r="I72" s="872" t="s">
        <v>457</v>
      </c>
      <c r="J72" s="872"/>
      <c r="K72" s="872"/>
      <c r="L72" s="81"/>
      <c r="M72" s="873" t="s">
        <v>495</v>
      </c>
      <c r="N72" s="873"/>
      <c r="O72" s="873"/>
      <c r="P72" s="82"/>
      <c r="Q72" s="873" t="s">
        <v>503</v>
      </c>
      <c r="R72" s="873"/>
      <c r="S72" s="873"/>
      <c r="U72" s="874" t="s">
        <v>507</v>
      </c>
      <c r="V72" s="874"/>
    </row>
    <row r="73" spans="2:22" ht="15.75" thickBot="1" x14ac:dyDescent="0.3">
      <c r="U73" s="106"/>
      <c r="V73" s="106"/>
    </row>
    <row r="74" spans="2:22" ht="17.25" thickBot="1" x14ac:dyDescent="0.35">
      <c r="B74" s="866" t="s">
        <v>766</v>
      </c>
      <c r="C74" s="767"/>
      <c r="E74" s="637" t="s">
        <v>546</v>
      </c>
      <c r="F74" s="638"/>
      <c r="G74" s="639"/>
      <c r="H74" s="4"/>
      <c r="I74" s="550" t="s">
        <v>111</v>
      </c>
      <c r="J74" s="641"/>
      <c r="K74" s="642"/>
      <c r="L74" s="3"/>
      <c r="M74" s="772">
        <v>44400</v>
      </c>
      <c r="N74" s="773"/>
      <c r="O74" s="774"/>
      <c r="Q74" s="867" t="s">
        <v>111</v>
      </c>
      <c r="R74" s="868"/>
      <c r="S74" s="869"/>
      <c r="U74" s="580" t="s">
        <v>111</v>
      </c>
      <c r="V74" s="581"/>
    </row>
  </sheetData>
  <mergeCells count="265">
    <mergeCell ref="B72:C72"/>
    <mergeCell ref="E72:G72"/>
    <mergeCell ref="I72:K72"/>
    <mergeCell ref="M72:O72"/>
    <mergeCell ref="Q72:S72"/>
    <mergeCell ref="U72:V72"/>
    <mergeCell ref="B74:C74"/>
    <mergeCell ref="E74:G74"/>
    <mergeCell ref="I74:K74"/>
    <mergeCell ref="M74:O74"/>
    <mergeCell ref="Q74:S74"/>
    <mergeCell ref="U74:V74"/>
    <mergeCell ref="B68:C68"/>
    <mergeCell ref="E68:G68"/>
    <mergeCell ref="I68:K68"/>
    <mergeCell ref="M68:O68"/>
    <mergeCell ref="Q68:S68"/>
    <mergeCell ref="B70:C70"/>
    <mergeCell ref="E70:G70"/>
    <mergeCell ref="I70:K70"/>
    <mergeCell ref="M70:O70"/>
    <mergeCell ref="Q70:S70"/>
    <mergeCell ref="B18:C18"/>
    <mergeCell ref="E18:G18"/>
    <mergeCell ref="I18:K18"/>
    <mergeCell ref="M18:O18"/>
    <mergeCell ref="B13:C13"/>
    <mergeCell ref="E13:G13"/>
    <mergeCell ref="I13:K13"/>
    <mergeCell ref="M13:O13"/>
    <mergeCell ref="B14:C14"/>
    <mergeCell ref="B15:C15"/>
    <mergeCell ref="E15:G15"/>
    <mergeCell ref="I15:K15"/>
    <mergeCell ref="M15:O15"/>
    <mergeCell ref="B16:C16"/>
    <mergeCell ref="B17:C17"/>
    <mergeCell ref="E16:G16"/>
    <mergeCell ref="E17:G17"/>
    <mergeCell ref="I16:K16"/>
    <mergeCell ref="I17:K17"/>
    <mergeCell ref="M16:O16"/>
    <mergeCell ref="M17:O17"/>
    <mergeCell ref="B21:C21"/>
    <mergeCell ref="E21:G21"/>
    <mergeCell ref="I21:K21"/>
    <mergeCell ref="M21:O21"/>
    <mergeCell ref="B23:C23"/>
    <mergeCell ref="E23:G23"/>
    <mergeCell ref="I23:K23"/>
    <mergeCell ref="M23:O23"/>
    <mergeCell ref="B19:C19"/>
    <mergeCell ref="E19:G19"/>
    <mergeCell ref="I19:K19"/>
    <mergeCell ref="M19:O19"/>
    <mergeCell ref="B20:C20"/>
    <mergeCell ref="E20:G20"/>
    <mergeCell ref="I20:K20"/>
    <mergeCell ref="M20:O20"/>
    <mergeCell ref="B22:C22"/>
    <mergeCell ref="E22:G22"/>
    <mergeCell ref="I22:K22"/>
    <mergeCell ref="M22:O22"/>
    <mergeCell ref="B26:C26"/>
    <mergeCell ref="E26:G26"/>
    <mergeCell ref="I26:K26"/>
    <mergeCell ref="M26:O26"/>
    <mergeCell ref="B27:C27"/>
    <mergeCell ref="B28:C28"/>
    <mergeCell ref="E28:G28"/>
    <mergeCell ref="I28:K28"/>
    <mergeCell ref="M28:O28"/>
    <mergeCell ref="B31:C31"/>
    <mergeCell ref="E31:G31"/>
    <mergeCell ref="I31:K31"/>
    <mergeCell ref="M31:O31"/>
    <mergeCell ref="B32:C32"/>
    <mergeCell ref="E32:G32"/>
    <mergeCell ref="I32:K32"/>
    <mergeCell ref="M32:O32"/>
    <mergeCell ref="B29:C29"/>
    <mergeCell ref="E29:G29"/>
    <mergeCell ref="I29:K29"/>
    <mergeCell ref="M29:O29"/>
    <mergeCell ref="B30:C30"/>
    <mergeCell ref="E30:G30"/>
    <mergeCell ref="I30:K30"/>
    <mergeCell ref="M30:O30"/>
    <mergeCell ref="B36:C36"/>
    <mergeCell ref="E36:G36"/>
    <mergeCell ref="I36:K36"/>
    <mergeCell ref="M36:O36"/>
    <mergeCell ref="B37:C37"/>
    <mergeCell ref="E37:G37"/>
    <mergeCell ref="I37:K37"/>
    <mergeCell ref="M37:O37"/>
    <mergeCell ref="B33:C33"/>
    <mergeCell ref="E33:G33"/>
    <mergeCell ref="I33:K33"/>
    <mergeCell ref="M33:O33"/>
    <mergeCell ref="B34:C34"/>
    <mergeCell ref="E34:G34"/>
    <mergeCell ref="I34:K34"/>
    <mergeCell ref="M34:O34"/>
    <mergeCell ref="B35:C35"/>
    <mergeCell ref="E35:G35"/>
    <mergeCell ref="I35:K35"/>
    <mergeCell ref="M35:O35"/>
    <mergeCell ref="B43:C43"/>
    <mergeCell ref="E43:G43"/>
    <mergeCell ref="I43:K43"/>
    <mergeCell ref="M43:O43"/>
    <mergeCell ref="B44:C44"/>
    <mergeCell ref="E44:G44"/>
    <mergeCell ref="I44:K44"/>
    <mergeCell ref="M44:O44"/>
    <mergeCell ref="B38:C38"/>
    <mergeCell ref="E38:G38"/>
    <mergeCell ref="I38:K38"/>
    <mergeCell ref="M38:O38"/>
    <mergeCell ref="B41:C41"/>
    <mergeCell ref="E41:G41"/>
    <mergeCell ref="I41:K41"/>
    <mergeCell ref="M41:O41"/>
    <mergeCell ref="B50:C50"/>
    <mergeCell ref="E50:G50"/>
    <mergeCell ref="I50:K50"/>
    <mergeCell ref="M50:O50"/>
    <mergeCell ref="B51:C51"/>
    <mergeCell ref="E51:G51"/>
    <mergeCell ref="I51:K51"/>
    <mergeCell ref="M51:O51"/>
    <mergeCell ref="B47:C47"/>
    <mergeCell ref="E47:G47"/>
    <mergeCell ref="I47:K47"/>
    <mergeCell ref="M47:O47"/>
    <mergeCell ref="B48:C48"/>
    <mergeCell ref="B49:C49"/>
    <mergeCell ref="E49:G49"/>
    <mergeCell ref="I49:K49"/>
    <mergeCell ref="M49:O49"/>
    <mergeCell ref="B54:C54"/>
    <mergeCell ref="E54:G54"/>
    <mergeCell ref="I54:K54"/>
    <mergeCell ref="M54:O54"/>
    <mergeCell ref="B55:C55"/>
    <mergeCell ref="E55:G55"/>
    <mergeCell ref="I55:K55"/>
    <mergeCell ref="M55:O55"/>
    <mergeCell ref="B52:C52"/>
    <mergeCell ref="E52:G52"/>
    <mergeCell ref="I52:K52"/>
    <mergeCell ref="M52:O52"/>
    <mergeCell ref="B53:C53"/>
    <mergeCell ref="E53:G53"/>
    <mergeCell ref="I53:K53"/>
    <mergeCell ref="M53:O53"/>
    <mergeCell ref="B62:C62"/>
    <mergeCell ref="E62:G62"/>
    <mergeCell ref="I62:K62"/>
    <mergeCell ref="M62:O62"/>
    <mergeCell ref="B56:C56"/>
    <mergeCell ref="E56:G56"/>
    <mergeCell ref="I56:K56"/>
    <mergeCell ref="M56:O56"/>
    <mergeCell ref="B59:C59"/>
    <mergeCell ref="E59:G59"/>
    <mergeCell ref="I59:K59"/>
    <mergeCell ref="M59:O59"/>
    <mergeCell ref="B64:C64"/>
    <mergeCell ref="E64:G64"/>
    <mergeCell ref="I64:K64"/>
    <mergeCell ref="M64:O64"/>
    <mergeCell ref="B66:C66"/>
    <mergeCell ref="E66:G66"/>
    <mergeCell ref="I66:K66"/>
    <mergeCell ref="M66:O66"/>
    <mergeCell ref="Q37:S37"/>
    <mergeCell ref="Q38:S38"/>
    <mergeCell ref="Q52:S52"/>
    <mergeCell ref="Q53:S53"/>
    <mergeCell ref="Q54:S54"/>
    <mergeCell ref="Q55:S55"/>
    <mergeCell ref="Q56:S56"/>
    <mergeCell ref="Q59:S59"/>
    <mergeCell ref="Q61:S61"/>
    <mergeCell ref="Q62:S62"/>
    <mergeCell ref="Q64:S64"/>
    <mergeCell ref="Q66:S66"/>
    <mergeCell ref="B61:C61"/>
    <mergeCell ref="E61:G61"/>
    <mergeCell ref="I61:K61"/>
    <mergeCell ref="M61:O61"/>
    <mergeCell ref="Q13:S13"/>
    <mergeCell ref="Q15:S15"/>
    <mergeCell ref="Q16:S16"/>
    <mergeCell ref="Q17:S17"/>
    <mergeCell ref="Q18:S18"/>
    <mergeCell ref="Q19:S19"/>
    <mergeCell ref="Q20:S20"/>
    <mergeCell ref="Q21:S21"/>
    <mergeCell ref="Q22:S22"/>
    <mergeCell ref="Q23:S23"/>
    <mergeCell ref="Q26:S26"/>
    <mergeCell ref="Q28:S28"/>
    <mergeCell ref="Q29:S29"/>
    <mergeCell ref="Q30:S30"/>
    <mergeCell ref="Q31:S31"/>
    <mergeCell ref="Q32:S32"/>
    <mergeCell ref="Q33:S33"/>
    <mergeCell ref="Q34:S34"/>
    <mergeCell ref="Q36:S36"/>
    <mergeCell ref="Q35:S35"/>
    <mergeCell ref="Q41:S41"/>
    <mergeCell ref="Q43:S43"/>
    <mergeCell ref="Q44:S44"/>
    <mergeCell ref="Q47:S47"/>
    <mergeCell ref="Q49:S49"/>
    <mergeCell ref="Q50:S50"/>
    <mergeCell ref="Q51:S51"/>
    <mergeCell ref="U13:V13"/>
    <mergeCell ref="U14:V14"/>
    <mergeCell ref="U15:V15"/>
    <mergeCell ref="U16:V16"/>
    <mergeCell ref="U17:V17"/>
    <mergeCell ref="U18:V18"/>
    <mergeCell ref="U19:V19"/>
    <mergeCell ref="U20:V20"/>
    <mergeCell ref="U21:V21"/>
    <mergeCell ref="U44:V44"/>
    <mergeCell ref="U47:V47"/>
    <mergeCell ref="U22:V22"/>
    <mergeCell ref="U23:V23"/>
    <mergeCell ref="U26:V26"/>
    <mergeCell ref="U27:V27"/>
    <mergeCell ref="U28:V28"/>
    <mergeCell ref="U29:V29"/>
    <mergeCell ref="U30:V30"/>
    <mergeCell ref="U31:V31"/>
    <mergeCell ref="U32:V32"/>
    <mergeCell ref="U35:V35"/>
    <mergeCell ref="U59:V59"/>
    <mergeCell ref="U61:V61"/>
    <mergeCell ref="U62:V62"/>
    <mergeCell ref="U64:V64"/>
    <mergeCell ref="U66:V66"/>
    <mergeCell ref="U68:V68"/>
    <mergeCell ref="U70:V70"/>
    <mergeCell ref="A7:V7"/>
    <mergeCell ref="U48:V48"/>
    <mergeCell ref="U49:V49"/>
    <mergeCell ref="U50:V50"/>
    <mergeCell ref="U51:V51"/>
    <mergeCell ref="U52:V52"/>
    <mergeCell ref="U53:V53"/>
    <mergeCell ref="U54:V54"/>
    <mergeCell ref="U55:V55"/>
    <mergeCell ref="U56:V56"/>
    <mergeCell ref="U33:V33"/>
    <mergeCell ref="U34:V34"/>
    <mergeCell ref="U36:V36"/>
    <mergeCell ref="U37:V37"/>
    <mergeCell ref="U38:V38"/>
    <mergeCell ref="U41:V41"/>
    <mergeCell ref="U43:V43"/>
  </mergeCells>
  <phoneticPr fontId="5" type="noConversion"/>
  <hyperlinks>
    <hyperlink ref="Q15:S15" location="ORÇAMENTOS!A1" display="ORÇAMENTOS!A1" xr:uid="{750BA430-F01F-41F9-A6C3-3DB74381CCF6}"/>
    <hyperlink ref="Q30:S30" location="ORÇAMENTOS!A1" display="ORÇAMENTOS!A1" xr:uid="{281C2ECA-4B6C-4185-B91D-79A38FBE35D6}"/>
    <hyperlink ref="Q34:S34" location="ORÇAMENTOS!A1" display="ORÇAMENTOS!A1" xr:uid="{B364EADC-B75D-4BE2-AF91-9E9AD5AD9277}"/>
    <hyperlink ref="Q35:S35" location="ORÇAMENTOS!A1" display="ORÇAMENTOS!A1" xr:uid="{ECA36989-08C0-432F-89F3-840A0D3490D8}"/>
    <hyperlink ref="Q38:S38" location="ORÇAMENTOS!A1" display="ORÇAMENTOS!A1" xr:uid="{9AC43ACE-88BA-4454-B541-2C4A086B8F18}"/>
    <hyperlink ref="Q53:S53" location="ORÇAMENTOS!A1" display="ORÇAMENTOS!A1" xr:uid="{6FCEB367-7552-4281-B3EE-2A5DD660881D}"/>
    <hyperlink ref="Q54:S54" location="ORÇAMENTOS!A1" display="ORÇAMENTOS!A1" xr:uid="{0C47C622-19EF-4AED-9B6B-F0727C3E1000}"/>
    <hyperlink ref="Q66:S66" location="ORÇAMENTOS!A1" display="ORÇAMENTOS!A1" xr:uid="{6B6BAC9C-4B09-41CA-9273-6FA81C0A249E}"/>
    <hyperlink ref="Q56:S56" location="ORÇAMENTOS!A1" display="ORÇAMENTOS!A1" xr:uid="{4D09963B-12A7-48BB-A05E-422FA73806DB}"/>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U65"/>
  <sheetViews>
    <sheetView workbookViewId="0">
      <pane ySplit="6" topLeftCell="A7" activePane="bottomLeft" state="frozen"/>
      <selection pane="bottomLeft" activeCell="I17" sqref="I17:K17"/>
    </sheetView>
  </sheetViews>
  <sheetFormatPr defaultColWidth="9.140625" defaultRowHeight="15" x14ac:dyDescent="0.25"/>
  <cols>
    <col min="1" max="1" width="1.7109375" style="1" customWidth="1"/>
    <col min="2" max="3" width="9.140625" style="1"/>
    <col min="4" max="4" width="1.7109375" style="1" customWidth="1"/>
    <col min="5" max="6" width="9.140625" style="1"/>
    <col min="7" max="7" width="11" style="1" customWidth="1"/>
    <col min="8" max="8" width="1.7109375" style="1" customWidth="1"/>
    <col min="9" max="11" width="9.140625" style="1"/>
    <col min="12" max="12" width="1.7109375" style="1" customWidth="1"/>
    <col min="13" max="14" width="9.140625" style="1"/>
    <col min="15" max="15" width="12.7109375" style="1" customWidth="1"/>
    <col min="16" max="16" width="1.7109375" style="1" customWidth="1"/>
    <col min="17" max="17" width="9.140625" style="1"/>
    <col min="18" max="18" width="16" style="1" customWidth="1"/>
    <col min="19" max="19" width="1.7109375" style="1" customWidth="1"/>
    <col min="20" max="16384" width="9.140625" style="1"/>
  </cols>
  <sheetData>
    <row r="1" spans="1:21" s="150" customFormat="1" x14ac:dyDescent="0.25"/>
    <row r="2" spans="1:21" s="150" customFormat="1" x14ac:dyDescent="0.25"/>
    <row r="3" spans="1:21" s="150" customFormat="1" x14ac:dyDescent="0.25"/>
    <row r="4" spans="1:21" s="150" customFormat="1" x14ac:dyDescent="0.25"/>
    <row r="5" spans="1:21" s="150" customFormat="1" x14ac:dyDescent="0.25"/>
    <row r="6" spans="1:21" s="150" customFormat="1" x14ac:dyDescent="0.25"/>
    <row r="7" spans="1:21" s="150" customFormat="1" ht="21" customHeight="1" x14ac:dyDescent="0.25">
      <c r="A7" s="582" t="s">
        <v>749</v>
      </c>
      <c r="B7" s="582"/>
      <c r="C7" s="582"/>
      <c r="D7" s="582"/>
      <c r="E7" s="582"/>
      <c r="F7" s="582"/>
      <c r="G7" s="582"/>
      <c r="H7" s="582"/>
      <c r="I7" s="582"/>
      <c r="J7" s="582"/>
      <c r="K7" s="582"/>
      <c r="L7" s="582"/>
      <c r="M7" s="582"/>
      <c r="N7" s="582"/>
      <c r="O7" s="582"/>
      <c r="P7" s="582"/>
      <c r="Q7" s="582"/>
      <c r="R7" s="582"/>
      <c r="S7" s="582"/>
      <c r="T7" s="582"/>
      <c r="U7" s="582"/>
    </row>
    <row r="8" spans="1:21" s="150" customFormat="1" x14ac:dyDescent="0.25"/>
    <row r="9" spans="1:21" s="150" customFormat="1" x14ac:dyDescent="0.25"/>
    <row r="10" spans="1:21" s="150" customFormat="1" x14ac:dyDescent="0.25"/>
    <row r="11" spans="1:21" ht="15.75" x14ac:dyDescent="0.25">
      <c r="B11" s="595" t="s">
        <v>0</v>
      </c>
      <c r="C11" s="595"/>
      <c r="D11" s="6"/>
      <c r="E11" s="681" t="s">
        <v>45</v>
      </c>
      <c r="F11" s="681"/>
      <c r="G11" s="681"/>
      <c r="H11" s="7"/>
      <c r="I11" s="691" t="s">
        <v>457</v>
      </c>
      <c r="J11" s="691"/>
      <c r="K11" s="691"/>
      <c r="L11" s="2"/>
      <c r="M11" s="692" t="s">
        <v>667</v>
      </c>
      <c r="N11" s="692"/>
      <c r="O11" s="692"/>
      <c r="P11" s="4"/>
      <c r="Q11" s="595" t="s">
        <v>503</v>
      </c>
      <c r="R11" s="595"/>
      <c r="T11" s="595" t="s">
        <v>507</v>
      </c>
      <c r="U11" s="595"/>
    </row>
    <row r="12" spans="1:21" ht="15.75" thickBot="1" x14ac:dyDescent="0.3">
      <c r="B12" s="596"/>
      <c r="C12" s="596"/>
      <c r="D12" s="5"/>
      <c r="E12" s="5"/>
      <c r="Q12" s="596"/>
      <c r="R12" s="596"/>
      <c r="T12" s="596"/>
      <c r="U12" s="596"/>
    </row>
    <row r="13" spans="1:21" ht="15.75" x14ac:dyDescent="0.25">
      <c r="B13" s="896" t="s">
        <v>112</v>
      </c>
      <c r="C13" s="897"/>
      <c r="D13" s="136"/>
      <c r="E13" s="666" t="s">
        <v>737</v>
      </c>
      <c r="F13" s="667"/>
      <c r="G13" s="668"/>
      <c r="H13" s="4"/>
      <c r="I13" s="200" t="s">
        <v>111</v>
      </c>
      <c r="J13" s="201"/>
      <c r="K13" s="202"/>
      <c r="L13" s="3"/>
      <c r="M13" s="792" t="s">
        <v>111</v>
      </c>
      <c r="N13" s="793"/>
      <c r="O13" s="794"/>
      <c r="P13" s="8"/>
      <c r="Q13" s="892" t="s">
        <v>111</v>
      </c>
      <c r="R13" s="893"/>
      <c r="T13" s="892" t="s">
        <v>111</v>
      </c>
      <c r="U13" s="893"/>
    </row>
    <row r="14" spans="1:21" ht="15.75" x14ac:dyDescent="0.25">
      <c r="B14" s="239" t="s">
        <v>4</v>
      </c>
      <c r="C14" s="240"/>
      <c r="D14" s="5"/>
      <c r="E14" s="253" t="s">
        <v>584</v>
      </c>
      <c r="F14" s="254"/>
      <c r="G14" s="255"/>
      <c r="H14" s="4"/>
      <c r="I14" s="226">
        <v>2021</v>
      </c>
      <c r="J14" s="434"/>
      <c r="K14" s="435"/>
      <c r="L14" s="3"/>
      <c r="M14" s="226" t="s">
        <v>111</v>
      </c>
      <c r="N14" s="434"/>
      <c r="O14" s="435"/>
      <c r="P14" s="8"/>
      <c r="Q14" s="894" t="s">
        <v>111</v>
      </c>
      <c r="R14" s="895"/>
      <c r="T14" s="894" t="s">
        <v>111</v>
      </c>
      <c r="U14" s="895"/>
    </row>
    <row r="15" spans="1:21" ht="15.75" x14ac:dyDescent="0.25">
      <c r="B15" s="239" t="s">
        <v>5</v>
      </c>
      <c r="C15" s="240"/>
      <c r="D15" s="5"/>
      <c r="E15" s="253" t="s">
        <v>110</v>
      </c>
      <c r="F15" s="254"/>
      <c r="G15" s="255"/>
      <c r="H15" s="4"/>
      <c r="I15" s="226">
        <v>2020</v>
      </c>
      <c r="J15" s="434"/>
      <c r="K15" s="435"/>
      <c r="L15" s="3"/>
      <c r="M15" s="891">
        <v>44489</v>
      </c>
      <c r="N15" s="434"/>
      <c r="O15" s="435"/>
      <c r="P15" s="8"/>
      <c r="Q15" s="894" t="s">
        <v>111</v>
      </c>
      <c r="R15" s="895"/>
      <c r="T15" s="894" t="s">
        <v>111</v>
      </c>
      <c r="U15" s="895"/>
    </row>
    <row r="16" spans="1:21" ht="15.75" x14ac:dyDescent="0.25">
      <c r="B16" s="239" t="s">
        <v>6</v>
      </c>
      <c r="C16" s="240"/>
      <c r="D16" s="5"/>
      <c r="E16" s="253" t="s">
        <v>110</v>
      </c>
      <c r="F16" s="254"/>
      <c r="G16" s="255"/>
      <c r="H16" s="4"/>
      <c r="I16" s="226">
        <v>2020</v>
      </c>
      <c r="J16" s="434"/>
      <c r="K16" s="435"/>
      <c r="L16" s="3"/>
      <c r="M16" s="891">
        <v>44489</v>
      </c>
      <c r="N16" s="434"/>
      <c r="O16" s="435"/>
      <c r="P16" s="8"/>
      <c r="Q16" s="894" t="s">
        <v>111</v>
      </c>
      <c r="R16" s="895"/>
      <c r="T16" s="894" t="s">
        <v>111</v>
      </c>
      <c r="U16" s="895"/>
    </row>
    <row r="17" spans="2:21" ht="15.75" x14ac:dyDescent="0.25">
      <c r="B17" s="239" t="s">
        <v>7</v>
      </c>
      <c r="C17" s="240"/>
      <c r="D17" s="5"/>
      <c r="E17" s="253" t="s">
        <v>110</v>
      </c>
      <c r="F17" s="254"/>
      <c r="G17" s="255"/>
      <c r="H17" s="4"/>
      <c r="I17" s="226">
        <v>2020</v>
      </c>
      <c r="J17" s="434"/>
      <c r="K17" s="435"/>
      <c r="L17" s="3"/>
      <c r="M17" s="891">
        <v>44489</v>
      </c>
      <c r="N17" s="434"/>
      <c r="O17" s="435"/>
      <c r="P17" s="8"/>
      <c r="Q17" s="894" t="s">
        <v>111</v>
      </c>
      <c r="R17" s="895"/>
      <c r="T17" s="894" t="s">
        <v>111</v>
      </c>
      <c r="U17" s="895"/>
    </row>
    <row r="18" spans="2:21" ht="15.75" x14ac:dyDescent="0.25">
      <c r="B18" s="239" t="s">
        <v>8</v>
      </c>
      <c r="C18" s="240"/>
      <c r="D18" s="5"/>
      <c r="E18" s="253" t="s">
        <v>110</v>
      </c>
      <c r="F18" s="254"/>
      <c r="G18" s="255"/>
      <c r="H18" s="4"/>
      <c r="I18" s="226">
        <v>2020</v>
      </c>
      <c r="J18" s="434"/>
      <c r="K18" s="435"/>
      <c r="L18" s="3"/>
      <c r="M18" s="891">
        <v>44489</v>
      </c>
      <c r="N18" s="434"/>
      <c r="O18" s="435"/>
      <c r="P18" s="8"/>
      <c r="Q18" s="894" t="s">
        <v>111</v>
      </c>
      <c r="R18" s="895"/>
      <c r="T18" s="894" t="s">
        <v>111</v>
      </c>
      <c r="U18" s="895"/>
    </row>
    <row r="19" spans="2:21" ht="15.75" x14ac:dyDescent="0.25">
      <c r="B19" s="239" t="s">
        <v>9</v>
      </c>
      <c r="C19" s="240"/>
      <c r="D19" s="5"/>
      <c r="E19" s="253" t="s">
        <v>110</v>
      </c>
      <c r="F19" s="254"/>
      <c r="G19" s="255"/>
      <c r="H19" s="4"/>
      <c r="I19" s="226">
        <v>2020</v>
      </c>
      <c r="J19" s="434"/>
      <c r="K19" s="435"/>
      <c r="L19" s="3"/>
      <c r="M19" s="891">
        <v>44489</v>
      </c>
      <c r="N19" s="434"/>
      <c r="O19" s="435"/>
      <c r="P19" s="8"/>
      <c r="Q19" s="894" t="s">
        <v>111</v>
      </c>
      <c r="R19" s="895"/>
      <c r="T19" s="894" t="s">
        <v>111</v>
      </c>
      <c r="U19" s="895"/>
    </row>
    <row r="20" spans="2:21" ht="16.5" thickBot="1" x14ac:dyDescent="0.3">
      <c r="B20" s="239" t="s">
        <v>10</v>
      </c>
      <c r="C20" s="240"/>
      <c r="D20" s="5"/>
      <c r="E20" s="253" t="s">
        <v>110</v>
      </c>
      <c r="F20" s="254"/>
      <c r="G20" s="255"/>
      <c r="H20" s="4"/>
      <c r="I20" s="226">
        <v>2020</v>
      </c>
      <c r="J20" s="434"/>
      <c r="K20" s="435"/>
      <c r="L20" s="3"/>
      <c r="M20" s="891">
        <v>44489</v>
      </c>
      <c r="N20" s="434"/>
      <c r="O20" s="435"/>
      <c r="P20" s="8"/>
      <c r="Q20" s="894" t="s">
        <v>111</v>
      </c>
      <c r="R20" s="895"/>
      <c r="T20" s="894" t="s">
        <v>111</v>
      </c>
      <c r="U20" s="895"/>
    </row>
    <row r="21" spans="2:21" ht="16.5" thickBot="1" x14ac:dyDescent="0.3">
      <c r="B21" s="396" t="s">
        <v>113</v>
      </c>
      <c r="C21" s="397"/>
      <c r="D21" s="5"/>
      <c r="E21" s="666" t="s">
        <v>737</v>
      </c>
      <c r="F21" s="667"/>
      <c r="G21" s="668"/>
      <c r="H21" s="4"/>
      <c r="I21" s="215"/>
      <c r="J21" s="216"/>
      <c r="K21" s="217"/>
      <c r="L21" s="3"/>
      <c r="M21" s="890"/>
      <c r="N21" s="216"/>
      <c r="O21" s="217"/>
      <c r="P21" s="8"/>
      <c r="Q21" s="898" t="s">
        <v>111</v>
      </c>
      <c r="R21" s="899"/>
      <c r="T21" s="898" t="s">
        <v>111</v>
      </c>
      <c r="U21" s="899"/>
    </row>
    <row r="23" spans="2:21" ht="15.75" x14ac:dyDescent="0.25">
      <c r="B23" s="837" t="s">
        <v>1</v>
      </c>
      <c r="C23" s="837"/>
      <c r="D23" s="6"/>
      <c r="E23" s="838" t="s">
        <v>45</v>
      </c>
      <c r="F23" s="838"/>
      <c r="G23" s="838"/>
      <c r="H23" s="7"/>
      <c r="I23" s="839" t="s">
        <v>457</v>
      </c>
      <c r="J23" s="839"/>
      <c r="K23" s="839"/>
      <c r="L23" s="2"/>
      <c r="M23" s="749" t="s">
        <v>667</v>
      </c>
      <c r="N23" s="749"/>
      <c r="O23" s="749"/>
      <c r="Q23" s="615" t="s">
        <v>503</v>
      </c>
      <c r="R23" s="615"/>
      <c r="T23" s="615" t="s">
        <v>507</v>
      </c>
      <c r="U23" s="615"/>
    </row>
    <row r="24" spans="2:21" ht="15.75" thickBot="1" x14ac:dyDescent="0.3">
      <c r="B24" s="596"/>
      <c r="C24" s="596"/>
      <c r="D24" s="5"/>
      <c r="E24" s="5"/>
      <c r="Q24" s="596"/>
      <c r="R24" s="596"/>
      <c r="T24" s="596"/>
      <c r="U24" s="596"/>
    </row>
    <row r="25" spans="2:21" ht="15.75" x14ac:dyDescent="0.25">
      <c r="B25" s="389" t="s">
        <v>13</v>
      </c>
      <c r="C25" s="390"/>
      <c r="D25" s="5"/>
      <c r="E25" s="352" t="s">
        <v>110</v>
      </c>
      <c r="F25" s="353"/>
      <c r="G25" s="354"/>
      <c r="H25" s="4"/>
      <c r="I25" s="200">
        <v>2020</v>
      </c>
      <c r="J25" s="201"/>
      <c r="K25" s="202"/>
      <c r="L25" s="3"/>
      <c r="M25" s="792">
        <v>44490</v>
      </c>
      <c r="N25" s="888"/>
      <c r="O25" s="889"/>
      <c r="Q25" s="892" t="s">
        <v>111</v>
      </c>
      <c r="R25" s="893"/>
      <c r="T25" s="892" t="s">
        <v>111</v>
      </c>
      <c r="U25" s="893"/>
    </row>
    <row r="26" spans="2:21" ht="15.75" x14ac:dyDescent="0.25">
      <c r="B26" s="239" t="s">
        <v>14</v>
      </c>
      <c r="C26" s="240"/>
      <c r="D26" s="5"/>
      <c r="E26" s="253" t="s">
        <v>110</v>
      </c>
      <c r="F26" s="254"/>
      <c r="G26" s="255"/>
      <c r="H26" s="4"/>
      <c r="I26" s="226">
        <v>2020</v>
      </c>
      <c r="J26" s="434"/>
      <c r="K26" s="435"/>
      <c r="L26" s="3"/>
      <c r="M26" s="809">
        <v>44490</v>
      </c>
      <c r="N26" s="886"/>
      <c r="O26" s="887"/>
      <c r="Q26" s="894" t="s">
        <v>111</v>
      </c>
      <c r="R26" s="895"/>
      <c r="T26" s="894" t="s">
        <v>111</v>
      </c>
      <c r="U26" s="895"/>
    </row>
    <row r="27" spans="2:21" ht="15.75" x14ac:dyDescent="0.25">
      <c r="B27" s="239" t="s">
        <v>15</v>
      </c>
      <c r="C27" s="240"/>
      <c r="D27" s="5"/>
      <c r="E27" s="253" t="s">
        <v>110</v>
      </c>
      <c r="F27" s="254"/>
      <c r="G27" s="255"/>
      <c r="H27" s="4"/>
      <c r="I27" s="226">
        <v>2020</v>
      </c>
      <c r="J27" s="434"/>
      <c r="K27" s="435"/>
      <c r="L27" s="3"/>
      <c r="M27" s="809">
        <v>44490</v>
      </c>
      <c r="N27" s="886"/>
      <c r="O27" s="887"/>
      <c r="Q27" s="894" t="s">
        <v>111</v>
      </c>
      <c r="R27" s="895"/>
      <c r="T27" s="894" t="s">
        <v>111</v>
      </c>
      <c r="U27" s="895"/>
    </row>
    <row r="28" spans="2:21" ht="15.75" x14ac:dyDescent="0.25">
      <c r="B28" s="239" t="s">
        <v>16</v>
      </c>
      <c r="C28" s="240"/>
      <c r="D28" s="5"/>
      <c r="E28" s="253" t="s">
        <v>110</v>
      </c>
      <c r="F28" s="254"/>
      <c r="G28" s="255"/>
      <c r="H28" s="4"/>
      <c r="I28" s="226">
        <v>2020</v>
      </c>
      <c r="J28" s="434"/>
      <c r="K28" s="435"/>
      <c r="L28" s="3"/>
      <c r="M28" s="809">
        <v>44490</v>
      </c>
      <c r="N28" s="886"/>
      <c r="O28" s="887"/>
      <c r="Q28" s="894" t="s">
        <v>111</v>
      </c>
      <c r="R28" s="895"/>
      <c r="T28" s="894" t="s">
        <v>111</v>
      </c>
      <c r="U28" s="895"/>
    </row>
    <row r="29" spans="2:21" ht="15.75" x14ac:dyDescent="0.25">
      <c r="B29" s="239" t="s">
        <v>17</v>
      </c>
      <c r="C29" s="240"/>
      <c r="D29" s="5"/>
      <c r="E29" s="253" t="s">
        <v>110</v>
      </c>
      <c r="F29" s="254"/>
      <c r="G29" s="255"/>
      <c r="H29" s="4"/>
      <c r="I29" s="226">
        <v>2020</v>
      </c>
      <c r="J29" s="434"/>
      <c r="K29" s="435"/>
      <c r="L29" s="3"/>
      <c r="M29" s="809">
        <v>44490</v>
      </c>
      <c r="N29" s="886"/>
      <c r="O29" s="887"/>
      <c r="Q29" s="894" t="s">
        <v>111</v>
      </c>
      <c r="R29" s="895"/>
      <c r="T29" s="894" t="s">
        <v>111</v>
      </c>
      <c r="U29" s="895"/>
    </row>
    <row r="30" spans="2:21" ht="15.75" x14ac:dyDescent="0.25">
      <c r="B30" s="239" t="s">
        <v>18</v>
      </c>
      <c r="C30" s="240"/>
      <c r="D30" s="136"/>
      <c r="E30" s="253" t="s">
        <v>110</v>
      </c>
      <c r="F30" s="254"/>
      <c r="G30" s="255"/>
      <c r="H30" s="4"/>
      <c r="I30" s="226">
        <v>2020</v>
      </c>
      <c r="J30" s="434"/>
      <c r="K30" s="435"/>
      <c r="L30" s="3"/>
      <c r="M30" s="809">
        <v>44490</v>
      </c>
      <c r="N30" s="886"/>
      <c r="O30" s="887"/>
      <c r="Q30" s="894" t="s">
        <v>111</v>
      </c>
      <c r="R30" s="895"/>
      <c r="T30" s="894" t="s">
        <v>111</v>
      </c>
      <c r="U30" s="895"/>
    </row>
    <row r="31" spans="2:21" ht="15.75" x14ac:dyDescent="0.25">
      <c r="B31" s="261" t="s">
        <v>98</v>
      </c>
      <c r="C31" s="262"/>
      <c r="D31" s="5"/>
      <c r="E31" s="363" t="s">
        <v>110</v>
      </c>
      <c r="F31" s="364"/>
      <c r="G31" s="365"/>
      <c r="H31" s="4"/>
      <c r="I31" s="232">
        <v>2020</v>
      </c>
      <c r="J31" s="233"/>
      <c r="K31" s="234"/>
      <c r="L31" s="3"/>
      <c r="M31" s="804">
        <v>44490</v>
      </c>
      <c r="N31" s="805"/>
      <c r="O31" s="806"/>
      <c r="Q31" s="876"/>
      <c r="R31" s="877"/>
      <c r="T31" s="876"/>
      <c r="U31" s="877"/>
    </row>
    <row r="32" spans="2:21" ht="15.75" x14ac:dyDescent="0.25">
      <c r="B32" s="239" t="s">
        <v>19</v>
      </c>
      <c r="C32" s="240"/>
      <c r="D32" s="5"/>
      <c r="E32" s="253" t="s">
        <v>110</v>
      </c>
      <c r="F32" s="254"/>
      <c r="G32" s="255"/>
      <c r="H32" s="4"/>
      <c r="I32" s="226">
        <v>2020</v>
      </c>
      <c r="J32" s="434"/>
      <c r="K32" s="435"/>
      <c r="L32" s="3"/>
      <c r="M32" s="809">
        <v>44490</v>
      </c>
      <c r="N32" s="886"/>
      <c r="O32" s="887"/>
      <c r="Q32" s="876" t="s">
        <v>111</v>
      </c>
      <c r="R32" s="900"/>
      <c r="T32" s="876" t="s">
        <v>111</v>
      </c>
      <c r="U32" s="900"/>
    </row>
    <row r="33" spans="2:21" ht="15.75" x14ac:dyDescent="0.25">
      <c r="B33" s="239" t="s">
        <v>20</v>
      </c>
      <c r="C33" s="240"/>
      <c r="D33" s="5"/>
      <c r="E33" s="253" t="s">
        <v>110</v>
      </c>
      <c r="F33" s="254"/>
      <c r="G33" s="255"/>
      <c r="H33" s="4"/>
      <c r="I33" s="226">
        <v>2020</v>
      </c>
      <c r="J33" s="434"/>
      <c r="K33" s="435"/>
      <c r="L33" s="3"/>
      <c r="M33" s="809">
        <v>44490</v>
      </c>
      <c r="N33" s="886"/>
      <c r="O33" s="887"/>
      <c r="Q33" s="894" t="s">
        <v>111</v>
      </c>
      <c r="R33" s="895"/>
      <c r="T33" s="894" t="s">
        <v>111</v>
      </c>
      <c r="U33" s="895"/>
    </row>
    <row r="34" spans="2:21" ht="15.75" x14ac:dyDescent="0.25">
      <c r="B34" s="239" t="s">
        <v>21</v>
      </c>
      <c r="C34" s="240"/>
      <c r="E34" s="253" t="s">
        <v>110</v>
      </c>
      <c r="F34" s="254"/>
      <c r="G34" s="255"/>
      <c r="I34" s="226">
        <v>2020</v>
      </c>
      <c r="J34" s="434"/>
      <c r="K34" s="435"/>
      <c r="M34" s="809">
        <v>44490</v>
      </c>
      <c r="N34" s="886"/>
      <c r="O34" s="887"/>
      <c r="Q34" s="894" t="s">
        <v>111</v>
      </c>
      <c r="R34" s="895"/>
      <c r="T34" s="894" t="s">
        <v>111</v>
      </c>
      <c r="U34" s="895"/>
    </row>
    <row r="35" spans="2:21" ht="16.5" thickBot="1" x14ac:dyDescent="0.3">
      <c r="B35" s="416" t="s">
        <v>22</v>
      </c>
      <c r="C35" s="417"/>
      <c r="E35" s="212" t="s">
        <v>110</v>
      </c>
      <c r="F35" s="213"/>
      <c r="G35" s="214"/>
      <c r="I35" s="215">
        <v>2020</v>
      </c>
      <c r="J35" s="216"/>
      <c r="K35" s="217"/>
      <c r="M35" s="797">
        <v>44490</v>
      </c>
      <c r="N35" s="884"/>
      <c r="O35" s="885"/>
      <c r="Q35" s="898" t="s">
        <v>111</v>
      </c>
      <c r="R35" s="899"/>
      <c r="T35" s="898" t="s">
        <v>111</v>
      </c>
      <c r="U35" s="899"/>
    </row>
    <row r="36" spans="2:21" ht="15.75" x14ac:dyDescent="0.25">
      <c r="B36" s="9"/>
      <c r="C36" s="9"/>
      <c r="Q36" s="901"/>
      <c r="R36" s="901"/>
      <c r="S36"/>
      <c r="T36" s="901"/>
      <c r="U36" s="901"/>
    </row>
    <row r="37" spans="2:21" ht="15.75" x14ac:dyDescent="0.25">
      <c r="B37" s="616" t="s">
        <v>39</v>
      </c>
      <c r="C37" s="616"/>
      <c r="E37" s="704" t="s">
        <v>45</v>
      </c>
      <c r="F37" s="704"/>
      <c r="G37" s="704"/>
      <c r="H37" s="7"/>
      <c r="I37" s="705" t="s">
        <v>457</v>
      </c>
      <c r="J37" s="705"/>
      <c r="K37" s="705"/>
      <c r="L37" s="2"/>
      <c r="M37" s="706" t="s">
        <v>667</v>
      </c>
      <c r="N37" s="706"/>
      <c r="O37" s="706"/>
      <c r="Q37" s="616" t="s">
        <v>503</v>
      </c>
      <c r="R37" s="616"/>
      <c r="T37" s="616" t="s">
        <v>507</v>
      </c>
      <c r="U37" s="616"/>
    </row>
    <row r="38" spans="2:21" ht="16.5" thickBot="1" x14ac:dyDescent="0.3">
      <c r="B38" s="9"/>
      <c r="C38" s="9"/>
    </row>
    <row r="39" spans="2:21" ht="15.75" x14ac:dyDescent="0.25">
      <c r="B39" s="423" t="s">
        <v>40</v>
      </c>
      <c r="C39" s="424"/>
      <c r="E39" s="352" t="s">
        <v>110</v>
      </c>
      <c r="F39" s="353"/>
      <c r="G39" s="354"/>
      <c r="H39" s="4"/>
      <c r="I39" s="200">
        <v>2020</v>
      </c>
      <c r="J39" s="201"/>
      <c r="K39" s="202"/>
      <c r="L39" s="3"/>
      <c r="M39" s="792">
        <v>44491</v>
      </c>
      <c r="N39" s="793"/>
      <c r="O39" s="794"/>
      <c r="Q39" s="892" t="s">
        <v>111</v>
      </c>
      <c r="R39" s="893"/>
      <c r="T39" s="892" t="s">
        <v>111</v>
      </c>
      <c r="U39" s="893"/>
    </row>
    <row r="40" spans="2:21" ht="16.5" thickBot="1" x14ac:dyDescent="0.3">
      <c r="B40" s="347" t="s">
        <v>41</v>
      </c>
      <c r="C40" s="348"/>
      <c r="E40" s="212" t="s">
        <v>110</v>
      </c>
      <c r="F40" s="213"/>
      <c r="G40" s="214"/>
      <c r="H40" s="4"/>
      <c r="I40" s="215">
        <v>2020</v>
      </c>
      <c r="J40" s="216"/>
      <c r="K40" s="217"/>
      <c r="L40" s="3"/>
      <c r="M40" s="797">
        <v>44491</v>
      </c>
      <c r="N40" s="798"/>
      <c r="O40" s="799"/>
      <c r="Q40" s="898" t="s">
        <v>111</v>
      </c>
      <c r="R40" s="899"/>
      <c r="T40" s="898" t="s">
        <v>111</v>
      </c>
      <c r="U40" s="899"/>
    </row>
    <row r="41" spans="2:21" ht="15.75" x14ac:dyDescent="0.25">
      <c r="B41" s="9"/>
      <c r="C41" s="9"/>
      <c r="Q41" s="901"/>
      <c r="R41" s="901"/>
      <c r="S41"/>
      <c r="T41" s="901"/>
      <c r="U41" s="901"/>
    </row>
    <row r="42" spans="2:21" ht="15.75" x14ac:dyDescent="0.25">
      <c r="B42" s="604" t="s">
        <v>2</v>
      </c>
      <c r="C42" s="604"/>
      <c r="D42" s="6"/>
      <c r="E42" s="675" t="s">
        <v>45</v>
      </c>
      <c r="F42" s="675"/>
      <c r="G42" s="675"/>
      <c r="H42" s="7"/>
      <c r="I42" s="676" t="s">
        <v>457</v>
      </c>
      <c r="J42" s="676"/>
      <c r="K42" s="676"/>
      <c r="L42" s="2"/>
      <c r="M42" s="736" t="s">
        <v>667</v>
      </c>
      <c r="N42" s="736"/>
      <c r="O42" s="736"/>
      <c r="Q42" s="604" t="s">
        <v>503</v>
      </c>
      <c r="R42" s="604"/>
      <c r="T42" s="604" t="s">
        <v>507</v>
      </c>
      <c r="U42" s="604"/>
    </row>
    <row r="43" spans="2:21" ht="15.75" thickBot="1" x14ac:dyDescent="0.3">
      <c r="B43" s="596"/>
      <c r="C43" s="596"/>
      <c r="D43" s="5"/>
      <c r="E43" s="5"/>
    </row>
    <row r="44" spans="2:21" ht="15.75" x14ac:dyDescent="0.25">
      <c r="B44" s="664" t="s">
        <v>23</v>
      </c>
      <c r="C44" s="665"/>
      <c r="D44" s="137"/>
      <c r="E44" s="666" t="s">
        <v>763</v>
      </c>
      <c r="F44" s="667"/>
      <c r="G44" s="668"/>
      <c r="H44" s="4"/>
      <c r="I44" s="200" t="s">
        <v>111</v>
      </c>
      <c r="J44" s="201"/>
      <c r="K44" s="202"/>
      <c r="L44" s="3"/>
      <c r="M44" s="792" t="s">
        <v>111</v>
      </c>
      <c r="N44" s="793"/>
      <c r="O44" s="794"/>
      <c r="Q44" s="892" t="s">
        <v>111</v>
      </c>
      <c r="R44" s="893"/>
      <c r="T44" s="892" t="s">
        <v>111</v>
      </c>
      <c r="U44" s="893"/>
    </row>
    <row r="45" spans="2:21" ht="15.75" x14ac:dyDescent="0.25">
      <c r="B45" s="656" t="s">
        <v>24</v>
      </c>
      <c r="C45" s="657"/>
      <c r="D45" s="137"/>
      <c r="E45" s="270" t="s">
        <v>763</v>
      </c>
      <c r="F45" s="271"/>
      <c r="G45" s="272"/>
      <c r="H45" s="4"/>
      <c r="I45" s="226" t="s">
        <v>111</v>
      </c>
      <c r="J45" s="434"/>
      <c r="K45" s="435"/>
      <c r="L45" s="3"/>
      <c r="M45" s="809" t="s">
        <v>111</v>
      </c>
      <c r="N45" s="810"/>
      <c r="O45" s="811"/>
      <c r="Q45" s="894" t="s">
        <v>111</v>
      </c>
      <c r="R45" s="895"/>
      <c r="T45" s="894" t="s">
        <v>111</v>
      </c>
      <c r="U45" s="895"/>
    </row>
    <row r="46" spans="2:21" ht="15.75" x14ac:dyDescent="0.25">
      <c r="B46" s="656" t="s">
        <v>25</v>
      </c>
      <c r="C46" s="657"/>
      <c r="D46" s="137"/>
      <c r="E46" s="270" t="s">
        <v>763</v>
      </c>
      <c r="F46" s="271"/>
      <c r="G46" s="272"/>
      <c r="H46" s="4"/>
      <c r="I46" s="226" t="s">
        <v>111</v>
      </c>
      <c r="J46" s="434"/>
      <c r="K46" s="435"/>
      <c r="L46" s="3"/>
      <c r="M46" s="809" t="s">
        <v>111</v>
      </c>
      <c r="N46" s="810"/>
      <c r="O46" s="811"/>
      <c r="Q46" s="894" t="s">
        <v>111</v>
      </c>
      <c r="R46" s="895"/>
      <c r="T46" s="894" t="s">
        <v>111</v>
      </c>
      <c r="U46" s="895"/>
    </row>
    <row r="47" spans="2:21" ht="15.75" x14ac:dyDescent="0.25">
      <c r="B47" s="656" t="s">
        <v>26</v>
      </c>
      <c r="C47" s="657"/>
      <c r="D47" s="137"/>
      <c r="E47" s="270" t="s">
        <v>763</v>
      </c>
      <c r="F47" s="271"/>
      <c r="G47" s="272"/>
      <c r="H47" s="4"/>
      <c r="I47" s="226" t="s">
        <v>111</v>
      </c>
      <c r="J47" s="434"/>
      <c r="K47" s="435"/>
      <c r="L47" s="3"/>
      <c r="M47" s="809" t="s">
        <v>111</v>
      </c>
      <c r="N47" s="810"/>
      <c r="O47" s="811"/>
      <c r="Q47" s="894" t="s">
        <v>111</v>
      </c>
      <c r="R47" s="895"/>
      <c r="T47" s="894" t="s">
        <v>111</v>
      </c>
      <c r="U47" s="895"/>
    </row>
    <row r="48" spans="2:21" ht="15.75" x14ac:dyDescent="0.25">
      <c r="B48" s="656" t="s">
        <v>27</v>
      </c>
      <c r="C48" s="657"/>
      <c r="D48" s="137"/>
      <c r="E48" s="270" t="s">
        <v>763</v>
      </c>
      <c r="F48" s="271"/>
      <c r="G48" s="272"/>
      <c r="H48" s="4"/>
      <c r="I48" s="226" t="s">
        <v>111</v>
      </c>
      <c r="J48" s="434"/>
      <c r="K48" s="435"/>
      <c r="L48" s="3"/>
      <c r="M48" s="809" t="s">
        <v>111</v>
      </c>
      <c r="N48" s="810"/>
      <c r="O48" s="811"/>
      <c r="Q48" s="894" t="s">
        <v>111</v>
      </c>
      <c r="R48" s="895"/>
      <c r="T48" s="894" t="s">
        <v>111</v>
      </c>
      <c r="U48" s="895"/>
    </row>
    <row r="49" spans="2:21" ht="15.75" x14ac:dyDescent="0.25">
      <c r="B49" s="656" t="s">
        <v>28</v>
      </c>
      <c r="C49" s="657"/>
      <c r="D49" s="137"/>
      <c r="E49" s="270" t="s">
        <v>763</v>
      </c>
      <c r="F49" s="271"/>
      <c r="G49" s="272"/>
      <c r="H49" s="4"/>
      <c r="I49" s="226" t="s">
        <v>111</v>
      </c>
      <c r="J49" s="434"/>
      <c r="K49" s="435"/>
      <c r="L49" s="3"/>
      <c r="M49" s="809" t="s">
        <v>111</v>
      </c>
      <c r="N49" s="810"/>
      <c r="O49" s="811"/>
      <c r="Q49" s="894" t="s">
        <v>111</v>
      </c>
      <c r="R49" s="895"/>
      <c r="T49" s="894" t="s">
        <v>111</v>
      </c>
      <c r="U49" s="895"/>
    </row>
    <row r="50" spans="2:21" ht="15.75" x14ac:dyDescent="0.25">
      <c r="B50" s="656" t="s">
        <v>29</v>
      </c>
      <c r="C50" s="657"/>
      <c r="D50" s="137"/>
      <c r="E50" s="270" t="s">
        <v>763</v>
      </c>
      <c r="F50" s="271"/>
      <c r="G50" s="272"/>
      <c r="H50" s="4"/>
      <c r="I50" s="226" t="s">
        <v>111</v>
      </c>
      <c r="J50" s="434"/>
      <c r="K50" s="435"/>
      <c r="L50" s="3"/>
      <c r="M50" s="809" t="s">
        <v>111</v>
      </c>
      <c r="N50" s="810"/>
      <c r="O50" s="811"/>
      <c r="Q50" s="894" t="s">
        <v>111</v>
      </c>
      <c r="R50" s="895"/>
      <c r="T50" s="894" t="s">
        <v>111</v>
      </c>
      <c r="U50" s="895"/>
    </row>
    <row r="51" spans="2:21" ht="16.5" thickBot="1" x14ac:dyDescent="0.3">
      <c r="B51" s="265" t="s">
        <v>30</v>
      </c>
      <c r="C51" s="266"/>
      <c r="D51" s="135"/>
      <c r="E51" s="398" t="s">
        <v>763</v>
      </c>
      <c r="F51" s="399"/>
      <c r="G51" s="400"/>
      <c r="I51" s="215" t="s">
        <v>111</v>
      </c>
      <c r="J51" s="216"/>
      <c r="K51" s="217"/>
      <c r="M51" s="797" t="s">
        <v>111</v>
      </c>
      <c r="N51" s="798"/>
      <c r="O51" s="799"/>
      <c r="Q51" s="898" t="s">
        <v>111</v>
      </c>
      <c r="R51" s="899"/>
      <c r="T51" s="898" t="s">
        <v>111</v>
      </c>
      <c r="U51" s="899"/>
    </row>
    <row r="53" spans="2:21" ht="15.75" x14ac:dyDescent="0.25">
      <c r="B53" s="623" t="s">
        <v>50</v>
      </c>
      <c r="C53" s="623"/>
      <c r="E53" s="661" t="s">
        <v>45</v>
      </c>
      <c r="F53" s="661"/>
      <c r="G53" s="661"/>
      <c r="H53" s="7"/>
      <c r="I53" s="662" t="s">
        <v>457</v>
      </c>
      <c r="J53" s="662"/>
      <c r="K53" s="662"/>
      <c r="L53" s="2"/>
      <c r="M53" s="663" t="s">
        <v>667</v>
      </c>
      <c r="N53" s="663"/>
      <c r="O53" s="663"/>
      <c r="Q53" s="623" t="s">
        <v>503</v>
      </c>
      <c r="R53" s="623"/>
      <c r="T53" s="623" t="s">
        <v>507</v>
      </c>
      <c r="U53" s="623"/>
    </row>
    <row r="54" spans="2:21" ht="16.5" thickBot="1" x14ac:dyDescent="0.3">
      <c r="B54" s="9"/>
      <c r="C54" s="9"/>
    </row>
    <row r="55" spans="2:21" ht="15.75" x14ac:dyDescent="0.25">
      <c r="B55" s="664" t="s">
        <v>108</v>
      </c>
      <c r="C55" s="665"/>
      <c r="D55" s="139"/>
      <c r="E55" s="666" t="s">
        <v>763</v>
      </c>
      <c r="F55" s="667"/>
      <c r="G55" s="668"/>
      <c r="H55" s="4"/>
      <c r="I55" s="200" t="s">
        <v>111</v>
      </c>
      <c r="J55" s="201"/>
      <c r="K55" s="202"/>
      <c r="L55" s="3"/>
      <c r="M55" s="792" t="s">
        <v>111</v>
      </c>
      <c r="N55" s="793"/>
      <c r="O55" s="794"/>
      <c r="Q55" s="878" t="s">
        <v>111</v>
      </c>
      <c r="R55" s="879"/>
      <c r="T55" s="878" t="s">
        <v>111</v>
      </c>
      <c r="U55" s="879"/>
    </row>
    <row r="56" spans="2:21" ht="16.5" thickBot="1" x14ac:dyDescent="0.3">
      <c r="B56" s="265" t="s">
        <v>109</v>
      </c>
      <c r="C56" s="266"/>
      <c r="D56" s="139"/>
      <c r="E56" s="398" t="s">
        <v>763</v>
      </c>
      <c r="F56" s="399"/>
      <c r="G56" s="400"/>
      <c r="H56" s="4"/>
      <c r="I56" s="215" t="s">
        <v>111</v>
      </c>
      <c r="J56" s="216"/>
      <c r="K56" s="217"/>
      <c r="L56" s="3"/>
      <c r="M56" s="797" t="s">
        <v>111</v>
      </c>
      <c r="N56" s="798"/>
      <c r="O56" s="799"/>
      <c r="Q56" s="619" t="s">
        <v>111</v>
      </c>
      <c r="R56" s="620"/>
      <c r="T56" s="619" t="s">
        <v>111</v>
      </c>
      <c r="U56" s="620"/>
    </row>
    <row r="58" spans="2:21" ht="15.75" x14ac:dyDescent="0.25">
      <c r="B58" s="601" t="s">
        <v>114</v>
      </c>
      <c r="C58" s="601"/>
      <c r="E58" s="632" t="s">
        <v>45</v>
      </c>
      <c r="F58" s="632"/>
      <c r="G58" s="632"/>
      <c r="H58" s="7"/>
      <c r="I58" s="633" t="s">
        <v>457</v>
      </c>
      <c r="J58" s="633"/>
      <c r="K58" s="633"/>
      <c r="L58" s="2"/>
      <c r="M58" s="634" t="s">
        <v>667</v>
      </c>
      <c r="N58" s="634"/>
      <c r="O58" s="634"/>
      <c r="Q58" s="601" t="s">
        <v>503</v>
      </c>
      <c r="R58" s="601"/>
      <c r="T58" s="601" t="s">
        <v>507</v>
      </c>
      <c r="U58" s="601"/>
    </row>
    <row r="59" spans="2:21" ht="16.5" thickBot="1" x14ac:dyDescent="0.3">
      <c r="B59" s="9"/>
      <c r="C59" s="9"/>
    </row>
    <row r="60" spans="2:21" ht="16.5" thickBot="1" x14ac:dyDescent="0.3">
      <c r="B60" s="635" t="s">
        <v>529</v>
      </c>
      <c r="C60" s="636"/>
      <c r="E60" s="637" t="s">
        <v>110</v>
      </c>
      <c r="F60" s="638"/>
      <c r="G60" s="639"/>
      <c r="H60" s="4"/>
      <c r="I60" s="550">
        <v>2020</v>
      </c>
      <c r="J60" s="641"/>
      <c r="K60" s="642"/>
      <c r="L60" s="3"/>
      <c r="M60" s="772">
        <v>44490</v>
      </c>
      <c r="N60" s="882"/>
      <c r="O60" s="883"/>
      <c r="Q60" s="880" t="s">
        <v>111</v>
      </c>
      <c r="R60" s="881"/>
      <c r="T60" s="880" t="s">
        <v>111</v>
      </c>
      <c r="U60" s="881"/>
    </row>
    <row r="62" spans="2:21" x14ac:dyDescent="0.25">
      <c r="T62" s="875"/>
      <c r="U62" s="875"/>
    </row>
    <row r="63" spans="2:21" x14ac:dyDescent="0.25">
      <c r="T63" s="875"/>
      <c r="U63" s="875"/>
    </row>
    <row r="64" spans="2:21" x14ac:dyDescent="0.25">
      <c r="T64" s="875"/>
      <c r="U64" s="875"/>
    </row>
    <row r="65" spans="20:21" x14ac:dyDescent="0.25">
      <c r="T65" s="875"/>
      <c r="U65" s="875"/>
    </row>
  </sheetData>
  <mergeCells count="247">
    <mergeCell ref="Q56:R56"/>
    <mergeCell ref="T56:U56"/>
    <mergeCell ref="Q58:R58"/>
    <mergeCell ref="T58:U58"/>
    <mergeCell ref="Q39:R39"/>
    <mergeCell ref="T39:U39"/>
    <mergeCell ref="Q50:R50"/>
    <mergeCell ref="T50:U50"/>
    <mergeCell ref="Q51:R51"/>
    <mergeCell ref="T51:U51"/>
    <mergeCell ref="Q53:R53"/>
    <mergeCell ref="T53:U53"/>
    <mergeCell ref="Q45:R45"/>
    <mergeCell ref="T45:U45"/>
    <mergeCell ref="Q46:R46"/>
    <mergeCell ref="T46:U46"/>
    <mergeCell ref="Q47:R47"/>
    <mergeCell ref="T47:U47"/>
    <mergeCell ref="Q48:R48"/>
    <mergeCell ref="T48:U48"/>
    <mergeCell ref="Q49:R49"/>
    <mergeCell ref="T49:U49"/>
    <mergeCell ref="Q37:R37"/>
    <mergeCell ref="T37:U37"/>
    <mergeCell ref="Q40:R40"/>
    <mergeCell ref="T40:U40"/>
    <mergeCell ref="Q41:R41"/>
    <mergeCell ref="T41:U41"/>
    <mergeCell ref="Q42:R42"/>
    <mergeCell ref="T42:U42"/>
    <mergeCell ref="Q44:R44"/>
    <mergeCell ref="T44:U44"/>
    <mergeCell ref="Q32:R32"/>
    <mergeCell ref="T32:U32"/>
    <mergeCell ref="Q33:R33"/>
    <mergeCell ref="T33:U33"/>
    <mergeCell ref="Q34:R34"/>
    <mergeCell ref="T34:U34"/>
    <mergeCell ref="Q35:R35"/>
    <mergeCell ref="T35:U35"/>
    <mergeCell ref="Q36:R36"/>
    <mergeCell ref="T36:U36"/>
    <mergeCell ref="Q26:R26"/>
    <mergeCell ref="T26:U26"/>
    <mergeCell ref="Q27:R27"/>
    <mergeCell ref="T27:U27"/>
    <mergeCell ref="Q28:R28"/>
    <mergeCell ref="T28:U28"/>
    <mergeCell ref="Q29:R29"/>
    <mergeCell ref="T29:U29"/>
    <mergeCell ref="Q30:R30"/>
    <mergeCell ref="T30:U30"/>
    <mergeCell ref="Q20:R20"/>
    <mergeCell ref="T20:U20"/>
    <mergeCell ref="Q21:R21"/>
    <mergeCell ref="T21:U21"/>
    <mergeCell ref="Q23:R23"/>
    <mergeCell ref="T23:U23"/>
    <mergeCell ref="Q24:R24"/>
    <mergeCell ref="T24:U24"/>
    <mergeCell ref="Q25:R25"/>
    <mergeCell ref="T25:U25"/>
    <mergeCell ref="Q15:R15"/>
    <mergeCell ref="T15:U15"/>
    <mergeCell ref="Q16:R16"/>
    <mergeCell ref="T16:U16"/>
    <mergeCell ref="Q17:R17"/>
    <mergeCell ref="T17:U17"/>
    <mergeCell ref="Q18:R18"/>
    <mergeCell ref="T18:U18"/>
    <mergeCell ref="Q19:R19"/>
    <mergeCell ref="T19:U19"/>
    <mergeCell ref="Q11:R11"/>
    <mergeCell ref="T11:U11"/>
    <mergeCell ref="Q12:R12"/>
    <mergeCell ref="T12:U12"/>
    <mergeCell ref="Q13:R13"/>
    <mergeCell ref="T13:U13"/>
    <mergeCell ref="Q14:R14"/>
    <mergeCell ref="T14:U14"/>
    <mergeCell ref="B16:C16"/>
    <mergeCell ref="E16:G16"/>
    <mergeCell ref="I16:K16"/>
    <mergeCell ref="M16:O16"/>
    <mergeCell ref="B11:C11"/>
    <mergeCell ref="E11:G11"/>
    <mergeCell ref="I11:K11"/>
    <mergeCell ref="M11:O11"/>
    <mergeCell ref="B12:C12"/>
    <mergeCell ref="B13:C13"/>
    <mergeCell ref="E13:G13"/>
    <mergeCell ref="I13:K13"/>
    <mergeCell ref="M13:O13"/>
    <mergeCell ref="B14:C14"/>
    <mergeCell ref="B15:C15"/>
    <mergeCell ref="E14:G14"/>
    <mergeCell ref="E15:G15"/>
    <mergeCell ref="I14:K14"/>
    <mergeCell ref="I15:K15"/>
    <mergeCell ref="M14:O14"/>
    <mergeCell ref="M15:O15"/>
    <mergeCell ref="B19:C19"/>
    <mergeCell ref="E19:G19"/>
    <mergeCell ref="I19:K19"/>
    <mergeCell ref="M19:O19"/>
    <mergeCell ref="B21:C21"/>
    <mergeCell ref="E21:G21"/>
    <mergeCell ref="I21:K21"/>
    <mergeCell ref="M21:O21"/>
    <mergeCell ref="B17:C17"/>
    <mergeCell ref="E17:G17"/>
    <mergeCell ref="I17:K17"/>
    <mergeCell ref="M17:O17"/>
    <mergeCell ref="B18:C18"/>
    <mergeCell ref="E18:G18"/>
    <mergeCell ref="I18:K18"/>
    <mergeCell ref="M18:O18"/>
    <mergeCell ref="B20:C20"/>
    <mergeCell ref="E20:G20"/>
    <mergeCell ref="I20:K20"/>
    <mergeCell ref="M20:O20"/>
    <mergeCell ref="B23:C23"/>
    <mergeCell ref="E23:G23"/>
    <mergeCell ref="I23:K23"/>
    <mergeCell ref="M23:O23"/>
    <mergeCell ref="B24:C24"/>
    <mergeCell ref="B25:C25"/>
    <mergeCell ref="E25:G25"/>
    <mergeCell ref="I25:K25"/>
    <mergeCell ref="M25:O25"/>
    <mergeCell ref="B28:C28"/>
    <mergeCell ref="E28:G28"/>
    <mergeCell ref="I28:K28"/>
    <mergeCell ref="M28:O28"/>
    <mergeCell ref="B29:C29"/>
    <mergeCell ref="E29:G29"/>
    <mergeCell ref="I29:K29"/>
    <mergeCell ref="M29:O29"/>
    <mergeCell ref="B26:C26"/>
    <mergeCell ref="E26:G26"/>
    <mergeCell ref="I26:K26"/>
    <mergeCell ref="M26:O26"/>
    <mergeCell ref="B27:C27"/>
    <mergeCell ref="E27:G27"/>
    <mergeCell ref="I27:K27"/>
    <mergeCell ref="M27:O27"/>
    <mergeCell ref="B33:C33"/>
    <mergeCell ref="E33:G33"/>
    <mergeCell ref="I33:K33"/>
    <mergeCell ref="M33:O33"/>
    <mergeCell ref="B34:C34"/>
    <mergeCell ref="E34:G34"/>
    <mergeCell ref="I34:K34"/>
    <mergeCell ref="M34:O34"/>
    <mergeCell ref="B30:C30"/>
    <mergeCell ref="E30:G30"/>
    <mergeCell ref="I30:K30"/>
    <mergeCell ref="M30:O30"/>
    <mergeCell ref="B32:C32"/>
    <mergeCell ref="E32:G32"/>
    <mergeCell ref="I32:K32"/>
    <mergeCell ref="M32:O32"/>
    <mergeCell ref="B31:C31"/>
    <mergeCell ref="E31:G31"/>
    <mergeCell ref="I31:K31"/>
    <mergeCell ref="M31:O31"/>
    <mergeCell ref="B39:C39"/>
    <mergeCell ref="E39:G39"/>
    <mergeCell ref="I39:K39"/>
    <mergeCell ref="M39:O39"/>
    <mergeCell ref="B40:C40"/>
    <mergeCell ref="E40:G40"/>
    <mergeCell ref="I40:K40"/>
    <mergeCell ref="M40:O40"/>
    <mergeCell ref="B35:C35"/>
    <mergeCell ref="E35:G35"/>
    <mergeCell ref="I35:K35"/>
    <mergeCell ref="M35:O35"/>
    <mergeCell ref="B37:C37"/>
    <mergeCell ref="E37:G37"/>
    <mergeCell ref="I37:K37"/>
    <mergeCell ref="M37:O37"/>
    <mergeCell ref="B42:C42"/>
    <mergeCell ref="E42:G42"/>
    <mergeCell ref="I42:K42"/>
    <mergeCell ref="M42:O42"/>
    <mergeCell ref="B43:C43"/>
    <mergeCell ref="B44:C44"/>
    <mergeCell ref="E44:G44"/>
    <mergeCell ref="I44:K44"/>
    <mergeCell ref="M44:O44"/>
    <mergeCell ref="B47:C47"/>
    <mergeCell ref="E47:G47"/>
    <mergeCell ref="I47:K47"/>
    <mergeCell ref="M47:O47"/>
    <mergeCell ref="B48:C48"/>
    <mergeCell ref="E48:G48"/>
    <mergeCell ref="I48:K48"/>
    <mergeCell ref="M48:O48"/>
    <mergeCell ref="B45:C45"/>
    <mergeCell ref="E45:G45"/>
    <mergeCell ref="I45:K45"/>
    <mergeCell ref="M45:O45"/>
    <mergeCell ref="B46:C46"/>
    <mergeCell ref="E46:G46"/>
    <mergeCell ref="I46:K46"/>
    <mergeCell ref="M46:O46"/>
    <mergeCell ref="B49:C49"/>
    <mergeCell ref="E49:G49"/>
    <mergeCell ref="I49:K49"/>
    <mergeCell ref="B55:C55"/>
    <mergeCell ref="E55:G55"/>
    <mergeCell ref="I55:K55"/>
    <mergeCell ref="M55:O55"/>
    <mergeCell ref="B56:C56"/>
    <mergeCell ref="E56:G56"/>
    <mergeCell ref="I56:K56"/>
    <mergeCell ref="M56:O56"/>
    <mergeCell ref="M49:O49"/>
    <mergeCell ref="B50:C50"/>
    <mergeCell ref="E50:G50"/>
    <mergeCell ref="I50:K50"/>
    <mergeCell ref="M50:O50"/>
    <mergeCell ref="T62:U65"/>
    <mergeCell ref="Q31:R31"/>
    <mergeCell ref="T31:U31"/>
    <mergeCell ref="Q55:R55"/>
    <mergeCell ref="T55:U55"/>
    <mergeCell ref="Q60:R60"/>
    <mergeCell ref="T60:U60"/>
    <mergeCell ref="A7:U7"/>
    <mergeCell ref="B58:C58"/>
    <mergeCell ref="E58:G58"/>
    <mergeCell ref="I58:K58"/>
    <mergeCell ref="M58:O58"/>
    <mergeCell ref="B60:C60"/>
    <mergeCell ref="E60:G60"/>
    <mergeCell ref="I60:K60"/>
    <mergeCell ref="M60:O60"/>
    <mergeCell ref="B51:C51"/>
    <mergeCell ref="E51:G51"/>
    <mergeCell ref="I51:K51"/>
    <mergeCell ref="M51:O51"/>
    <mergeCell ref="B53:C53"/>
    <mergeCell ref="E53:G53"/>
    <mergeCell ref="I53:K53"/>
    <mergeCell ref="M53:O53"/>
  </mergeCell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33CC"/>
  </sheetPr>
  <dimension ref="A1:W68"/>
  <sheetViews>
    <sheetView workbookViewId="0">
      <pane ySplit="6" topLeftCell="A55" activePane="bottomLeft" state="frozen"/>
      <selection pane="bottomLeft" activeCell="Q62" sqref="Q62:S62"/>
    </sheetView>
  </sheetViews>
  <sheetFormatPr defaultColWidth="9.140625" defaultRowHeight="15" x14ac:dyDescent="0.25"/>
  <cols>
    <col min="1" max="1" width="1.7109375" style="1" customWidth="1"/>
    <col min="2" max="3" width="9.140625" style="1"/>
    <col min="4" max="4" width="1.7109375" style="1" customWidth="1"/>
    <col min="5" max="7" width="9.140625" style="1"/>
    <col min="8" max="8" width="1.7109375" style="1" customWidth="1"/>
    <col min="9" max="10" width="9.140625" style="1"/>
    <col min="11" max="11" width="10.7109375" style="1" customWidth="1"/>
    <col min="12" max="12" width="1.7109375" style="1" customWidth="1"/>
    <col min="13" max="14" width="9.140625" style="1"/>
    <col min="15" max="15" width="14" style="1" customWidth="1"/>
    <col min="16" max="16" width="1.7109375" style="1" customWidth="1"/>
    <col min="17" max="19" width="9.140625" style="1"/>
    <col min="20" max="20" width="1.7109375" style="1" customWidth="1"/>
    <col min="21" max="16384" width="9.140625" style="1"/>
  </cols>
  <sheetData>
    <row r="1" spans="1:23" s="150" customFormat="1" x14ac:dyDescent="0.25"/>
    <row r="2" spans="1:23" s="150" customFormat="1" x14ac:dyDescent="0.25"/>
    <row r="3" spans="1:23" s="150" customFormat="1" x14ac:dyDescent="0.25"/>
    <row r="4" spans="1:23" s="150" customFormat="1" x14ac:dyDescent="0.25"/>
    <row r="5" spans="1:23" s="150" customFormat="1" x14ac:dyDescent="0.25"/>
    <row r="6" spans="1:23" s="150" customFormat="1" x14ac:dyDescent="0.25"/>
    <row r="7" spans="1:23" s="150" customFormat="1" ht="21" customHeight="1" x14ac:dyDescent="0.25">
      <c r="A7" s="582" t="s">
        <v>750</v>
      </c>
      <c r="B7" s="582"/>
      <c r="C7" s="582"/>
      <c r="D7" s="582"/>
      <c r="E7" s="582"/>
      <c r="F7" s="582"/>
      <c r="G7" s="582"/>
      <c r="H7" s="582"/>
      <c r="I7" s="582"/>
      <c r="J7" s="582"/>
      <c r="K7" s="582"/>
      <c r="L7" s="582"/>
      <c r="M7" s="582"/>
      <c r="N7" s="582"/>
      <c r="O7" s="582"/>
      <c r="P7" s="582"/>
      <c r="Q7" s="582"/>
      <c r="R7" s="582"/>
      <c r="S7" s="582"/>
      <c r="T7" s="582"/>
      <c r="U7" s="582"/>
      <c r="V7" s="582"/>
      <c r="W7" s="582"/>
    </row>
    <row r="8" spans="1:23" s="150" customFormat="1" x14ac:dyDescent="0.25"/>
    <row r="9" spans="1:23" s="150" customFormat="1" x14ac:dyDescent="0.25"/>
    <row r="10" spans="1:23" s="150" customFormat="1" x14ac:dyDescent="0.25"/>
    <row r="11" spans="1:23" ht="15.75" x14ac:dyDescent="0.25">
      <c r="B11" s="595" t="s">
        <v>0</v>
      </c>
      <c r="C11" s="595"/>
      <c r="D11" s="6"/>
      <c r="E11" s="955" t="s">
        <v>49</v>
      </c>
      <c r="F11" s="681"/>
      <c r="G11" s="681"/>
      <c r="H11" s="7"/>
      <c r="I11" s="691" t="s">
        <v>457</v>
      </c>
      <c r="J11" s="691"/>
      <c r="K11" s="691"/>
      <c r="L11" s="2"/>
      <c r="M11" s="691" t="s">
        <v>508</v>
      </c>
      <c r="N11" s="691"/>
      <c r="O11" s="691"/>
      <c r="Q11" s="692" t="s">
        <v>503</v>
      </c>
      <c r="R11" s="692"/>
      <c r="S11" s="692"/>
      <c r="U11" s="692" t="s">
        <v>507</v>
      </c>
      <c r="V11" s="692"/>
      <c r="W11" s="692"/>
    </row>
    <row r="12" spans="1:23" ht="15.75" thickBot="1" x14ac:dyDescent="0.3">
      <c r="B12" s="596"/>
      <c r="C12" s="596"/>
      <c r="D12" s="5"/>
      <c r="E12" s="5"/>
    </row>
    <row r="13" spans="1:23" ht="15.75" x14ac:dyDescent="0.25">
      <c r="B13" s="896" t="s">
        <v>112</v>
      </c>
      <c r="C13" s="897"/>
      <c r="D13" s="137"/>
      <c r="E13" s="816" t="s">
        <v>763</v>
      </c>
      <c r="F13" s="817"/>
      <c r="G13" s="818"/>
      <c r="H13" s="166"/>
      <c r="I13" s="816" t="s">
        <v>763</v>
      </c>
      <c r="J13" s="817"/>
      <c r="K13" s="818"/>
      <c r="L13" s="167"/>
      <c r="M13" s="816" t="s">
        <v>763</v>
      </c>
      <c r="N13" s="817"/>
      <c r="O13" s="818"/>
      <c r="P13" s="168"/>
      <c r="Q13" s="816" t="s">
        <v>763</v>
      </c>
      <c r="R13" s="817"/>
      <c r="S13" s="818"/>
      <c r="T13" s="168"/>
      <c r="U13" s="816" t="s">
        <v>763</v>
      </c>
      <c r="V13" s="817"/>
      <c r="W13" s="818"/>
    </row>
    <row r="14" spans="1:23" ht="15.75" x14ac:dyDescent="0.25">
      <c r="B14" s="239" t="s">
        <v>4</v>
      </c>
      <c r="C14" s="240"/>
      <c r="D14" s="5"/>
      <c r="E14" s="226" t="s">
        <v>66</v>
      </c>
      <c r="F14" s="434"/>
      <c r="G14" s="435"/>
      <c r="H14" s="4"/>
      <c r="I14" s="226" t="s">
        <v>111</v>
      </c>
      <c r="J14" s="434"/>
      <c r="K14" s="435"/>
      <c r="L14" s="3"/>
      <c r="M14" s="226" t="s">
        <v>660</v>
      </c>
      <c r="N14" s="434"/>
      <c r="O14" s="435"/>
      <c r="Q14" s="232" t="s">
        <v>111</v>
      </c>
      <c r="R14" s="233"/>
      <c r="S14" s="234"/>
      <c r="U14" s="855" t="s">
        <v>854</v>
      </c>
      <c r="V14" s="845"/>
      <c r="W14" s="846"/>
    </row>
    <row r="15" spans="1:23" ht="15.75" x14ac:dyDescent="0.25">
      <c r="B15" s="953" t="s">
        <v>5</v>
      </c>
      <c r="C15" s="954"/>
      <c r="D15" s="137"/>
      <c r="E15" s="816" t="s">
        <v>763</v>
      </c>
      <c r="F15" s="817"/>
      <c r="G15" s="818"/>
      <c r="H15" s="166"/>
      <c r="I15" s="816" t="s">
        <v>763</v>
      </c>
      <c r="J15" s="817"/>
      <c r="K15" s="818"/>
      <c r="L15" s="167"/>
      <c r="M15" s="816" t="s">
        <v>763</v>
      </c>
      <c r="N15" s="817"/>
      <c r="O15" s="818"/>
      <c r="P15" s="168"/>
      <c r="Q15" s="816" t="s">
        <v>763</v>
      </c>
      <c r="R15" s="817"/>
      <c r="S15" s="818"/>
      <c r="T15" s="168"/>
      <c r="U15" s="816" t="s">
        <v>763</v>
      </c>
      <c r="V15" s="817"/>
      <c r="W15" s="818"/>
    </row>
    <row r="16" spans="1:23" ht="15.75" x14ac:dyDescent="0.25">
      <c r="B16" s="239" t="s">
        <v>6</v>
      </c>
      <c r="C16" s="240"/>
      <c r="D16" s="5"/>
      <c r="E16" s="253" t="s">
        <v>99</v>
      </c>
      <c r="F16" s="254"/>
      <c r="G16" s="255"/>
      <c r="H16" s="4"/>
      <c r="I16" s="226" t="s">
        <v>111</v>
      </c>
      <c r="J16" s="434"/>
      <c r="K16" s="435"/>
      <c r="L16" s="3"/>
      <c r="M16" s="226" t="s">
        <v>606</v>
      </c>
      <c r="N16" s="434"/>
      <c r="O16" s="435"/>
      <c r="Q16" s="804" t="s">
        <v>111</v>
      </c>
      <c r="R16" s="805"/>
      <c r="S16" s="806"/>
      <c r="U16" s="928" t="s">
        <v>111</v>
      </c>
      <c r="V16" s="918"/>
      <c r="W16" s="919"/>
    </row>
    <row r="17" spans="2:23" ht="15.75" x14ac:dyDescent="0.25">
      <c r="B17" s="239" t="s">
        <v>7</v>
      </c>
      <c r="C17" s="240"/>
      <c r="D17" s="5"/>
      <c r="E17" s="253" t="s">
        <v>66</v>
      </c>
      <c r="F17" s="254"/>
      <c r="G17" s="255"/>
      <c r="H17" s="4"/>
      <c r="I17" s="226" t="s">
        <v>111</v>
      </c>
      <c r="J17" s="434"/>
      <c r="K17" s="435"/>
      <c r="L17" s="3"/>
      <c r="M17" s="226" t="s">
        <v>660</v>
      </c>
      <c r="N17" s="434"/>
      <c r="O17" s="435"/>
      <c r="Q17" s="804" t="s">
        <v>111</v>
      </c>
      <c r="R17" s="805"/>
      <c r="S17" s="806"/>
      <c r="U17" s="928" t="s">
        <v>860</v>
      </c>
      <c r="V17" s="918"/>
      <c r="W17" s="919"/>
    </row>
    <row r="18" spans="2:23" ht="15.75" x14ac:dyDescent="0.25">
      <c r="B18" s="239" t="s">
        <v>8</v>
      </c>
      <c r="C18" s="240"/>
      <c r="D18" s="5"/>
      <c r="E18" s="253" t="s">
        <v>85</v>
      </c>
      <c r="F18" s="254"/>
      <c r="G18" s="255"/>
      <c r="H18" s="4"/>
      <c r="I18" s="226" t="s">
        <v>111</v>
      </c>
      <c r="J18" s="434"/>
      <c r="K18" s="435"/>
      <c r="L18" s="3"/>
      <c r="M18" s="226" t="s">
        <v>606</v>
      </c>
      <c r="N18" s="434"/>
      <c r="O18" s="435"/>
      <c r="Q18" s="804" t="s">
        <v>111</v>
      </c>
      <c r="R18" s="805"/>
      <c r="S18" s="806"/>
      <c r="U18" s="928" t="s">
        <v>111</v>
      </c>
      <c r="V18" s="918"/>
      <c r="W18" s="919"/>
    </row>
    <row r="19" spans="2:23" ht="15.75" x14ac:dyDescent="0.25">
      <c r="B19" s="239" t="s">
        <v>9</v>
      </c>
      <c r="C19" s="240"/>
      <c r="D19" s="5"/>
      <c r="E19" s="253" t="s">
        <v>66</v>
      </c>
      <c r="F19" s="254"/>
      <c r="G19" s="255"/>
      <c r="H19" s="4"/>
      <c r="I19" s="226" t="s">
        <v>111</v>
      </c>
      <c r="J19" s="434"/>
      <c r="K19" s="435"/>
      <c r="L19" s="3"/>
      <c r="M19" s="226" t="s">
        <v>660</v>
      </c>
      <c r="N19" s="434"/>
      <c r="O19" s="435"/>
      <c r="Q19" s="804" t="s">
        <v>111</v>
      </c>
      <c r="R19" s="805"/>
      <c r="S19" s="806"/>
      <c r="U19" s="928" t="s">
        <v>867</v>
      </c>
      <c r="V19" s="918"/>
      <c r="W19" s="919"/>
    </row>
    <row r="20" spans="2:23" ht="15.75" x14ac:dyDescent="0.25">
      <c r="B20" s="239" t="s">
        <v>10</v>
      </c>
      <c r="C20" s="240"/>
      <c r="D20" s="5"/>
      <c r="E20" s="226" t="s">
        <v>770</v>
      </c>
      <c r="F20" s="434"/>
      <c r="G20" s="435"/>
      <c r="H20" s="4"/>
      <c r="I20" s="226" t="s">
        <v>111</v>
      </c>
      <c r="J20" s="434"/>
      <c r="K20" s="435"/>
      <c r="L20" s="3"/>
      <c r="M20" s="226" t="s">
        <v>606</v>
      </c>
      <c r="N20" s="434"/>
      <c r="O20" s="435"/>
      <c r="Q20" s="232" t="s">
        <v>111</v>
      </c>
      <c r="R20" s="233"/>
      <c r="S20" s="234"/>
      <c r="U20" s="855" t="s">
        <v>875</v>
      </c>
      <c r="V20" s="845"/>
      <c r="W20" s="846"/>
    </row>
    <row r="21" spans="2:23" ht="16.5" thickBot="1" x14ac:dyDescent="0.3">
      <c r="B21" s="396" t="s">
        <v>113</v>
      </c>
      <c r="C21" s="397"/>
      <c r="D21" s="137"/>
      <c r="E21" s="816" t="s">
        <v>763</v>
      </c>
      <c r="F21" s="817"/>
      <c r="G21" s="818"/>
      <c r="H21" s="166"/>
      <c r="I21" s="816" t="s">
        <v>763</v>
      </c>
      <c r="J21" s="817"/>
      <c r="K21" s="818"/>
      <c r="L21" s="167"/>
      <c r="M21" s="816" t="s">
        <v>763</v>
      </c>
      <c r="N21" s="817"/>
      <c r="O21" s="818"/>
      <c r="P21" s="168"/>
      <c r="Q21" s="816" t="s">
        <v>763</v>
      </c>
      <c r="R21" s="817"/>
      <c r="S21" s="818"/>
      <c r="T21" s="168"/>
      <c r="U21" s="816" t="s">
        <v>763</v>
      </c>
      <c r="V21" s="817"/>
      <c r="W21" s="818"/>
    </row>
    <row r="22" spans="2:23" x14ac:dyDescent="0.25">
      <c r="U22" s="106"/>
      <c r="V22" s="106"/>
      <c r="W22" s="106"/>
    </row>
    <row r="23" spans="2:23" x14ac:dyDescent="0.25">
      <c r="U23" s="106"/>
      <c r="V23" s="106"/>
      <c r="W23" s="106"/>
    </row>
    <row r="24" spans="2:23" ht="15.75" x14ac:dyDescent="0.25">
      <c r="B24" s="837" t="s">
        <v>1</v>
      </c>
      <c r="C24" s="837"/>
      <c r="D24" s="6"/>
      <c r="E24" s="838" t="s">
        <v>49</v>
      </c>
      <c r="F24" s="838"/>
      <c r="G24" s="838"/>
      <c r="H24" s="7"/>
      <c r="I24" s="839" t="s">
        <v>457</v>
      </c>
      <c r="J24" s="839"/>
      <c r="K24" s="839"/>
      <c r="L24" s="2"/>
      <c r="M24" s="839" t="s">
        <v>508</v>
      </c>
      <c r="N24" s="839"/>
      <c r="O24" s="839"/>
      <c r="Q24" s="905" t="s">
        <v>503</v>
      </c>
      <c r="R24" s="906"/>
      <c r="S24" s="907"/>
      <c r="U24" s="952" t="s">
        <v>507</v>
      </c>
      <c r="V24" s="952"/>
      <c r="W24" s="952"/>
    </row>
    <row r="25" spans="2:23" ht="15.75" thickBot="1" x14ac:dyDescent="0.3">
      <c r="B25" s="596"/>
      <c r="C25" s="596"/>
      <c r="D25" s="5"/>
      <c r="E25" s="5"/>
      <c r="U25" s="106"/>
      <c r="V25" s="106"/>
      <c r="W25" s="106"/>
    </row>
    <row r="26" spans="2:23" ht="15.75" x14ac:dyDescent="0.25">
      <c r="B26" s="389" t="s">
        <v>13</v>
      </c>
      <c r="C26" s="390"/>
      <c r="D26" s="5"/>
      <c r="E26" s="707" t="s">
        <v>69</v>
      </c>
      <c r="F26" s="708"/>
      <c r="G26" s="709"/>
      <c r="H26" s="4"/>
      <c r="I26" s="200" t="s">
        <v>111</v>
      </c>
      <c r="J26" s="201"/>
      <c r="K26" s="202"/>
      <c r="L26" s="3"/>
      <c r="M26" s="200" t="s">
        <v>606</v>
      </c>
      <c r="N26" s="201"/>
      <c r="O26" s="202"/>
      <c r="Q26" s="908" t="s">
        <v>111</v>
      </c>
      <c r="R26" s="909"/>
      <c r="S26" s="910"/>
      <c r="U26" s="935" t="s">
        <v>640</v>
      </c>
      <c r="V26" s="936"/>
      <c r="W26" s="937"/>
    </row>
    <row r="27" spans="2:23" ht="15.75" x14ac:dyDescent="0.25">
      <c r="B27" s="239" t="s">
        <v>14</v>
      </c>
      <c r="C27" s="240"/>
      <c r="D27" s="5"/>
      <c r="E27" s="363" t="s">
        <v>69</v>
      </c>
      <c r="F27" s="364"/>
      <c r="G27" s="365"/>
      <c r="H27" s="4"/>
      <c r="I27" s="226" t="s">
        <v>111</v>
      </c>
      <c r="J27" s="434"/>
      <c r="K27" s="435"/>
      <c r="L27" s="3"/>
      <c r="M27" s="226" t="s">
        <v>606</v>
      </c>
      <c r="N27" s="434"/>
      <c r="O27" s="435"/>
      <c r="Q27" s="911" t="s">
        <v>111</v>
      </c>
      <c r="R27" s="912"/>
      <c r="S27" s="913"/>
      <c r="U27" s="949"/>
      <c r="V27" s="950"/>
      <c r="W27" s="951"/>
    </row>
    <row r="28" spans="2:23" ht="15.75" x14ac:dyDescent="0.25">
      <c r="B28" s="239" t="s">
        <v>15</v>
      </c>
      <c r="C28" s="240"/>
      <c r="D28" s="5"/>
      <c r="E28" s="363" t="s">
        <v>66</v>
      </c>
      <c r="F28" s="364"/>
      <c r="G28" s="365"/>
      <c r="H28" s="4"/>
      <c r="I28" s="226" t="s">
        <v>111</v>
      </c>
      <c r="J28" s="434"/>
      <c r="K28" s="435"/>
      <c r="L28" s="3"/>
      <c r="M28" s="226" t="s">
        <v>660</v>
      </c>
      <c r="N28" s="434"/>
      <c r="O28" s="435"/>
      <c r="Q28" s="911" t="s">
        <v>111</v>
      </c>
      <c r="R28" s="912"/>
      <c r="S28" s="913"/>
      <c r="U28" s="928" t="s">
        <v>641</v>
      </c>
      <c r="V28" s="918"/>
      <c r="W28" s="919"/>
    </row>
    <row r="29" spans="2:23" ht="15.75" x14ac:dyDescent="0.25">
      <c r="B29" s="239" t="s">
        <v>16</v>
      </c>
      <c r="C29" s="240"/>
      <c r="D29" s="5"/>
      <c r="E29" s="363" t="s">
        <v>66</v>
      </c>
      <c r="F29" s="364"/>
      <c r="G29" s="365"/>
      <c r="H29" s="4"/>
      <c r="I29" s="226" t="s">
        <v>111</v>
      </c>
      <c r="J29" s="434"/>
      <c r="K29" s="435"/>
      <c r="L29" s="3"/>
      <c r="M29" s="226" t="s">
        <v>660</v>
      </c>
      <c r="N29" s="434"/>
      <c r="O29" s="435"/>
      <c r="Q29" s="911" t="s">
        <v>111</v>
      </c>
      <c r="R29" s="912"/>
      <c r="S29" s="913"/>
      <c r="U29" s="928" t="s">
        <v>642</v>
      </c>
      <c r="V29" s="918"/>
      <c r="W29" s="919"/>
    </row>
    <row r="30" spans="2:23" ht="15.75" x14ac:dyDescent="0.25">
      <c r="B30" s="239" t="s">
        <v>17</v>
      </c>
      <c r="C30" s="240"/>
      <c r="D30" s="5"/>
      <c r="E30" s="363" t="s">
        <v>66</v>
      </c>
      <c r="F30" s="364"/>
      <c r="G30" s="365"/>
      <c r="H30" s="4"/>
      <c r="I30" s="226" t="s">
        <v>111</v>
      </c>
      <c r="J30" s="434"/>
      <c r="K30" s="435"/>
      <c r="L30" s="3"/>
      <c r="M30" s="226" t="s">
        <v>660</v>
      </c>
      <c r="N30" s="434"/>
      <c r="O30" s="435"/>
      <c r="Q30" s="911" t="s">
        <v>111</v>
      </c>
      <c r="R30" s="912"/>
      <c r="S30" s="913"/>
      <c r="U30" s="928" t="s">
        <v>643</v>
      </c>
      <c r="V30" s="918"/>
      <c r="W30" s="919"/>
    </row>
    <row r="31" spans="2:23" ht="15.75" x14ac:dyDescent="0.25">
      <c r="B31" s="944" t="s">
        <v>18</v>
      </c>
      <c r="C31" s="945"/>
      <c r="D31" s="137"/>
      <c r="E31" s="816" t="s">
        <v>763</v>
      </c>
      <c r="F31" s="817"/>
      <c r="G31" s="818"/>
      <c r="H31" s="166"/>
      <c r="I31" s="816" t="s">
        <v>763</v>
      </c>
      <c r="J31" s="817"/>
      <c r="K31" s="818"/>
      <c r="L31" s="167"/>
      <c r="M31" s="816" t="s">
        <v>763</v>
      </c>
      <c r="N31" s="817"/>
      <c r="O31" s="818"/>
      <c r="P31" s="168"/>
      <c r="Q31" s="816" t="s">
        <v>763</v>
      </c>
      <c r="R31" s="817"/>
      <c r="S31" s="818"/>
      <c r="T31" s="168"/>
      <c r="U31" s="816" t="s">
        <v>763</v>
      </c>
      <c r="V31" s="817"/>
      <c r="W31" s="818"/>
    </row>
    <row r="32" spans="2:23" ht="15.75" x14ac:dyDescent="0.25">
      <c r="B32" s="261" t="s">
        <v>98</v>
      </c>
      <c r="C32" s="262"/>
      <c r="D32" s="5"/>
      <c r="E32" s="363" t="s">
        <v>66</v>
      </c>
      <c r="F32" s="364"/>
      <c r="G32" s="365"/>
      <c r="H32" s="4"/>
      <c r="I32" s="946" t="s">
        <v>111</v>
      </c>
      <c r="J32" s="947"/>
      <c r="K32" s="948"/>
      <c r="L32" s="3"/>
      <c r="M32" s="226" t="s">
        <v>660</v>
      </c>
      <c r="N32" s="434"/>
      <c r="O32" s="435"/>
      <c r="Q32" s="911" t="s">
        <v>111</v>
      </c>
      <c r="R32" s="912"/>
      <c r="S32" s="913"/>
      <c r="U32" s="917" t="s">
        <v>886</v>
      </c>
      <c r="V32" s="918"/>
      <c r="W32" s="919"/>
    </row>
    <row r="33" spans="2:23" ht="15.75" x14ac:dyDescent="0.25">
      <c r="B33" s="239" t="s">
        <v>19</v>
      </c>
      <c r="C33" s="240"/>
      <c r="D33" s="5"/>
      <c r="E33" s="363" t="s">
        <v>66</v>
      </c>
      <c r="F33" s="364"/>
      <c r="G33" s="365"/>
      <c r="H33" s="4"/>
      <c r="I33" s="226" t="s">
        <v>111</v>
      </c>
      <c r="J33" s="434"/>
      <c r="K33" s="435"/>
      <c r="L33" s="3"/>
      <c r="M33" s="226" t="s">
        <v>660</v>
      </c>
      <c r="N33" s="434"/>
      <c r="O33" s="435"/>
      <c r="Q33" s="911" t="s">
        <v>111</v>
      </c>
      <c r="R33" s="912"/>
      <c r="S33" s="913"/>
      <c r="U33" s="928" t="s">
        <v>645</v>
      </c>
      <c r="V33" s="918"/>
      <c r="W33" s="919"/>
    </row>
    <row r="34" spans="2:23" ht="15.75" x14ac:dyDescent="0.25">
      <c r="B34" s="239" t="s">
        <v>20</v>
      </c>
      <c r="C34" s="240"/>
      <c r="D34" s="5"/>
      <c r="E34" s="363" t="s">
        <v>66</v>
      </c>
      <c r="F34" s="364"/>
      <c r="G34" s="365"/>
      <c r="H34" s="4"/>
      <c r="I34" s="226" t="s">
        <v>111</v>
      </c>
      <c r="J34" s="434"/>
      <c r="K34" s="435"/>
      <c r="L34" s="3"/>
      <c r="M34" s="226" t="s">
        <v>660</v>
      </c>
      <c r="N34" s="434"/>
      <c r="O34" s="435"/>
      <c r="Q34" s="911" t="s">
        <v>111</v>
      </c>
      <c r="R34" s="912"/>
      <c r="S34" s="913"/>
      <c r="U34" s="928" t="s">
        <v>646</v>
      </c>
      <c r="V34" s="918"/>
      <c r="W34" s="919"/>
    </row>
    <row r="35" spans="2:23" ht="15.75" x14ac:dyDescent="0.25">
      <c r="B35" s="239" t="s">
        <v>21</v>
      </c>
      <c r="C35" s="240"/>
      <c r="E35" s="363" t="s">
        <v>69</v>
      </c>
      <c r="F35" s="364"/>
      <c r="G35" s="365"/>
      <c r="I35" s="226" t="s">
        <v>111</v>
      </c>
      <c r="J35" s="434"/>
      <c r="K35" s="435"/>
      <c r="M35" s="226" t="s">
        <v>606</v>
      </c>
      <c r="N35" s="434"/>
      <c r="O35" s="435"/>
      <c r="Q35" s="911" t="s">
        <v>111</v>
      </c>
      <c r="R35" s="912"/>
      <c r="S35" s="913"/>
      <c r="U35" s="928" t="s">
        <v>111</v>
      </c>
      <c r="V35" s="918"/>
      <c r="W35" s="919"/>
    </row>
    <row r="36" spans="2:23" ht="16.5" thickBot="1" x14ac:dyDescent="0.3">
      <c r="B36" s="938" t="s">
        <v>22</v>
      </c>
      <c r="C36" s="939"/>
      <c r="E36" s="816" t="s">
        <v>763</v>
      </c>
      <c r="F36" s="817"/>
      <c r="G36" s="818"/>
      <c r="H36" s="166"/>
      <c r="I36" s="816" t="s">
        <v>763</v>
      </c>
      <c r="J36" s="817"/>
      <c r="K36" s="818"/>
      <c r="L36" s="167"/>
      <c r="M36" s="816" t="s">
        <v>763</v>
      </c>
      <c r="N36" s="817"/>
      <c r="O36" s="818"/>
      <c r="P36" s="168"/>
      <c r="Q36" s="816" t="s">
        <v>763</v>
      </c>
      <c r="R36" s="817"/>
      <c r="S36" s="818"/>
      <c r="T36" s="168"/>
      <c r="U36" s="816" t="s">
        <v>763</v>
      </c>
      <c r="V36" s="817"/>
      <c r="W36" s="818"/>
    </row>
    <row r="37" spans="2:23" ht="15.75" x14ac:dyDescent="0.25">
      <c r="B37" s="9"/>
      <c r="C37" s="9"/>
      <c r="U37" s="106"/>
      <c r="V37" s="106"/>
      <c r="W37" s="106"/>
    </row>
    <row r="38" spans="2:23" ht="15.75" x14ac:dyDescent="0.25">
      <c r="B38" s="9"/>
      <c r="C38" s="9"/>
      <c r="U38" s="106"/>
      <c r="V38" s="106"/>
      <c r="W38" s="106"/>
    </row>
    <row r="39" spans="2:23" ht="15.75" x14ac:dyDescent="0.25">
      <c r="B39" s="616" t="s">
        <v>39</v>
      </c>
      <c r="C39" s="616"/>
      <c r="E39" s="704" t="s">
        <v>49</v>
      </c>
      <c r="F39" s="704"/>
      <c r="G39" s="704"/>
      <c r="H39" s="7"/>
      <c r="I39" s="705" t="s">
        <v>457</v>
      </c>
      <c r="J39" s="705"/>
      <c r="K39" s="705"/>
      <c r="L39" s="2"/>
      <c r="M39" s="705" t="s">
        <v>508</v>
      </c>
      <c r="N39" s="705"/>
      <c r="O39" s="705"/>
      <c r="Q39" s="706" t="s">
        <v>503</v>
      </c>
      <c r="R39" s="706"/>
      <c r="S39" s="706"/>
      <c r="U39" s="940" t="s">
        <v>507</v>
      </c>
      <c r="V39" s="940"/>
      <c r="W39" s="940"/>
    </row>
    <row r="40" spans="2:23" ht="16.5" thickBot="1" x14ac:dyDescent="0.3">
      <c r="B40" s="9"/>
      <c r="C40" s="9"/>
      <c r="U40" s="106"/>
      <c r="V40" s="106"/>
      <c r="W40" s="106"/>
    </row>
    <row r="41" spans="2:23" ht="15.75" x14ac:dyDescent="0.25">
      <c r="B41" s="423" t="s">
        <v>40</v>
      </c>
      <c r="C41" s="424"/>
      <c r="E41" s="707" t="s">
        <v>66</v>
      </c>
      <c r="F41" s="708"/>
      <c r="G41" s="709"/>
      <c r="H41" s="4"/>
      <c r="I41" s="200" t="s">
        <v>111</v>
      </c>
      <c r="J41" s="201"/>
      <c r="K41" s="202"/>
      <c r="L41" s="3"/>
      <c r="M41" s="200" t="s">
        <v>660</v>
      </c>
      <c r="N41" s="201"/>
      <c r="O41" s="202"/>
      <c r="Q41" s="941" t="s">
        <v>111</v>
      </c>
      <c r="R41" s="942"/>
      <c r="S41" s="943"/>
      <c r="U41" s="935" t="s">
        <v>647</v>
      </c>
      <c r="V41" s="936"/>
      <c r="W41" s="937"/>
    </row>
    <row r="42" spans="2:23" ht="16.5" thickBot="1" x14ac:dyDescent="0.3">
      <c r="B42" s="347" t="s">
        <v>41</v>
      </c>
      <c r="C42" s="348"/>
      <c r="E42" s="401" t="s">
        <v>66</v>
      </c>
      <c r="F42" s="402"/>
      <c r="G42" s="403"/>
      <c r="H42" s="4"/>
      <c r="I42" s="215" t="s">
        <v>111</v>
      </c>
      <c r="J42" s="216"/>
      <c r="K42" s="217"/>
      <c r="L42" s="3"/>
      <c r="M42" s="215" t="s">
        <v>660</v>
      </c>
      <c r="N42" s="216"/>
      <c r="O42" s="217"/>
      <c r="Q42" s="308" t="s">
        <v>111</v>
      </c>
      <c r="R42" s="309"/>
      <c r="S42" s="310"/>
      <c r="U42" s="922" t="s">
        <v>644</v>
      </c>
      <c r="V42" s="923"/>
      <c r="W42" s="924"/>
    </row>
    <row r="43" spans="2:23" ht="15.75" x14ac:dyDescent="0.25">
      <c r="B43" s="9"/>
      <c r="C43" s="9"/>
      <c r="U43" s="106"/>
      <c r="V43" s="106"/>
      <c r="W43" s="106"/>
    </row>
    <row r="44" spans="2:23" x14ac:dyDescent="0.25">
      <c r="U44" s="106"/>
      <c r="V44" s="106"/>
      <c r="W44" s="106"/>
    </row>
    <row r="45" spans="2:23" ht="15.75" x14ac:dyDescent="0.25">
      <c r="B45" s="604" t="s">
        <v>2</v>
      </c>
      <c r="C45" s="604"/>
      <c r="D45" s="6"/>
      <c r="E45" s="675" t="s">
        <v>49</v>
      </c>
      <c r="F45" s="675"/>
      <c r="G45" s="675"/>
      <c r="H45" s="7"/>
      <c r="I45" s="676" t="s">
        <v>457</v>
      </c>
      <c r="J45" s="676"/>
      <c r="K45" s="676"/>
      <c r="L45" s="2"/>
      <c r="M45" s="676" t="s">
        <v>508</v>
      </c>
      <c r="N45" s="676"/>
      <c r="O45" s="676"/>
      <c r="Q45" s="736" t="s">
        <v>503</v>
      </c>
      <c r="R45" s="736"/>
      <c r="S45" s="736"/>
      <c r="U45" s="932" t="s">
        <v>526</v>
      </c>
      <c r="V45" s="932"/>
      <c r="W45" s="932"/>
    </row>
    <row r="46" spans="2:23" ht="15.75" thickBot="1" x14ac:dyDescent="0.3">
      <c r="B46" s="596"/>
      <c r="C46" s="596"/>
      <c r="D46" s="5"/>
      <c r="E46" s="5"/>
      <c r="U46" s="106"/>
      <c r="V46" s="106"/>
      <c r="W46" s="106"/>
    </row>
    <row r="47" spans="2:23" ht="15.75" x14ac:dyDescent="0.25">
      <c r="B47" s="933" t="s">
        <v>23</v>
      </c>
      <c r="C47" s="934"/>
      <c r="D47" s="5"/>
      <c r="E47" s="352" t="s">
        <v>99</v>
      </c>
      <c r="F47" s="353"/>
      <c r="G47" s="354"/>
      <c r="H47" s="4"/>
      <c r="I47" s="200" t="s">
        <v>111</v>
      </c>
      <c r="J47" s="201"/>
      <c r="K47" s="202"/>
      <c r="L47" s="3"/>
      <c r="M47" s="200" t="s">
        <v>606</v>
      </c>
      <c r="N47" s="201"/>
      <c r="O47" s="202"/>
      <c r="Q47" s="908" t="s">
        <v>111</v>
      </c>
      <c r="R47" s="909"/>
      <c r="S47" s="910"/>
      <c r="U47" s="935" t="s">
        <v>648</v>
      </c>
      <c r="V47" s="936"/>
      <c r="W47" s="937"/>
    </row>
    <row r="48" spans="2:23" ht="15.75" x14ac:dyDescent="0.25">
      <c r="B48" s="656" t="s">
        <v>24</v>
      </c>
      <c r="C48" s="657"/>
      <c r="D48" s="144"/>
      <c r="E48" s="816" t="s">
        <v>763</v>
      </c>
      <c r="F48" s="817"/>
      <c r="G48" s="818"/>
      <c r="H48" s="166"/>
      <c r="I48" s="816" t="s">
        <v>763</v>
      </c>
      <c r="J48" s="817"/>
      <c r="K48" s="818"/>
      <c r="L48" s="167"/>
      <c r="M48" s="816" t="s">
        <v>763</v>
      </c>
      <c r="N48" s="817"/>
      <c r="O48" s="818"/>
      <c r="P48" s="168"/>
      <c r="Q48" s="816" t="s">
        <v>763</v>
      </c>
      <c r="R48" s="817"/>
      <c r="S48" s="818"/>
      <c r="T48" s="168"/>
      <c r="U48" s="816" t="s">
        <v>763</v>
      </c>
      <c r="V48" s="817"/>
      <c r="W48" s="818"/>
    </row>
    <row r="49" spans="2:23" ht="15.75" x14ac:dyDescent="0.25">
      <c r="B49" s="656" t="s">
        <v>25</v>
      </c>
      <c r="C49" s="657"/>
      <c r="D49" s="144"/>
      <c r="E49" s="816" t="s">
        <v>763</v>
      </c>
      <c r="F49" s="817"/>
      <c r="G49" s="818"/>
      <c r="H49" s="166"/>
      <c r="I49" s="816" t="s">
        <v>763</v>
      </c>
      <c r="J49" s="817"/>
      <c r="K49" s="818"/>
      <c r="L49" s="167"/>
      <c r="M49" s="816" t="s">
        <v>763</v>
      </c>
      <c r="N49" s="817"/>
      <c r="O49" s="818"/>
      <c r="P49" s="168"/>
      <c r="Q49" s="816" t="s">
        <v>763</v>
      </c>
      <c r="R49" s="817"/>
      <c r="S49" s="818"/>
      <c r="T49" s="168"/>
      <c r="U49" s="816" t="s">
        <v>763</v>
      </c>
      <c r="V49" s="817"/>
      <c r="W49" s="818"/>
    </row>
    <row r="50" spans="2:23" ht="15.75" x14ac:dyDescent="0.25">
      <c r="B50" s="926" t="s">
        <v>26</v>
      </c>
      <c r="C50" s="927"/>
      <c r="D50" s="5"/>
      <c r="E50" s="253" t="s">
        <v>661</v>
      </c>
      <c r="F50" s="254"/>
      <c r="G50" s="255"/>
      <c r="H50" s="4"/>
      <c r="I50" s="226" t="s">
        <v>111</v>
      </c>
      <c r="J50" s="434"/>
      <c r="K50" s="435"/>
      <c r="L50" s="3"/>
      <c r="M50" s="226" t="s">
        <v>606</v>
      </c>
      <c r="N50" s="434"/>
      <c r="O50" s="435"/>
      <c r="Q50" s="911" t="s">
        <v>111</v>
      </c>
      <c r="R50" s="912"/>
      <c r="S50" s="913"/>
      <c r="U50" s="928" t="s">
        <v>111</v>
      </c>
      <c r="V50" s="918"/>
      <c r="W50" s="919"/>
    </row>
    <row r="51" spans="2:23" ht="15.75" x14ac:dyDescent="0.25">
      <c r="B51" s="926" t="s">
        <v>27</v>
      </c>
      <c r="C51" s="927"/>
      <c r="D51" s="5"/>
      <c r="E51" s="253" t="s">
        <v>661</v>
      </c>
      <c r="F51" s="254"/>
      <c r="G51" s="255"/>
      <c r="H51" s="4"/>
      <c r="I51" s="226" t="s">
        <v>111</v>
      </c>
      <c r="J51" s="434"/>
      <c r="K51" s="435"/>
      <c r="L51" s="3"/>
      <c r="M51" s="226" t="s">
        <v>606</v>
      </c>
      <c r="N51" s="434"/>
      <c r="O51" s="435"/>
      <c r="Q51" s="911">
        <v>62347</v>
      </c>
      <c r="R51" s="912"/>
      <c r="S51" s="913"/>
      <c r="U51" s="928" t="s">
        <v>111</v>
      </c>
      <c r="V51" s="918"/>
      <c r="W51" s="919"/>
    </row>
    <row r="52" spans="2:23" ht="15.75" x14ac:dyDescent="0.25">
      <c r="B52" s="926" t="s">
        <v>28</v>
      </c>
      <c r="C52" s="927"/>
      <c r="D52" s="5"/>
      <c r="E52" s="253" t="s">
        <v>661</v>
      </c>
      <c r="F52" s="254"/>
      <c r="G52" s="255"/>
      <c r="H52" s="4"/>
      <c r="I52" s="226" t="s">
        <v>111</v>
      </c>
      <c r="J52" s="434"/>
      <c r="K52" s="435"/>
      <c r="L52" s="3"/>
      <c r="M52" s="226" t="s">
        <v>606</v>
      </c>
      <c r="N52" s="434"/>
      <c r="O52" s="435"/>
      <c r="Q52" s="911" t="s">
        <v>111</v>
      </c>
      <c r="R52" s="912"/>
      <c r="S52" s="913"/>
      <c r="U52" s="928" t="s">
        <v>649</v>
      </c>
      <c r="V52" s="918"/>
      <c r="W52" s="919"/>
    </row>
    <row r="53" spans="2:23" ht="15.75" x14ac:dyDescent="0.25">
      <c r="B53" s="926" t="s">
        <v>29</v>
      </c>
      <c r="C53" s="927"/>
      <c r="D53" s="5"/>
      <c r="E53" s="363" t="s">
        <v>66</v>
      </c>
      <c r="F53" s="364"/>
      <c r="G53" s="365"/>
      <c r="H53" s="4"/>
      <c r="I53" s="226" t="s">
        <v>111</v>
      </c>
      <c r="J53" s="434"/>
      <c r="K53" s="435"/>
      <c r="L53" s="3"/>
      <c r="M53" s="226" t="s">
        <v>660</v>
      </c>
      <c r="N53" s="434"/>
      <c r="O53" s="435"/>
      <c r="Q53" s="911" t="s">
        <v>111</v>
      </c>
      <c r="R53" s="912"/>
      <c r="S53" s="913"/>
      <c r="U53" s="928" t="s">
        <v>650</v>
      </c>
      <c r="V53" s="918"/>
      <c r="W53" s="919"/>
    </row>
    <row r="54" spans="2:23" ht="16.5" thickBot="1" x14ac:dyDescent="0.3">
      <c r="B54" s="920" t="s">
        <v>30</v>
      </c>
      <c r="C54" s="921"/>
      <c r="E54" s="212" t="s">
        <v>661</v>
      </c>
      <c r="F54" s="213"/>
      <c r="G54" s="214"/>
      <c r="I54" s="215" t="s">
        <v>111</v>
      </c>
      <c r="J54" s="216"/>
      <c r="K54" s="217"/>
      <c r="M54" s="215" t="s">
        <v>606</v>
      </c>
      <c r="N54" s="216"/>
      <c r="O54" s="217"/>
      <c r="Q54" s="929" t="s">
        <v>111</v>
      </c>
      <c r="R54" s="930"/>
      <c r="S54" s="931"/>
      <c r="U54" s="922" t="s">
        <v>111</v>
      </c>
      <c r="V54" s="923"/>
      <c r="W54" s="924"/>
    </row>
    <row r="55" spans="2:23" x14ac:dyDescent="0.25">
      <c r="U55" s="106"/>
      <c r="V55" s="106"/>
      <c r="W55" s="106"/>
    </row>
    <row r="56" spans="2:23" x14ac:dyDescent="0.25">
      <c r="U56" s="106"/>
      <c r="V56" s="106"/>
      <c r="W56" s="106"/>
    </row>
    <row r="57" spans="2:23" ht="15.75" x14ac:dyDescent="0.25">
      <c r="B57" s="623" t="s">
        <v>50</v>
      </c>
      <c r="C57" s="623"/>
      <c r="E57" s="661" t="s">
        <v>49</v>
      </c>
      <c r="F57" s="661"/>
      <c r="G57" s="661"/>
      <c r="H57" s="7"/>
      <c r="I57" s="662" t="s">
        <v>457</v>
      </c>
      <c r="J57" s="662"/>
      <c r="K57" s="662"/>
      <c r="L57" s="2"/>
      <c r="M57" s="662" t="s">
        <v>508</v>
      </c>
      <c r="N57" s="662"/>
      <c r="O57" s="662"/>
      <c r="Q57" s="663" t="s">
        <v>503</v>
      </c>
      <c r="R57" s="663"/>
      <c r="S57" s="663"/>
      <c r="U57" s="925" t="s">
        <v>526</v>
      </c>
      <c r="V57" s="925"/>
      <c r="W57" s="925"/>
    </row>
    <row r="58" spans="2:23" ht="16.5" thickBot="1" x14ac:dyDescent="0.3">
      <c r="B58" s="9"/>
      <c r="C58" s="9"/>
      <c r="U58" s="106"/>
      <c r="V58" s="106"/>
      <c r="W58" s="106"/>
    </row>
    <row r="59" spans="2:23" ht="15.75" x14ac:dyDescent="0.25">
      <c r="B59" s="664" t="s">
        <v>108</v>
      </c>
      <c r="C59" s="665"/>
      <c r="D59" s="139"/>
      <c r="E59" s="816" t="s">
        <v>763</v>
      </c>
      <c r="F59" s="817"/>
      <c r="G59" s="818"/>
      <c r="H59" s="166"/>
      <c r="I59" s="816" t="s">
        <v>763</v>
      </c>
      <c r="J59" s="817"/>
      <c r="K59" s="818"/>
      <c r="L59" s="167"/>
      <c r="M59" s="816" t="s">
        <v>763</v>
      </c>
      <c r="N59" s="817"/>
      <c r="O59" s="818"/>
      <c r="P59" s="168"/>
      <c r="Q59" s="816" t="s">
        <v>763</v>
      </c>
      <c r="R59" s="817"/>
      <c r="S59" s="818"/>
      <c r="T59" s="168"/>
      <c r="U59" s="816" t="s">
        <v>763</v>
      </c>
      <c r="V59" s="817"/>
      <c r="W59" s="818"/>
    </row>
    <row r="60" spans="2:23" ht="16.5" thickBot="1" x14ac:dyDescent="0.3">
      <c r="B60" s="265" t="s">
        <v>109</v>
      </c>
      <c r="C60" s="266"/>
      <c r="E60" s="816" t="s">
        <v>763</v>
      </c>
      <c r="F60" s="817"/>
      <c r="G60" s="818"/>
      <c r="H60" s="166"/>
      <c r="I60" s="816" t="s">
        <v>763</v>
      </c>
      <c r="J60" s="817"/>
      <c r="K60" s="818"/>
      <c r="L60" s="167"/>
      <c r="M60" s="816" t="s">
        <v>763</v>
      </c>
      <c r="N60" s="817"/>
      <c r="O60" s="818"/>
      <c r="P60" s="168"/>
      <c r="Q60" s="816" t="s">
        <v>763</v>
      </c>
      <c r="R60" s="817"/>
      <c r="S60" s="818"/>
      <c r="T60" s="168"/>
      <c r="U60" s="816" t="s">
        <v>763</v>
      </c>
      <c r="V60" s="817"/>
      <c r="W60" s="818"/>
    </row>
    <row r="61" spans="2:23" x14ac:dyDescent="0.25">
      <c r="U61" s="106"/>
      <c r="V61" s="106"/>
      <c r="W61" s="106"/>
    </row>
    <row r="62" spans="2:23" ht="15.75" x14ac:dyDescent="0.25">
      <c r="B62" s="601" t="s">
        <v>114</v>
      </c>
      <c r="C62" s="601"/>
      <c r="E62" s="632" t="s">
        <v>49</v>
      </c>
      <c r="F62" s="632"/>
      <c r="G62" s="632"/>
      <c r="H62" s="7"/>
      <c r="I62" s="633" t="s">
        <v>457</v>
      </c>
      <c r="J62" s="633"/>
      <c r="K62" s="633"/>
      <c r="L62" s="2"/>
      <c r="M62" s="633" t="s">
        <v>508</v>
      </c>
      <c r="N62" s="633"/>
      <c r="O62" s="633"/>
      <c r="Q62" s="634" t="s">
        <v>503</v>
      </c>
      <c r="R62" s="634"/>
      <c r="S62" s="634"/>
      <c r="U62" s="914" t="s">
        <v>526</v>
      </c>
      <c r="V62" s="914"/>
      <c r="W62" s="914"/>
    </row>
    <row r="63" spans="2:23" ht="16.5" thickBot="1" x14ac:dyDescent="0.3">
      <c r="B63" s="9"/>
      <c r="C63" s="9"/>
      <c r="U63" s="106"/>
      <c r="V63" s="106"/>
      <c r="W63" s="106"/>
    </row>
    <row r="64" spans="2:23" ht="16.5" thickBot="1" x14ac:dyDescent="0.3">
      <c r="B64" s="915" t="s">
        <v>529</v>
      </c>
      <c r="C64" s="916"/>
      <c r="D64" s="143"/>
      <c r="E64" s="816" t="s">
        <v>763</v>
      </c>
      <c r="F64" s="817"/>
      <c r="G64" s="818"/>
      <c r="H64" s="166"/>
      <c r="I64" s="816" t="s">
        <v>763</v>
      </c>
      <c r="J64" s="817"/>
      <c r="K64" s="818"/>
      <c r="L64" s="167"/>
      <c r="M64" s="816" t="s">
        <v>763</v>
      </c>
      <c r="N64" s="817"/>
      <c r="O64" s="818"/>
      <c r="P64" s="168"/>
      <c r="Q64" s="816" t="s">
        <v>763</v>
      </c>
      <c r="R64" s="817"/>
      <c r="S64" s="818"/>
      <c r="T64" s="168"/>
      <c r="U64" s="816" t="s">
        <v>763</v>
      </c>
      <c r="V64" s="817"/>
      <c r="W64" s="818"/>
    </row>
    <row r="65" spans="2:23" x14ac:dyDescent="0.25">
      <c r="U65" s="106"/>
      <c r="V65" s="106"/>
      <c r="W65" s="106"/>
    </row>
    <row r="66" spans="2:23" ht="15.75" x14ac:dyDescent="0.25">
      <c r="B66" s="956" t="s">
        <v>453</v>
      </c>
      <c r="C66" s="956"/>
      <c r="E66" s="863" t="s">
        <v>49</v>
      </c>
      <c r="F66" s="863"/>
      <c r="G66" s="863"/>
      <c r="H66" s="80"/>
      <c r="I66" s="864" t="s">
        <v>457</v>
      </c>
      <c r="J66" s="864"/>
      <c r="K66" s="864"/>
      <c r="L66" s="81"/>
      <c r="M66" s="864" t="s">
        <v>508</v>
      </c>
      <c r="N66" s="864"/>
      <c r="O66" s="864"/>
      <c r="Q66" s="865" t="s">
        <v>503</v>
      </c>
      <c r="R66" s="865"/>
      <c r="S66" s="865"/>
      <c r="U66" s="957" t="s">
        <v>526</v>
      </c>
      <c r="V66" s="957"/>
      <c r="W66" s="957"/>
    </row>
    <row r="67" spans="2:23" ht="15.75" thickBot="1" x14ac:dyDescent="0.3">
      <c r="U67" s="106"/>
      <c r="V67" s="106"/>
      <c r="W67" s="106"/>
    </row>
    <row r="68" spans="2:23" ht="16.5" thickBot="1" x14ac:dyDescent="0.35">
      <c r="B68" s="866" t="s">
        <v>543</v>
      </c>
      <c r="C68" s="767"/>
      <c r="E68" s="637" t="s">
        <v>544</v>
      </c>
      <c r="F68" s="638"/>
      <c r="G68" s="639"/>
      <c r="H68" s="4"/>
      <c r="I68" s="550" t="s">
        <v>111</v>
      </c>
      <c r="J68" s="641"/>
      <c r="K68" s="642"/>
      <c r="L68" s="3"/>
      <c r="M68" s="550" t="s">
        <v>606</v>
      </c>
      <c r="N68" s="641"/>
      <c r="O68" s="642"/>
      <c r="Q68" s="902" t="s">
        <v>111</v>
      </c>
      <c r="R68" s="903"/>
      <c r="S68" s="904"/>
      <c r="U68" s="958" t="s">
        <v>111</v>
      </c>
      <c r="V68" s="959"/>
      <c r="W68" s="960"/>
    </row>
  </sheetData>
  <mergeCells count="250">
    <mergeCell ref="B66:C66"/>
    <mergeCell ref="E66:G66"/>
    <mergeCell ref="I66:K66"/>
    <mergeCell ref="U66:W66"/>
    <mergeCell ref="B68:C68"/>
    <mergeCell ref="E68:G68"/>
    <mergeCell ref="I68:K68"/>
    <mergeCell ref="U68:W68"/>
    <mergeCell ref="B16:C16"/>
    <mergeCell ref="E16:G16"/>
    <mergeCell ref="I16:K16"/>
    <mergeCell ref="U16:W16"/>
    <mergeCell ref="B19:C19"/>
    <mergeCell ref="E19:G19"/>
    <mergeCell ref="I19:K19"/>
    <mergeCell ref="U19:W19"/>
    <mergeCell ref="B21:C21"/>
    <mergeCell ref="E21:G21"/>
    <mergeCell ref="I21:K21"/>
    <mergeCell ref="U21:W21"/>
    <mergeCell ref="B17:C17"/>
    <mergeCell ref="E17:G17"/>
    <mergeCell ref="I17:K17"/>
    <mergeCell ref="U17:W17"/>
    <mergeCell ref="B14:C14"/>
    <mergeCell ref="B15:C15"/>
    <mergeCell ref="E14:G14"/>
    <mergeCell ref="E15:G15"/>
    <mergeCell ref="I14:K14"/>
    <mergeCell ref="I15:K15"/>
    <mergeCell ref="U14:W14"/>
    <mergeCell ref="U15:W15"/>
    <mergeCell ref="B11:C11"/>
    <mergeCell ref="E11:G11"/>
    <mergeCell ref="I11:K11"/>
    <mergeCell ref="U11:W11"/>
    <mergeCell ref="B12:C12"/>
    <mergeCell ref="B13:C13"/>
    <mergeCell ref="E13:G13"/>
    <mergeCell ref="I13:K13"/>
    <mergeCell ref="U13:W13"/>
    <mergeCell ref="Q11:S11"/>
    <mergeCell ref="Q13:S13"/>
    <mergeCell ref="Q14:S14"/>
    <mergeCell ref="Q15:S15"/>
    <mergeCell ref="M14:O14"/>
    <mergeCell ref="M15:O15"/>
    <mergeCell ref="B18:C18"/>
    <mergeCell ref="E18:G18"/>
    <mergeCell ref="I18:K18"/>
    <mergeCell ref="U18:W18"/>
    <mergeCell ref="B20:C20"/>
    <mergeCell ref="E20:G20"/>
    <mergeCell ref="I20:K20"/>
    <mergeCell ref="U20:W20"/>
    <mergeCell ref="B24:C24"/>
    <mergeCell ref="E24:G24"/>
    <mergeCell ref="I24:K24"/>
    <mergeCell ref="U24:W24"/>
    <mergeCell ref="B25:C25"/>
    <mergeCell ref="B26:C26"/>
    <mergeCell ref="E26:G26"/>
    <mergeCell ref="I26:K26"/>
    <mergeCell ref="U26:W26"/>
    <mergeCell ref="B29:C29"/>
    <mergeCell ref="E29:G29"/>
    <mergeCell ref="I29:K29"/>
    <mergeCell ref="U29:W29"/>
    <mergeCell ref="M26:O26"/>
    <mergeCell ref="B30:C30"/>
    <mergeCell ref="E30:G30"/>
    <mergeCell ref="I30:K30"/>
    <mergeCell ref="U30:W30"/>
    <mergeCell ref="B27:C27"/>
    <mergeCell ref="E27:G27"/>
    <mergeCell ref="I27:K27"/>
    <mergeCell ref="U27:W27"/>
    <mergeCell ref="B28:C28"/>
    <mergeCell ref="E28:G28"/>
    <mergeCell ref="I28:K28"/>
    <mergeCell ref="U28:W28"/>
    <mergeCell ref="Q28:S28"/>
    <mergeCell ref="Q29:S29"/>
    <mergeCell ref="Q30:S30"/>
    <mergeCell ref="M27:O27"/>
    <mergeCell ref="M28:O28"/>
    <mergeCell ref="M29:O29"/>
    <mergeCell ref="M30:O30"/>
    <mergeCell ref="B34:C34"/>
    <mergeCell ref="E34:G34"/>
    <mergeCell ref="I34:K34"/>
    <mergeCell ref="U34:W34"/>
    <mergeCell ref="B35:C35"/>
    <mergeCell ref="E35:G35"/>
    <mergeCell ref="I35:K35"/>
    <mergeCell ref="U35:W35"/>
    <mergeCell ref="B31:C31"/>
    <mergeCell ref="E31:G31"/>
    <mergeCell ref="I31:K31"/>
    <mergeCell ref="U31:W31"/>
    <mergeCell ref="B33:C33"/>
    <mergeCell ref="E33:G33"/>
    <mergeCell ref="I33:K33"/>
    <mergeCell ref="U33:W33"/>
    <mergeCell ref="B32:C32"/>
    <mergeCell ref="E32:G32"/>
    <mergeCell ref="I32:K32"/>
    <mergeCell ref="Q31:S31"/>
    <mergeCell ref="Q32:S32"/>
    <mergeCell ref="Q33:S33"/>
    <mergeCell ref="Q34:S34"/>
    <mergeCell ref="Q35:S35"/>
    <mergeCell ref="B41:C41"/>
    <mergeCell ref="E41:G41"/>
    <mergeCell ref="I41:K41"/>
    <mergeCell ref="U41:W41"/>
    <mergeCell ref="B42:C42"/>
    <mergeCell ref="E42:G42"/>
    <mergeCell ref="I42:K42"/>
    <mergeCell ref="U42:W42"/>
    <mergeCell ref="B36:C36"/>
    <mergeCell ref="E36:G36"/>
    <mergeCell ref="I36:K36"/>
    <mergeCell ref="U36:W36"/>
    <mergeCell ref="B39:C39"/>
    <mergeCell ref="E39:G39"/>
    <mergeCell ref="I39:K39"/>
    <mergeCell ref="U39:W39"/>
    <mergeCell ref="Q36:S36"/>
    <mergeCell ref="Q39:S39"/>
    <mergeCell ref="Q41:S41"/>
    <mergeCell ref="Q42:S42"/>
    <mergeCell ref="B45:C45"/>
    <mergeCell ref="E45:G45"/>
    <mergeCell ref="I45:K45"/>
    <mergeCell ref="U45:W45"/>
    <mergeCell ref="B46:C46"/>
    <mergeCell ref="B47:C47"/>
    <mergeCell ref="E47:G47"/>
    <mergeCell ref="I47:K47"/>
    <mergeCell ref="U47:W47"/>
    <mergeCell ref="Q45:S45"/>
    <mergeCell ref="Q47:S47"/>
    <mergeCell ref="B50:C50"/>
    <mergeCell ref="E50:G50"/>
    <mergeCell ref="I50:K50"/>
    <mergeCell ref="U50:W50"/>
    <mergeCell ref="B51:C51"/>
    <mergeCell ref="E51:G51"/>
    <mergeCell ref="I51:K51"/>
    <mergeCell ref="U51:W51"/>
    <mergeCell ref="B48:C48"/>
    <mergeCell ref="E48:G48"/>
    <mergeCell ref="I48:K48"/>
    <mergeCell ref="U48:W48"/>
    <mergeCell ref="B49:C49"/>
    <mergeCell ref="E49:G49"/>
    <mergeCell ref="I49:K49"/>
    <mergeCell ref="U49:W49"/>
    <mergeCell ref="Q48:S48"/>
    <mergeCell ref="Q49:S49"/>
    <mergeCell ref="Q50:S50"/>
    <mergeCell ref="Q51:S51"/>
    <mergeCell ref="M48:O48"/>
    <mergeCell ref="M49:O49"/>
    <mergeCell ref="M50:O50"/>
    <mergeCell ref="M51:O51"/>
    <mergeCell ref="U57:W57"/>
    <mergeCell ref="B52:C52"/>
    <mergeCell ref="E52:G52"/>
    <mergeCell ref="I52:K52"/>
    <mergeCell ref="U52:W52"/>
    <mergeCell ref="B53:C53"/>
    <mergeCell ref="E53:G53"/>
    <mergeCell ref="I53:K53"/>
    <mergeCell ref="U53:W53"/>
    <mergeCell ref="Q52:S52"/>
    <mergeCell ref="Q53:S53"/>
    <mergeCell ref="Q54:S54"/>
    <mergeCell ref="Q57:S57"/>
    <mergeCell ref="M52:O52"/>
    <mergeCell ref="M53:O53"/>
    <mergeCell ref="M54:O54"/>
    <mergeCell ref="M57:O57"/>
    <mergeCell ref="B62:C62"/>
    <mergeCell ref="E62:G62"/>
    <mergeCell ref="I62:K62"/>
    <mergeCell ref="U62:W62"/>
    <mergeCell ref="B64:C64"/>
    <mergeCell ref="E64:G64"/>
    <mergeCell ref="I64:K64"/>
    <mergeCell ref="U64:W64"/>
    <mergeCell ref="U32:W32"/>
    <mergeCell ref="B59:C59"/>
    <mergeCell ref="E59:G59"/>
    <mergeCell ref="I59:K59"/>
    <mergeCell ref="U59:W59"/>
    <mergeCell ref="B60:C60"/>
    <mergeCell ref="E60:G60"/>
    <mergeCell ref="I60:K60"/>
    <mergeCell ref="U60:W60"/>
    <mergeCell ref="B54:C54"/>
    <mergeCell ref="E54:G54"/>
    <mergeCell ref="I54:K54"/>
    <mergeCell ref="U54:W54"/>
    <mergeCell ref="B57:C57"/>
    <mergeCell ref="E57:G57"/>
    <mergeCell ref="I57:K57"/>
    <mergeCell ref="M31:O31"/>
    <mergeCell ref="M32:O32"/>
    <mergeCell ref="Q16:S16"/>
    <mergeCell ref="Q17:S17"/>
    <mergeCell ref="Q18:S18"/>
    <mergeCell ref="Q19:S19"/>
    <mergeCell ref="Q20:S20"/>
    <mergeCell ref="Q21:S21"/>
    <mergeCell ref="Q24:S24"/>
    <mergeCell ref="Q26:S26"/>
    <mergeCell ref="Q27:S27"/>
    <mergeCell ref="M16:O16"/>
    <mergeCell ref="M17:O17"/>
    <mergeCell ref="M18:O18"/>
    <mergeCell ref="M19:O19"/>
    <mergeCell ref="M20:O20"/>
    <mergeCell ref="M21:O21"/>
    <mergeCell ref="M24:O24"/>
    <mergeCell ref="M59:O59"/>
    <mergeCell ref="M60:O60"/>
    <mergeCell ref="M62:O62"/>
    <mergeCell ref="M64:O64"/>
    <mergeCell ref="M66:O66"/>
    <mergeCell ref="M68:O68"/>
    <mergeCell ref="A7:W7"/>
    <mergeCell ref="M33:O33"/>
    <mergeCell ref="M34:O34"/>
    <mergeCell ref="M35:O35"/>
    <mergeCell ref="M36:O36"/>
    <mergeCell ref="M39:O39"/>
    <mergeCell ref="M41:O41"/>
    <mergeCell ref="M42:O42"/>
    <mergeCell ref="M45:O45"/>
    <mergeCell ref="M47:O47"/>
    <mergeCell ref="Q59:S59"/>
    <mergeCell ref="Q60:S60"/>
    <mergeCell ref="Q62:S62"/>
    <mergeCell ref="Q64:S64"/>
    <mergeCell ref="Q66:S66"/>
    <mergeCell ref="Q68:S68"/>
    <mergeCell ref="M11:O11"/>
    <mergeCell ref="M13:O13"/>
  </mergeCell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W64"/>
  <sheetViews>
    <sheetView workbookViewId="0">
      <pane ySplit="6" topLeftCell="A13" activePane="bottomLeft" state="frozen"/>
      <selection pane="bottomLeft" activeCell="Q39" sqref="Q39:S39"/>
    </sheetView>
  </sheetViews>
  <sheetFormatPr defaultColWidth="9.140625" defaultRowHeight="15" x14ac:dyDescent="0.25"/>
  <cols>
    <col min="1" max="1" width="1.7109375" style="1" customWidth="1"/>
    <col min="2" max="3" width="9.140625" style="1"/>
    <col min="4" max="4" width="1.7109375" style="1" customWidth="1"/>
    <col min="5" max="7" width="9.140625" style="1"/>
    <col min="8" max="8" width="1.7109375" style="1" customWidth="1"/>
    <col min="9" max="10" width="9.140625" style="1"/>
    <col min="11" max="11" width="5.140625" style="1" customWidth="1"/>
    <col min="12" max="12" width="1.7109375" style="1" customWidth="1"/>
    <col min="13" max="14" width="9.140625" style="1"/>
    <col min="15" max="15" width="14.42578125" style="1" customWidth="1"/>
    <col min="16" max="16" width="1.7109375" style="1" customWidth="1"/>
    <col min="17" max="18" width="9.140625" style="1"/>
    <col min="19" max="19" width="4.140625" style="1" customWidth="1"/>
    <col min="20" max="20" width="1.7109375" style="1" customWidth="1"/>
    <col min="21" max="22" width="9.140625" style="1"/>
    <col min="23" max="23" width="3.28515625" style="1" customWidth="1"/>
    <col min="24" max="16384" width="9.140625" style="1"/>
  </cols>
  <sheetData>
    <row r="1" spans="1:23" s="150" customFormat="1" x14ac:dyDescent="0.25"/>
    <row r="2" spans="1:23" s="150" customFormat="1" x14ac:dyDescent="0.25"/>
    <row r="3" spans="1:23" s="150" customFormat="1" x14ac:dyDescent="0.25"/>
    <row r="4" spans="1:23" s="150" customFormat="1" x14ac:dyDescent="0.25"/>
    <row r="5" spans="1:23" s="150" customFormat="1" x14ac:dyDescent="0.25"/>
    <row r="6" spans="1:23" s="150" customFormat="1" x14ac:dyDescent="0.25"/>
    <row r="7" spans="1:23" s="150" customFormat="1" ht="21" customHeight="1" x14ac:dyDescent="0.25">
      <c r="A7" s="582" t="s">
        <v>751</v>
      </c>
      <c r="B7" s="582"/>
      <c r="C7" s="582"/>
      <c r="D7" s="582"/>
      <c r="E7" s="582"/>
      <c r="F7" s="582"/>
      <c r="G7" s="582"/>
      <c r="H7" s="582"/>
      <c r="I7" s="582"/>
      <c r="J7" s="582"/>
      <c r="K7" s="582"/>
      <c r="L7" s="582"/>
      <c r="M7" s="582"/>
      <c r="N7" s="582"/>
      <c r="O7" s="582"/>
      <c r="P7" s="582"/>
      <c r="Q7" s="582"/>
      <c r="R7" s="582"/>
      <c r="S7" s="582"/>
      <c r="T7" s="582"/>
      <c r="U7" s="582"/>
      <c r="V7" s="582"/>
      <c r="W7" s="582"/>
    </row>
    <row r="8" spans="1:23" s="150" customFormat="1" x14ac:dyDescent="0.25"/>
    <row r="9" spans="1:23" s="150" customFormat="1" x14ac:dyDescent="0.25"/>
    <row r="10" spans="1:23" s="150" customFormat="1" x14ac:dyDescent="0.25"/>
    <row r="11" spans="1:23" ht="15.75" x14ac:dyDescent="0.25">
      <c r="B11" s="976" t="s">
        <v>0</v>
      </c>
      <c r="C11" s="976"/>
      <c r="D11" s="6"/>
      <c r="E11" s="977" t="s">
        <v>46</v>
      </c>
      <c r="F11" s="977"/>
      <c r="G11" s="977"/>
      <c r="H11" s="7"/>
      <c r="I11" s="692" t="s">
        <v>457</v>
      </c>
      <c r="J11" s="692"/>
      <c r="K11" s="692"/>
      <c r="L11" s="2"/>
      <c r="M11" s="692" t="s">
        <v>508</v>
      </c>
      <c r="N11" s="692"/>
      <c r="O11" s="692"/>
      <c r="P11" s="4"/>
      <c r="Q11" s="692" t="s">
        <v>495</v>
      </c>
      <c r="R11" s="692"/>
      <c r="S11" s="692"/>
      <c r="U11" s="692" t="s">
        <v>507</v>
      </c>
      <c r="V11" s="692"/>
      <c r="W11" s="692"/>
    </row>
    <row r="12" spans="1:23" ht="15.75" thickBot="1" x14ac:dyDescent="0.3">
      <c r="B12" s="596"/>
      <c r="C12" s="596"/>
      <c r="D12" s="5"/>
      <c r="E12" s="5"/>
    </row>
    <row r="13" spans="1:23" ht="15.75" x14ac:dyDescent="0.25">
      <c r="B13" s="389" t="s">
        <v>112</v>
      </c>
      <c r="C13" s="390"/>
      <c r="D13" s="5"/>
      <c r="E13" s="352" t="s">
        <v>101</v>
      </c>
      <c r="F13" s="353"/>
      <c r="G13" s="354"/>
      <c r="H13" s="4"/>
      <c r="I13" s="200" t="s">
        <v>111</v>
      </c>
      <c r="J13" s="201"/>
      <c r="K13" s="202"/>
      <c r="L13" s="3"/>
      <c r="M13" s="792" t="s">
        <v>668</v>
      </c>
      <c r="N13" s="793"/>
      <c r="O13" s="794"/>
      <c r="P13" s="8"/>
      <c r="Q13" s="792" t="s">
        <v>111</v>
      </c>
      <c r="R13" s="793"/>
      <c r="S13" s="794"/>
      <c r="U13" s="961" t="s">
        <v>111</v>
      </c>
      <c r="V13" s="936"/>
      <c r="W13" s="937"/>
    </row>
    <row r="14" spans="1:23" ht="15.75" x14ac:dyDescent="0.25">
      <c r="B14" s="239" t="s">
        <v>4</v>
      </c>
      <c r="C14" s="240"/>
      <c r="D14" s="5"/>
      <c r="E14" s="226" t="s">
        <v>101</v>
      </c>
      <c r="F14" s="434"/>
      <c r="G14" s="435"/>
      <c r="H14" s="4"/>
      <c r="I14" s="226" t="s">
        <v>111</v>
      </c>
      <c r="J14" s="434"/>
      <c r="K14" s="435"/>
      <c r="L14" s="3"/>
      <c r="M14" s="809" t="s">
        <v>668</v>
      </c>
      <c r="N14" s="810"/>
      <c r="O14" s="811"/>
      <c r="P14" s="8"/>
      <c r="Q14" s="226" t="s">
        <v>111</v>
      </c>
      <c r="R14" s="434"/>
      <c r="S14" s="435"/>
      <c r="U14" s="855" t="s">
        <v>857</v>
      </c>
      <c r="V14" s="845"/>
      <c r="W14" s="846"/>
    </row>
    <row r="15" spans="1:23" ht="15.75" x14ac:dyDescent="0.25">
      <c r="B15" s="239" t="s">
        <v>5</v>
      </c>
      <c r="C15" s="240"/>
      <c r="D15" s="5"/>
      <c r="E15" s="253" t="s">
        <v>101</v>
      </c>
      <c r="F15" s="254"/>
      <c r="G15" s="255"/>
      <c r="H15" s="4"/>
      <c r="I15" s="226" t="s">
        <v>111</v>
      </c>
      <c r="J15" s="434"/>
      <c r="K15" s="435"/>
      <c r="L15" s="3"/>
      <c r="M15" s="809" t="s">
        <v>668</v>
      </c>
      <c r="N15" s="810"/>
      <c r="O15" s="811"/>
      <c r="P15" s="8"/>
      <c r="Q15" s="226" t="s">
        <v>111</v>
      </c>
      <c r="R15" s="434"/>
      <c r="S15" s="435"/>
      <c r="U15" s="855" t="s">
        <v>111</v>
      </c>
      <c r="V15" s="845"/>
      <c r="W15" s="846"/>
    </row>
    <row r="16" spans="1:23" ht="15.75" x14ac:dyDescent="0.25">
      <c r="B16" s="239" t="s">
        <v>6</v>
      </c>
      <c r="C16" s="240"/>
      <c r="D16" s="5"/>
      <c r="E16" s="253" t="s">
        <v>101</v>
      </c>
      <c r="F16" s="254"/>
      <c r="G16" s="255"/>
      <c r="H16" s="4"/>
      <c r="I16" s="226" t="s">
        <v>111</v>
      </c>
      <c r="J16" s="434"/>
      <c r="K16" s="435"/>
      <c r="L16" s="3"/>
      <c r="M16" s="809" t="s">
        <v>668</v>
      </c>
      <c r="N16" s="810"/>
      <c r="O16" s="811"/>
      <c r="P16" s="8"/>
      <c r="Q16" s="226" t="s">
        <v>111</v>
      </c>
      <c r="R16" s="434"/>
      <c r="S16" s="435"/>
      <c r="U16" s="855" t="s">
        <v>111</v>
      </c>
      <c r="V16" s="845"/>
      <c r="W16" s="846"/>
    </row>
    <row r="17" spans="2:23" ht="15.75" x14ac:dyDescent="0.25">
      <c r="B17" s="239" t="s">
        <v>7</v>
      </c>
      <c r="C17" s="240"/>
      <c r="D17" s="5"/>
      <c r="E17" s="253" t="s">
        <v>101</v>
      </c>
      <c r="F17" s="254"/>
      <c r="G17" s="255"/>
      <c r="H17" s="4"/>
      <c r="I17" s="226" t="s">
        <v>111</v>
      </c>
      <c r="J17" s="434"/>
      <c r="K17" s="435"/>
      <c r="L17" s="3"/>
      <c r="M17" s="809" t="s">
        <v>668</v>
      </c>
      <c r="N17" s="810"/>
      <c r="O17" s="811"/>
      <c r="P17" s="8"/>
      <c r="Q17" s="809" t="s">
        <v>111</v>
      </c>
      <c r="R17" s="810"/>
      <c r="S17" s="811"/>
      <c r="U17" s="928" t="s">
        <v>861</v>
      </c>
      <c r="V17" s="918"/>
      <c r="W17" s="919"/>
    </row>
    <row r="18" spans="2:23" ht="15.75" x14ac:dyDescent="0.25">
      <c r="B18" s="239" t="s">
        <v>8</v>
      </c>
      <c r="C18" s="240"/>
      <c r="D18" s="5"/>
      <c r="E18" s="253" t="s">
        <v>101</v>
      </c>
      <c r="F18" s="254"/>
      <c r="G18" s="255"/>
      <c r="H18" s="4"/>
      <c r="I18" s="226" t="s">
        <v>111</v>
      </c>
      <c r="J18" s="434"/>
      <c r="K18" s="435"/>
      <c r="L18" s="3"/>
      <c r="M18" s="809" t="s">
        <v>668</v>
      </c>
      <c r="N18" s="810"/>
      <c r="O18" s="811"/>
      <c r="P18" s="8"/>
      <c r="Q18" s="809" t="s">
        <v>111</v>
      </c>
      <c r="R18" s="810"/>
      <c r="S18" s="811"/>
      <c r="U18" s="928" t="s">
        <v>111</v>
      </c>
      <c r="V18" s="918"/>
      <c r="W18" s="919"/>
    </row>
    <row r="19" spans="2:23" ht="15.75" x14ac:dyDescent="0.25">
      <c r="B19" s="239" t="s">
        <v>9</v>
      </c>
      <c r="C19" s="240"/>
      <c r="D19" s="5"/>
      <c r="E19" s="253" t="s">
        <v>101</v>
      </c>
      <c r="F19" s="254"/>
      <c r="G19" s="255"/>
      <c r="H19" s="4"/>
      <c r="I19" s="226" t="s">
        <v>111</v>
      </c>
      <c r="J19" s="434"/>
      <c r="K19" s="435"/>
      <c r="L19" s="3"/>
      <c r="M19" s="809" t="s">
        <v>668</v>
      </c>
      <c r="N19" s="810"/>
      <c r="O19" s="811"/>
      <c r="P19" s="8"/>
      <c r="Q19" s="809" t="s">
        <v>111</v>
      </c>
      <c r="R19" s="810"/>
      <c r="S19" s="811"/>
      <c r="U19" s="928" t="s">
        <v>868</v>
      </c>
      <c r="V19" s="918"/>
      <c r="W19" s="919"/>
    </row>
    <row r="20" spans="2:23" ht="15.75" x14ac:dyDescent="0.25">
      <c r="B20" s="239" t="s">
        <v>10</v>
      </c>
      <c r="C20" s="240"/>
      <c r="D20" s="5"/>
      <c r="E20" s="253" t="s">
        <v>101</v>
      </c>
      <c r="F20" s="254"/>
      <c r="G20" s="255"/>
      <c r="H20" s="4"/>
      <c r="I20" s="226" t="s">
        <v>111</v>
      </c>
      <c r="J20" s="434"/>
      <c r="K20" s="435"/>
      <c r="L20" s="3"/>
      <c r="M20" s="809" t="s">
        <v>668</v>
      </c>
      <c r="N20" s="810"/>
      <c r="O20" s="811"/>
      <c r="P20" s="8"/>
      <c r="Q20" s="226" t="s">
        <v>111</v>
      </c>
      <c r="R20" s="434"/>
      <c r="S20" s="435"/>
      <c r="U20" s="855" t="s">
        <v>111</v>
      </c>
      <c r="V20" s="845"/>
      <c r="W20" s="846"/>
    </row>
    <row r="21" spans="2:23" ht="16.5" thickBot="1" x14ac:dyDescent="0.3">
      <c r="B21" s="396" t="s">
        <v>113</v>
      </c>
      <c r="C21" s="397"/>
      <c r="D21" s="136"/>
      <c r="E21" s="398" t="s">
        <v>763</v>
      </c>
      <c r="F21" s="399"/>
      <c r="G21" s="400"/>
      <c r="H21" s="138"/>
      <c r="I21" s="273" t="s">
        <v>111</v>
      </c>
      <c r="J21" s="274"/>
      <c r="K21" s="275"/>
      <c r="L21" s="141"/>
      <c r="M21" s="852" t="s">
        <v>111</v>
      </c>
      <c r="N21" s="853"/>
      <c r="O21" s="854"/>
      <c r="P21" s="142"/>
      <c r="Q21" s="852" t="s">
        <v>111</v>
      </c>
      <c r="R21" s="853"/>
      <c r="S21" s="854"/>
      <c r="T21" s="139"/>
      <c r="U21" s="962" t="s">
        <v>111</v>
      </c>
      <c r="V21" s="963"/>
      <c r="W21" s="964"/>
    </row>
    <row r="24" spans="2:23" ht="15.75" x14ac:dyDescent="0.25">
      <c r="B24" s="615" t="s">
        <v>1</v>
      </c>
      <c r="C24" s="615"/>
      <c r="D24" s="6"/>
      <c r="E24" s="698" t="s">
        <v>46</v>
      </c>
      <c r="F24" s="698"/>
      <c r="G24" s="698"/>
      <c r="H24" s="7"/>
      <c r="I24" s="696" t="s">
        <v>457</v>
      </c>
      <c r="J24" s="696"/>
      <c r="K24" s="696"/>
      <c r="L24" s="2"/>
      <c r="M24" s="696" t="s">
        <v>508</v>
      </c>
      <c r="N24" s="696"/>
      <c r="O24" s="696"/>
      <c r="Q24" s="696" t="s">
        <v>495</v>
      </c>
      <c r="R24" s="696"/>
      <c r="S24" s="696"/>
      <c r="U24" s="696" t="s">
        <v>507</v>
      </c>
      <c r="V24" s="696"/>
      <c r="W24" s="696"/>
    </row>
    <row r="25" spans="2:23" ht="15.75" thickBot="1" x14ac:dyDescent="0.3">
      <c r="B25" s="596"/>
      <c r="C25" s="596"/>
      <c r="D25" s="5"/>
      <c r="E25" s="5"/>
    </row>
    <row r="26" spans="2:23" ht="15.75" x14ac:dyDescent="0.25">
      <c r="B26" s="389" t="s">
        <v>13</v>
      </c>
      <c r="C26" s="390"/>
      <c r="D26" s="5"/>
      <c r="E26" s="352" t="s">
        <v>101</v>
      </c>
      <c r="F26" s="353"/>
      <c r="G26" s="354"/>
      <c r="H26" s="4"/>
      <c r="I26" s="200" t="s">
        <v>111</v>
      </c>
      <c r="J26" s="201"/>
      <c r="K26" s="202"/>
      <c r="L26" s="3"/>
      <c r="M26" s="792" t="s">
        <v>668</v>
      </c>
      <c r="N26" s="793"/>
      <c r="O26" s="794"/>
      <c r="Q26" s="792" t="s">
        <v>111</v>
      </c>
      <c r="R26" s="793"/>
      <c r="S26" s="794"/>
      <c r="U26" s="792" t="s">
        <v>111</v>
      </c>
      <c r="V26" s="793"/>
      <c r="W26" s="794"/>
    </row>
    <row r="27" spans="2:23" ht="15.75" x14ac:dyDescent="0.25">
      <c r="B27" s="239" t="s">
        <v>14</v>
      </c>
      <c r="C27" s="240"/>
      <c r="D27" s="5"/>
      <c r="E27" s="253" t="s">
        <v>101</v>
      </c>
      <c r="F27" s="254"/>
      <c r="G27" s="255"/>
      <c r="H27" s="4"/>
      <c r="I27" s="226" t="s">
        <v>111</v>
      </c>
      <c r="J27" s="434"/>
      <c r="K27" s="435"/>
      <c r="L27" s="3"/>
      <c r="M27" s="809" t="s">
        <v>668</v>
      </c>
      <c r="N27" s="810"/>
      <c r="O27" s="811"/>
      <c r="Q27" s="809" t="s">
        <v>111</v>
      </c>
      <c r="R27" s="810"/>
      <c r="S27" s="811"/>
      <c r="U27" s="809" t="s">
        <v>111</v>
      </c>
      <c r="V27" s="810"/>
      <c r="W27" s="811"/>
    </row>
    <row r="28" spans="2:23" ht="15.75" x14ac:dyDescent="0.25">
      <c r="B28" s="239" t="s">
        <v>15</v>
      </c>
      <c r="C28" s="240"/>
      <c r="D28" s="5"/>
      <c r="E28" s="253" t="s">
        <v>101</v>
      </c>
      <c r="F28" s="254"/>
      <c r="G28" s="255"/>
      <c r="H28" s="4"/>
      <c r="I28" s="226" t="s">
        <v>111</v>
      </c>
      <c r="J28" s="434"/>
      <c r="K28" s="435"/>
      <c r="L28" s="3"/>
      <c r="M28" s="809" t="s">
        <v>668</v>
      </c>
      <c r="N28" s="810"/>
      <c r="O28" s="811"/>
      <c r="Q28" s="809" t="s">
        <v>111</v>
      </c>
      <c r="R28" s="810"/>
      <c r="S28" s="811"/>
      <c r="U28" s="809" t="s">
        <v>111</v>
      </c>
      <c r="V28" s="810"/>
      <c r="W28" s="811"/>
    </row>
    <row r="29" spans="2:23" ht="15.75" x14ac:dyDescent="0.25">
      <c r="B29" s="239" t="s">
        <v>16</v>
      </c>
      <c r="C29" s="240"/>
      <c r="D29" s="5"/>
      <c r="E29" s="253" t="s">
        <v>101</v>
      </c>
      <c r="F29" s="254"/>
      <c r="G29" s="255"/>
      <c r="H29" s="4"/>
      <c r="I29" s="226" t="s">
        <v>111</v>
      </c>
      <c r="J29" s="434"/>
      <c r="K29" s="435"/>
      <c r="L29" s="3"/>
      <c r="M29" s="809" t="s">
        <v>668</v>
      </c>
      <c r="N29" s="810"/>
      <c r="O29" s="811"/>
      <c r="Q29" s="809" t="s">
        <v>111</v>
      </c>
      <c r="R29" s="810"/>
      <c r="S29" s="811"/>
      <c r="U29" s="809" t="s">
        <v>111</v>
      </c>
      <c r="V29" s="810"/>
      <c r="W29" s="811"/>
    </row>
    <row r="30" spans="2:23" ht="15.75" x14ac:dyDescent="0.25">
      <c r="B30" s="239" t="s">
        <v>17</v>
      </c>
      <c r="C30" s="240"/>
      <c r="D30" s="5"/>
      <c r="E30" s="253" t="s">
        <v>101</v>
      </c>
      <c r="F30" s="254"/>
      <c r="G30" s="255"/>
      <c r="H30" s="4"/>
      <c r="I30" s="226" t="s">
        <v>111</v>
      </c>
      <c r="J30" s="434"/>
      <c r="K30" s="435"/>
      <c r="L30" s="3"/>
      <c r="M30" s="809" t="s">
        <v>668</v>
      </c>
      <c r="N30" s="810"/>
      <c r="O30" s="811"/>
      <c r="Q30" s="809" t="s">
        <v>111</v>
      </c>
      <c r="R30" s="810"/>
      <c r="S30" s="811"/>
      <c r="U30" s="809" t="s">
        <v>111</v>
      </c>
      <c r="V30" s="810"/>
      <c r="W30" s="811"/>
    </row>
    <row r="31" spans="2:23" ht="15.75" x14ac:dyDescent="0.25">
      <c r="B31" s="239" t="s">
        <v>18</v>
      </c>
      <c r="C31" s="240"/>
      <c r="D31" s="136"/>
      <c r="E31" s="253" t="s">
        <v>101</v>
      </c>
      <c r="F31" s="254"/>
      <c r="G31" s="255"/>
      <c r="H31" s="138"/>
      <c r="I31" s="289" t="s">
        <v>111</v>
      </c>
      <c r="J31" s="290"/>
      <c r="K31" s="291"/>
      <c r="L31" s="141"/>
      <c r="M31" s="809" t="s">
        <v>668</v>
      </c>
      <c r="N31" s="810"/>
      <c r="O31" s="811"/>
      <c r="P31" s="139"/>
      <c r="Q31" s="658" t="s">
        <v>111</v>
      </c>
      <c r="R31" s="659"/>
      <c r="S31" s="660"/>
      <c r="T31" s="139"/>
      <c r="U31" s="658" t="s">
        <v>111</v>
      </c>
      <c r="V31" s="659"/>
      <c r="W31" s="660"/>
    </row>
    <row r="32" spans="2:23" ht="15.75" x14ac:dyDescent="0.25">
      <c r="B32" s="261" t="s">
        <v>98</v>
      </c>
      <c r="C32" s="262"/>
      <c r="D32" s="5"/>
      <c r="E32" s="253" t="s">
        <v>101</v>
      </c>
      <c r="F32" s="254"/>
      <c r="G32" s="255"/>
      <c r="H32" s="4"/>
      <c r="I32" s="232" t="s">
        <v>111</v>
      </c>
      <c r="J32" s="233"/>
      <c r="K32" s="234"/>
      <c r="L32" s="3"/>
      <c r="M32" s="809" t="s">
        <v>668</v>
      </c>
      <c r="N32" s="810"/>
      <c r="O32" s="811"/>
      <c r="Q32" s="804" t="s">
        <v>111</v>
      </c>
      <c r="R32" s="805"/>
      <c r="S32" s="806"/>
      <c r="U32" s="804" t="s">
        <v>111</v>
      </c>
      <c r="V32" s="805"/>
      <c r="W32" s="806"/>
    </row>
    <row r="33" spans="2:23" ht="15.75" x14ac:dyDescent="0.25">
      <c r="B33" s="239" t="s">
        <v>19</v>
      </c>
      <c r="C33" s="240"/>
      <c r="D33" s="5"/>
      <c r="E33" s="253" t="s">
        <v>101</v>
      </c>
      <c r="F33" s="254"/>
      <c r="G33" s="255"/>
      <c r="H33" s="4"/>
      <c r="I33" s="226" t="s">
        <v>111</v>
      </c>
      <c r="J33" s="434"/>
      <c r="K33" s="435"/>
      <c r="L33" s="3"/>
      <c r="M33" s="809" t="s">
        <v>668</v>
      </c>
      <c r="N33" s="810"/>
      <c r="O33" s="811"/>
      <c r="Q33" s="809" t="s">
        <v>111</v>
      </c>
      <c r="R33" s="810"/>
      <c r="S33" s="811"/>
      <c r="U33" s="809" t="s">
        <v>111</v>
      </c>
      <c r="V33" s="810"/>
      <c r="W33" s="811"/>
    </row>
    <row r="34" spans="2:23" ht="15.75" x14ac:dyDescent="0.25">
      <c r="B34" s="239" t="s">
        <v>20</v>
      </c>
      <c r="C34" s="240"/>
      <c r="D34" s="5"/>
      <c r="E34" s="253" t="s">
        <v>101</v>
      </c>
      <c r="F34" s="254"/>
      <c r="G34" s="255"/>
      <c r="H34" s="4"/>
      <c r="I34" s="226" t="s">
        <v>111</v>
      </c>
      <c r="J34" s="434"/>
      <c r="K34" s="435"/>
      <c r="L34" s="3"/>
      <c r="M34" s="809" t="s">
        <v>668</v>
      </c>
      <c r="N34" s="810"/>
      <c r="O34" s="811"/>
      <c r="Q34" s="809" t="s">
        <v>111</v>
      </c>
      <c r="R34" s="810"/>
      <c r="S34" s="811"/>
      <c r="U34" s="809" t="s">
        <v>111</v>
      </c>
      <c r="V34" s="810"/>
      <c r="W34" s="811"/>
    </row>
    <row r="35" spans="2:23" ht="15.75" x14ac:dyDescent="0.25">
      <c r="B35" s="239" t="s">
        <v>21</v>
      </c>
      <c r="C35" s="240"/>
      <c r="E35" s="253" t="s">
        <v>101</v>
      </c>
      <c r="F35" s="254"/>
      <c r="G35" s="255"/>
      <c r="I35" s="226" t="s">
        <v>111</v>
      </c>
      <c r="J35" s="434"/>
      <c r="K35" s="435"/>
      <c r="M35" s="809" t="s">
        <v>668</v>
      </c>
      <c r="N35" s="810"/>
      <c r="O35" s="811"/>
      <c r="Q35" s="809" t="s">
        <v>111</v>
      </c>
      <c r="R35" s="810"/>
      <c r="S35" s="811"/>
      <c r="U35" s="809" t="s">
        <v>111</v>
      </c>
      <c r="V35" s="810"/>
      <c r="W35" s="811"/>
    </row>
    <row r="36" spans="2:23" ht="16.5" thickBot="1" x14ac:dyDescent="0.3">
      <c r="B36" s="416" t="s">
        <v>22</v>
      </c>
      <c r="C36" s="417"/>
      <c r="E36" s="212" t="s">
        <v>101</v>
      </c>
      <c r="F36" s="213"/>
      <c r="G36" s="214"/>
      <c r="I36" s="215" t="s">
        <v>111</v>
      </c>
      <c r="J36" s="216"/>
      <c r="K36" s="217"/>
      <c r="M36" s="797" t="s">
        <v>668</v>
      </c>
      <c r="N36" s="798"/>
      <c r="O36" s="799"/>
      <c r="Q36" s="797" t="s">
        <v>111</v>
      </c>
      <c r="R36" s="798"/>
      <c r="S36" s="799"/>
      <c r="U36" s="922" t="s">
        <v>881</v>
      </c>
      <c r="V36" s="923"/>
      <c r="W36" s="924"/>
    </row>
    <row r="37" spans="2:23" ht="15.75" x14ac:dyDescent="0.25">
      <c r="B37" s="9"/>
      <c r="C37" s="9"/>
    </row>
    <row r="38" spans="2:23" ht="15.75" x14ac:dyDescent="0.25">
      <c r="B38" s="9"/>
      <c r="C38" s="9"/>
    </row>
    <row r="39" spans="2:23" ht="15.75" x14ac:dyDescent="0.25">
      <c r="B39" s="616" t="s">
        <v>39</v>
      </c>
      <c r="C39" s="616"/>
      <c r="E39" s="704" t="s">
        <v>46</v>
      </c>
      <c r="F39" s="704"/>
      <c r="G39" s="704"/>
      <c r="H39" s="7"/>
      <c r="I39" s="705" t="s">
        <v>457</v>
      </c>
      <c r="J39" s="705"/>
      <c r="K39" s="705"/>
      <c r="L39" s="2"/>
      <c r="M39" s="706" t="s">
        <v>508</v>
      </c>
      <c r="N39" s="706"/>
      <c r="O39" s="706"/>
      <c r="Q39" s="706" t="s">
        <v>495</v>
      </c>
      <c r="R39" s="706"/>
      <c r="S39" s="706"/>
      <c r="U39" s="706" t="s">
        <v>507</v>
      </c>
      <c r="V39" s="706"/>
      <c r="W39" s="706"/>
    </row>
    <row r="40" spans="2:23" ht="16.5" thickBot="1" x14ac:dyDescent="0.3">
      <c r="B40" s="9"/>
      <c r="C40" s="9"/>
    </row>
    <row r="41" spans="2:23" ht="15.75" x14ac:dyDescent="0.25">
      <c r="B41" s="423" t="s">
        <v>40</v>
      </c>
      <c r="C41" s="424"/>
      <c r="E41" s="707" t="s">
        <v>101</v>
      </c>
      <c r="F41" s="708"/>
      <c r="G41" s="709"/>
      <c r="H41" s="4"/>
      <c r="I41" s="200" t="s">
        <v>111</v>
      </c>
      <c r="J41" s="201"/>
      <c r="K41" s="202"/>
      <c r="L41" s="3"/>
      <c r="M41" s="792" t="s">
        <v>668</v>
      </c>
      <c r="N41" s="793"/>
      <c r="O41" s="794"/>
      <c r="Q41" s="792" t="s">
        <v>111</v>
      </c>
      <c r="R41" s="793"/>
      <c r="S41" s="794"/>
      <c r="U41" s="792" t="s">
        <v>111</v>
      </c>
      <c r="V41" s="793"/>
      <c r="W41" s="794"/>
    </row>
    <row r="42" spans="2:23" ht="16.5" thickBot="1" x14ac:dyDescent="0.3">
      <c r="B42" s="347" t="s">
        <v>41</v>
      </c>
      <c r="C42" s="348"/>
      <c r="E42" s="401" t="s">
        <v>107</v>
      </c>
      <c r="F42" s="402"/>
      <c r="G42" s="403"/>
      <c r="H42" s="4"/>
      <c r="I42" s="215" t="s">
        <v>111</v>
      </c>
      <c r="J42" s="216"/>
      <c r="K42" s="217"/>
      <c r="L42" s="3"/>
      <c r="M42" s="797" t="s">
        <v>668</v>
      </c>
      <c r="N42" s="798"/>
      <c r="O42" s="799"/>
      <c r="Q42" s="797" t="s">
        <v>111</v>
      </c>
      <c r="R42" s="798"/>
      <c r="S42" s="799"/>
      <c r="U42" s="797" t="s">
        <v>111</v>
      </c>
      <c r="V42" s="798"/>
      <c r="W42" s="799"/>
    </row>
    <row r="43" spans="2:23" ht="15.75" x14ac:dyDescent="0.25">
      <c r="B43" s="9"/>
      <c r="C43" s="9"/>
    </row>
    <row r="45" spans="2:23" ht="15.75" x14ac:dyDescent="0.25">
      <c r="B45" s="974" t="s">
        <v>2</v>
      </c>
      <c r="C45" s="974"/>
      <c r="D45" s="6"/>
      <c r="E45" s="975" t="s">
        <v>46</v>
      </c>
      <c r="F45" s="975"/>
      <c r="G45" s="975"/>
      <c r="H45" s="7"/>
      <c r="I45" s="828" t="s">
        <v>457</v>
      </c>
      <c r="J45" s="828"/>
      <c r="K45" s="828"/>
      <c r="L45" s="2"/>
      <c r="M45" s="736" t="s">
        <v>508</v>
      </c>
      <c r="N45" s="736"/>
      <c r="O45" s="736"/>
      <c r="Q45" s="736" t="s">
        <v>495</v>
      </c>
      <c r="R45" s="736"/>
      <c r="S45" s="736"/>
      <c r="U45" s="736" t="s">
        <v>507</v>
      </c>
      <c r="V45" s="736"/>
      <c r="W45" s="736"/>
    </row>
    <row r="46" spans="2:23" ht="15.75" thickBot="1" x14ac:dyDescent="0.3">
      <c r="B46" s="596"/>
      <c r="C46" s="596"/>
      <c r="D46" s="5"/>
      <c r="E46" s="5"/>
    </row>
    <row r="47" spans="2:23" ht="15.75" x14ac:dyDescent="0.25">
      <c r="B47" s="664" t="s">
        <v>23</v>
      </c>
      <c r="C47" s="665"/>
      <c r="D47" s="136"/>
      <c r="E47" s="666" t="s">
        <v>763</v>
      </c>
      <c r="F47" s="667"/>
      <c r="G47" s="668"/>
      <c r="H47" s="4"/>
      <c r="I47" s="200" t="s">
        <v>111</v>
      </c>
      <c r="J47" s="201"/>
      <c r="K47" s="202"/>
      <c r="L47" s="3"/>
      <c r="M47" s="792" t="s">
        <v>111</v>
      </c>
      <c r="N47" s="793"/>
      <c r="O47" s="794"/>
      <c r="Q47" s="792" t="s">
        <v>111</v>
      </c>
      <c r="R47" s="793"/>
      <c r="S47" s="794"/>
      <c r="U47" s="792" t="s">
        <v>111</v>
      </c>
      <c r="V47" s="793"/>
      <c r="W47" s="794"/>
    </row>
    <row r="48" spans="2:23" ht="15.75" x14ac:dyDescent="0.25">
      <c r="B48" s="656" t="s">
        <v>24</v>
      </c>
      <c r="C48" s="657"/>
      <c r="D48" s="136"/>
      <c r="E48" s="270" t="s">
        <v>763</v>
      </c>
      <c r="F48" s="271"/>
      <c r="G48" s="272"/>
      <c r="H48" s="4"/>
      <c r="I48" s="226" t="s">
        <v>111</v>
      </c>
      <c r="J48" s="434"/>
      <c r="K48" s="435"/>
      <c r="L48" s="3"/>
      <c r="M48" s="809" t="s">
        <v>111</v>
      </c>
      <c r="N48" s="810"/>
      <c r="O48" s="811"/>
      <c r="Q48" s="809" t="s">
        <v>111</v>
      </c>
      <c r="R48" s="810"/>
      <c r="S48" s="811"/>
      <c r="U48" s="809" t="s">
        <v>111</v>
      </c>
      <c r="V48" s="810"/>
      <c r="W48" s="811"/>
    </row>
    <row r="49" spans="2:23" ht="15.75" x14ac:dyDescent="0.25">
      <c r="B49" s="656" t="s">
        <v>25</v>
      </c>
      <c r="C49" s="657"/>
      <c r="D49" s="136"/>
      <c r="E49" s="270" t="s">
        <v>763</v>
      </c>
      <c r="F49" s="271"/>
      <c r="G49" s="272"/>
      <c r="H49" s="4"/>
      <c r="I49" s="226" t="s">
        <v>111</v>
      </c>
      <c r="J49" s="434"/>
      <c r="K49" s="435"/>
      <c r="L49" s="3"/>
      <c r="M49" s="809" t="s">
        <v>111</v>
      </c>
      <c r="N49" s="810"/>
      <c r="O49" s="811"/>
      <c r="Q49" s="809" t="s">
        <v>111</v>
      </c>
      <c r="R49" s="810"/>
      <c r="S49" s="811"/>
      <c r="U49" s="809" t="s">
        <v>111</v>
      </c>
      <c r="V49" s="810"/>
      <c r="W49" s="811"/>
    </row>
    <row r="50" spans="2:23" ht="15.75" x14ac:dyDescent="0.25">
      <c r="B50" s="656" t="s">
        <v>26</v>
      </c>
      <c r="C50" s="657"/>
      <c r="D50" s="136"/>
      <c r="E50" s="270" t="s">
        <v>763</v>
      </c>
      <c r="F50" s="271"/>
      <c r="G50" s="272"/>
      <c r="H50" s="4"/>
      <c r="I50" s="226" t="s">
        <v>111</v>
      </c>
      <c r="J50" s="434"/>
      <c r="K50" s="435"/>
      <c r="L50" s="3"/>
      <c r="M50" s="809" t="s">
        <v>111</v>
      </c>
      <c r="N50" s="810"/>
      <c r="O50" s="811"/>
      <c r="Q50" s="809" t="s">
        <v>111</v>
      </c>
      <c r="R50" s="810"/>
      <c r="S50" s="811"/>
      <c r="U50" s="809" t="s">
        <v>111</v>
      </c>
      <c r="V50" s="810"/>
      <c r="W50" s="811"/>
    </row>
    <row r="51" spans="2:23" ht="15.75" x14ac:dyDescent="0.25">
      <c r="B51" s="656" t="s">
        <v>27</v>
      </c>
      <c r="C51" s="657"/>
      <c r="D51" s="136"/>
      <c r="E51" s="270" t="s">
        <v>763</v>
      </c>
      <c r="F51" s="271"/>
      <c r="G51" s="272"/>
      <c r="H51" s="4"/>
      <c r="I51" s="226" t="s">
        <v>111</v>
      </c>
      <c r="J51" s="434"/>
      <c r="K51" s="435"/>
      <c r="L51" s="3"/>
      <c r="M51" s="809" t="s">
        <v>111</v>
      </c>
      <c r="N51" s="810"/>
      <c r="O51" s="811"/>
      <c r="Q51" s="809" t="s">
        <v>111</v>
      </c>
      <c r="R51" s="810"/>
      <c r="S51" s="811"/>
      <c r="U51" s="809" t="s">
        <v>111</v>
      </c>
      <c r="V51" s="810"/>
      <c r="W51" s="811"/>
    </row>
    <row r="52" spans="2:23" ht="15.75" x14ac:dyDescent="0.25">
      <c r="B52" s="656" t="s">
        <v>28</v>
      </c>
      <c r="C52" s="657"/>
      <c r="D52" s="136"/>
      <c r="E52" s="270" t="s">
        <v>763</v>
      </c>
      <c r="F52" s="271"/>
      <c r="G52" s="272"/>
      <c r="H52" s="4"/>
      <c r="I52" s="226" t="s">
        <v>111</v>
      </c>
      <c r="J52" s="434"/>
      <c r="K52" s="435"/>
      <c r="L52" s="3"/>
      <c r="M52" s="809" t="s">
        <v>111</v>
      </c>
      <c r="N52" s="810"/>
      <c r="O52" s="811"/>
      <c r="Q52" s="809" t="s">
        <v>111</v>
      </c>
      <c r="R52" s="810"/>
      <c r="S52" s="811"/>
      <c r="U52" s="809" t="s">
        <v>111</v>
      </c>
      <c r="V52" s="810"/>
      <c r="W52" s="811"/>
    </row>
    <row r="53" spans="2:23" ht="15.75" x14ac:dyDescent="0.25">
      <c r="B53" s="656" t="s">
        <v>29</v>
      </c>
      <c r="C53" s="657"/>
      <c r="D53" s="136"/>
      <c r="E53" s="270" t="s">
        <v>763</v>
      </c>
      <c r="F53" s="271"/>
      <c r="G53" s="272"/>
      <c r="H53" s="4"/>
      <c r="I53" s="226" t="s">
        <v>111</v>
      </c>
      <c r="J53" s="434"/>
      <c r="K53" s="435"/>
      <c r="L53" s="3"/>
      <c r="M53" s="809" t="s">
        <v>111</v>
      </c>
      <c r="N53" s="810"/>
      <c r="O53" s="811"/>
      <c r="Q53" s="809" t="s">
        <v>111</v>
      </c>
      <c r="R53" s="810"/>
      <c r="S53" s="811"/>
      <c r="U53" s="809" t="s">
        <v>111</v>
      </c>
      <c r="V53" s="810"/>
      <c r="W53" s="811"/>
    </row>
    <row r="54" spans="2:23" ht="16.5" thickBot="1" x14ac:dyDescent="0.3">
      <c r="B54" s="265" t="s">
        <v>30</v>
      </c>
      <c r="C54" s="266"/>
      <c r="D54" s="139"/>
      <c r="E54" s="398" t="s">
        <v>763</v>
      </c>
      <c r="F54" s="399"/>
      <c r="G54" s="400"/>
      <c r="I54" s="215" t="s">
        <v>111</v>
      </c>
      <c r="J54" s="216"/>
      <c r="K54" s="217"/>
      <c r="M54" s="797" t="s">
        <v>111</v>
      </c>
      <c r="N54" s="798"/>
      <c r="O54" s="799"/>
      <c r="Q54" s="797" t="s">
        <v>111</v>
      </c>
      <c r="R54" s="798"/>
      <c r="S54" s="799"/>
      <c r="U54" s="797" t="s">
        <v>111</v>
      </c>
      <c r="V54" s="798"/>
      <c r="W54" s="799"/>
    </row>
    <row r="57" spans="2:23" ht="15.75" x14ac:dyDescent="0.25">
      <c r="B57" s="971" t="s">
        <v>50</v>
      </c>
      <c r="C57" s="971"/>
      <c r="E57" s="972" t="s">
        <v>46</v>
      </c>
      <c r="F57" s="972"/>
      <c r="G57" s="972"/>
      <c r="H57" s="7"/>
      <c r="I57" s="973" t="s">
        <v>457</v>
      </c>
      <c r="J57" s="973"/>
      <c r="K57" s="973"/>
      <c r="L57" s="2"/>
      <c r="M57" s="663" t="s">
        <v>508</v>
      </c>
      <c r="N57" s="663"/>
      <c r="O57" s="663"/>
      <c r="Q57" s="663" t="s">
        <v>495</v>
      </c>
      <c r="R57" s="663"/>
      <c r="S57" s="663"/>
      <c r="U57" s="663" t="s">
        <v>507</v>
      </c>
      <c r="V57" s="663"/>
      <c r="W57" s="663"/>
    </row>
    <row r="58" spans="2:23" ht="16.5" thickBot="1" x14ac:dyDescent="0.3">
      <c r="B58" s="9"/>
      <c r="C58" s="9"/>
    </row>
    <row r="59" spans="2:23" ht="15.75" x14ac:dyDescent="0.25">
      <c r="B59" s="664" t="s">
        <v>108</v>
      </c>
      <c r="C59" s="665"/>
      <c r="D59" s="139"/>
      <c r="E59" s="666" t="s">
        <v>763</v>
      </c>
      <c r="F59" s="667"/>
      <c r="G59" s="668"/>
      <c r="H59" s="4"/>
      <c r="I59" s="200" t="s">
        <v>111</v>
      </c>
      <c r="J59" s="201"/>
      <c r="K59" s="202"/>
      <c r="L59" s="3"/>
      <c r="M59" s="792" t="s">
        <v>111</v>
      </c>
      <c r="N59" s="793"/>
      <c r="O59" s="794"/>
      <c r="Q59" s="792" t="s">
        <v>111</v>
      </c>
      <c r="R59" s="793"/>
      <c r="S59" s="794"/>
      <c r="U59" s="792" t="s">
        <v>111</v>
      </c>
      <c r="V59" s="793"/>
      <c r="W59" s="794"/>
    </row>
    <row r="60" spans="2:23" ht="16.5" thickBot="1" x14ac:dyDescent="0.3">
      <c r="B60" s="265" t="s">
        <v>109</v>
      </c>
      <c r="C60" s="266"/>
      <c r="D60" s="139"/>
      <c r="E60" s="398" t="s">
        <v>763</v>
      </c>
      <c r="F60" s="399"/>
      <c r="G60" s="400"/>
      <c r="H60" s="4"/>
      <c r="I60" s="215" t="s">
        <v>111</v>
      </c>
      <c r="J60" s="216"/>
      <c r="K60" s="217"/>
      <c r="L60" s="3"/>
      <c r="M60" s="797" t="s">
        <v>111</v>
      </c>
      <c r="N60" s="798"/>
      <c r="O60" s="799"/>
      <c r="Q60" s="797" t="s">
        <v>111</v>
      </c>
      <c r="R60" s="798"/>
      <c r="S60" s="799"/>
      <c r="U60" s="797" t="s">
        <v>111</v>
      </c>
      <c r="V60" s="798"/>
      <c r="W60" s="799"/>
    </row>
    <row r="62" spans="2:23" ht="15.75" x14ac:dyDescent="0.25">
      <c r="B62" s="965" t="s">
        <v>114</v>
      </c>
      <c r="C62" s="965"/>
      <c r="E62" s="966" t="s">
        <v>46</v>
      </c>
      <c r="F62" s="966"/>
      <c r="G62" s="966"/>
      <c r="H62" s="7"/>
      <c r="I62" s="967" t="s">
        <v>457</v>
      </c>
      <c r="J62" s="967"/>
      <c r="K62" s="967"/>
      <c r="L62" s="2"/>
      <c r="M62" s="634" t="s">
        <v>508</v>
      </c>
      <c r="N62" s="634"/>
      <c r="O62" s="634"/>
      <c r="Q62" s="634" t="s">
        <v>495</v>
      </c>
      <c r="R62" s="634"/>
      <c r="S62" s="634"/>
      <c r="U62" s="634" t="s">
        <v>507</v>
      </c>
      <c r="V62" s="634"/>
      <c r="W62" s="634"/>
    </row>
    <row r="63" spans="2:23" ht="16.5" thickBot="1" x14ac:dyDescent="0.3">
      <c r="B63" s="9"/>
      <c r="C63" s="9"/>
    </row>
    <row r="64" spans="2:23" ht="16.5" thickBot="1" x14ac:dyDescent="0.3">
      <c r="B64" s="915" t="s">
        <v>529</v>
      </c>
      <c r="C64" s="916"/>
      <c r="D64" s="139"/>
      <c r="E64" s="968" t="s">
        <v>763</v>
      </c>
      <c r="F64" s="969"/>
      <c r="G64" s="970"/>
      <c r="H64" s="4"/>
      <c r="I64" s="550" t="s">
        <v>111</v>
      </c>
      <c r="J64" s="641"/>
      <c r="K64" s="642"/>
      <c r="L64" s="3"/>
      <c r="M64" s="772" t="s">
        <v>111</v>
      </c>
      <c r="N64" s="773"/>
      <c r="O64" s="774"/>
      <c r="Q64" s="772" t="s">
        <v>111</v>
      </c>
      <c r="R64" s="773"/>
      <c r="S64" s="774"/>
      <c r="U64" s="772" t="s">
        <v>111</v>
      </c>
      <c r="V64" s="773"/>
      <c r="W64" s="774"/>
    </row>
  </sheetData>
  <mergeCells count="238">
    <mergeCell ref="Q11:S11"/>
    <mergeCell ref="Q13:S13"/>
    <mergeCell ref="B16:C16"/>
    <mergeCell ref="E16:G16"/>
    <mergeCell ref="I16:K16"/>
    <mergeCell ref="M16:O16"/>
    <mergeCell ref="B11:C11"/>
    <mergeCell ref="E11:G11"/>
    <mergeCell ref="I11:K11"/>
    <mergeCell ref="M11:O11"/>
    <mergeCell ref="B12:C12"/>
    <mergeCell ref="B13:C13"/>
    <mergeCell ref="E13:G13"/>
    <mergeCell ref="I13:K13"/>
    <mergeCell ref="M13:O13"/>
    <mergeCell ref="B14:C14"/>
    <mergeCell ref="B15:C15"/>
    <mergeCell ref="E14:G14"/>
    <mergeCell ref="E15:G15"/>
    <mergeCell ref="I14:K14"/>
    <mergeCell ref="I15:K15"/>
    <mergeCell ref="M14:O14"/>
    <mergeCell ref="M15:O15"/>
    <mergeCell ref="Q14:S14"/>
    <mergeCell ref="B19:C19"/>
    <mergeCell ref="E19:G19"/>
    <mergeCell ref="I19:K19"/>
    <mergeCell ref="M19:O19"/>
    <mergeCell ref="B21:C21"/>
    <mergeCell ref="E21:G21"/>
    <mergeCell ref="I21:K21"/>
    <mergeCell ref="M21:O21"/>
    <mergeCell ref="B17:C17"/>
    <mergeCell ref="E17:G17"/>
    <mergeCell ref="I17:K17"/>
    <mergeCell ref="M17:O17"/>
    <mergeCell ref="B18:C18"/>
    <mergeCell ref="E18:G18"/>
    <mergeCell ref="I18:K18"/>
    <mergeCell ref="M18:O18"/>
    <mergeCell ref="B20:C20"/>
    <mergeCell ref="E20:G20"/>
    <mergeCell ref="I20:K20"/>
    <mergeCell ref="M20:O20"/>
    <mergeCell ref="B24:C24"/>
    <mergeCell ref="E24:G24"/>
    <mergeCell ref="I24:K24"/>
    <mergeCell ref="M24:O24"/>
    <mergeCell ref="B25:C25"/>
    <mergeCell ref="B26:C26"/>
    <mergeCell ref="E26:G26"/>
    <mergeCell ref="I26:K26"/>
    <mergeCell ref="M26:O26"/>
    <mergeCell ref="B29:C29"/>
    <mergeCell ref="E29:G29"/>
    <mergeCell ref="I29:K29"/>
    <mergeCell ref="M29:O29"/>
    <mergeCell ref="B30:C30"/>
    <mergeCell ref="E30:G30"/>
    <mergeCell ref="I30:K30"/>
    <mergeCell ref="M30:O30"/>
    <mergeCell ref="B27:C27"/>
    <mergeCell ref="E27:G27"/>
    <mergeCell ref="I27:K27"/>
    <mergeCell ref="M27:O27"/>
    <mergeCell ref="B28:C28"/>
    <mergeCell ref="E28:G28"/>
    <mergeCell ref="I28:K28"/>
    <mergeCell ref="M28:O28"/>
    <mergeCell ref="B34:C34"/>
    <mergeCell ref="E34:G34"/>
    <mergeCell ref="I34:K34"/>
    <mergeCell ref="M34:O34"/>
    <mergeCell ref="B35:C35"/>
    <mergeCell ref="E35:G35"/>
    <mergeCell ref="I35:K35"/>
    <mergeCell ref="M35:O35"/>
    <mergeCell ref="B31:C31"/>
    <mergeCell ref="E31:G31"/>
    <mergeCell ref="I31:K31"/>
    <mergeCell ref="M31:O31"/>
    <mergeCell ref="B33:C33"/>
    <mergeCell ref="E33:G33"/>
    <mergeCell ref="I33:K33"/>
    <mergeCell ref="M33:O33"/>
    <mergeCell ref="B32:C32"/>
    <mergeCell ref="I32:K32"/>
    <mergeCell ref="M32:O32"/>
    <mergeCell ref="E32:G32"/>
    <mergeCell ref="B41:C41"/>
    <mergeCell ref="E41:G41"/>
    <mergeCell ref="I41:K41"/>
    <mergeCell ref="M41:O41"/>
    <mergeCell ref="B42:C42"/>
    <mergeCell ref="E42:G42"/>
    <mergeCell ref="I42:K42"/>
    <mergeCell ref="M42:O42"/>
    <mergeCell ref="B36:C36"/>
    <mergeCell ref="E36:G36"/>
    <mergeCell ref="I36:K36"/>
    <mergeCell ref="M36:O36"/>
    <mergeCell ref="B39:C39"/>
    <mergeCell ref="E39:G39"/>
    <mergeCell ref="I39:K39"/>
    <mergeCell ref="M39:O39"/>
    <mergeCell ref="B45:C45"/>
    <mergeCell ref="E45:G45"/>
    <mergeCell ref="I45:K45"/>
    <mergeCell ref="M45:O45"/>
    <mergeCell ref="B46:C46"/>
    <mergeCell ref="B47:C47"/>
    <mergeCell ref="E47:G47"/>
    <mergeCell ref="I47:K47"/>
    <mergeCell ref="M47:O47"/>
    <mergeCell ref="B50:C50"/>
    <mergeCell ref="E50:G50"/>
    <mergeCell ref="I50:K50"/>
    <mergeCell ref="M50:O50"/>
    <mergeCell ref="B51:C51"/>
    <mergeCell ref="E51:G51"/>
    <mergeCell ref="I51:K51"/>
    <mergeCell ref="M51:O51"/>
    <mergeCell ref="B48:C48"/>
    <mergeCell ref="E48:G48"/>
    <mergeCell ref="I48:K48"/>
    <mergeCell ref="M48:O48"/>
    <mergeCell ref="B49:C49"/>
    <mergeCell ref="E49:G49"/>
    <mergeCell ref="I49:K49"/>
    <mergeCell ref="M49:O49"/>
    <mergeCell ref="B54:C54"/>
    <mergeCell ref="E54:G54"/>
    <mergeCell ref="I54:K54"/>
    <mergeCell ref="M54:O54"/>
    <mergeCell ref="B57:C57"/>
    <mergeCell ref="E57:G57"/>
    <mergeCell ref="I57:K57"/>
    <mergeCell ref="M57:O57"/>
    <mergeCell ref="B52:C52"/>
    <mergeCell ref="E52:G52"/>
    <mergeCell ref="I52:K52"/>
    <mergeCell ref="M52:O52"/>
    <mergeCell ref="B53:C53"/>
    <mergeCell ref="E53:G53"/>
    <mergeCell ref="I53:K53"/>
    <mergeCell ref="M53:O53"/>
    <mergeCell ref="B62:C62"/>
    <mergeCell ref="E62:G62"/>
    <mergeCell ref="I62:K62"/>
    <mergeCell ref="M62:O62"/>
    <mergeCell ref="B64:C64"/>
    <mergeCell ref="E64:G64"/>
    <mergeCell ref="I64:K64"/>
    <mergeCell ref="M64:O64"/>
    <mergeCell ref="B59:C59"/>
    <mergeCell ref="E59:G59"/>
    <mergeCell ref="I59:K59"/>
    <mergeCell ref="M59:O59"/>
    <mergeCell ref="B60:C60"/>
    <mergeCell ref="E60:G60"/>
    <mergeCell ref="I60:K60"/>
    <mergeCell ref="M60:O60"/>
    <mergeCell ref="Q15:S15"/>
    <mergeCell ref="Q16:S16"/>
    <mergeCell ref="Q17:S17"/>
    <mergeCell ref="Q18:S18"/>
    <mergeCell ref="Q19:S19"/>
    <mergeCell ref="Q20:S20"/>
    <mergeCell ref="Q21:S21"/>
    <mergeCell ref="Q24:S24"/>
    <mergeCell ref="Q26:S26"/>
    <mergeCell ref="Q27:S27"/>
    <mergeCell ref="Q28:S28"/>
    <mergeCell ref="Q29:S29"/>
    <mergeCell ref="Q30:S30"/>
    <mergeCell ref="Q31:S31"/>
    <mergeCell ref="Q32:S32"/>
    <mergeCell ref="Q33:S33"/>
    <mergeCell ref="Q34:S34"/>
    <mergeCell ref="Q51:S51"/>
    <mergeCell ref="Q52:S52"/>
    <mergeCell ref="Q53:S53"/>
    <mergeCell ref="Q54:S54"/>
    <mergeCell ref="Q57:S57"/>
    <mergeCell ref="Q59:S59"/>
    <mergeCell ref="Q60:S60"/>
    <mergeCell ref="Q62:S62"/>
    <mergeCell ref="Q35:S35"/>
    <mergeCell ref="Q36:S36"/>
    <mergeCell ref="Q39:S39"/>
    <mergeCell ref="Q41:S41"/>
    <mergeCell ref="Q42:S42"/>
    <mergeCell ref="Q45:S45"/>
    <mergeCell ref="Q47:S47"/>
    <mergeCell ref="Q48:S48"/>
    <mergeCell ref="Q49:S49"/>
    <mergeCell ref="U30:W30"/>
    <mergeCell ref="U31:W31"/>
    <mergeCell ref="U32:W32"/>
    <mergeCell ref="U33:W33"/>
    <mergeCell ref="U34:W34"/>
    <mergeCell ref="U35:W35"/>
    <mergeCell ref="U36:W36"/>
    <mergeCell ref="U39:W39"/>
    <mergeCell ref="Q50:S50"/>
    <mergeCell ref="U18:W18"/>
    <mergeCell ref="U19:W19"/>
    <mergeCell ref="U20:W20"/>
    <mergeCell ref="U21:W21"/>
    <mergeCell ref="U24:W24"/>
    <mergeCell ref="U26:W26"/>
    <mergeCell ref="U27:W27"/>
    <mergeCell ref="U28:W28"/>
    <mergeCell ref="U29:W29"/>
    <mergeCell ref="U53:W53"/>
    <mergeCell ref="U54:W54"/>
    <mergeCell ref="U57:W57"/>
    <mergeCell ref="U59:W59"/>
    <mergeCell ref="U60:W60"/>
    <mergeCell ref="U62:W62"/>
    <mergeCell ref="U64:W64"/>
    <mergeCell ref="A7:W7"/>
    <mergeCell ref="U41:W41"/>
    <mergeCell ref="U42:W42"/>
    <mergeCell ref="U45:W45"/>
    <mergeCell ref="U47:W47"/>
    <mergeCell ref="U48:W48"/>
    <mergeCell ref="U49:W49"/>
    <mergeCell ref="U50:W50"/>
    <mergeCell ref="U51:W51"/>
    <mergeCell ref="U52:W52"/>
    <mergeCell ref="Q64:S64"/>
    <mergeCell ref="U11:W11"/>
    <mergeCell ref="U13:W13"/>
    <mergeCell ref="U14:W14"/>
    <mergeCell ref="U15:W15"/>
    <mergeCell ref="U16:W16"/>
    <mergeCell ref="U17:W17"/>
  </mergeCell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W69"/>
  <sheetViews>
    <sheetView workbookViewId="0">
      <pane ySplit="6" topLeftCell="A55" activePane="bottomLeft" state="frozen"/>
      <selection pane="bottomLeft"/>
    </sheetView>
  </sheetViews>
  <sheetFormatPr defaultColWidth="9.140625" defaultRowHeight="15" x14ac:dyDescent="0.25"/>
  <cols>
    <col min="1" max="1" width="1.7109375" style="1" customWidth="1"/>
    <col min="2" max="3" width="9.140625" style="1"/>
    <col min="4" max="4" width="1.7109375" style="1" customWidth="1"/>
    <col min="5" max="6" width="9.140625" style="1"/>
    <col min="7" max="7" width="6.42578125" style="1" customWidth="1"/>
    <col min="8" max="8" width="1.7109375" style="1" customWidth="1"/>
    <col min="9" max="10" width="9.140625" style="1"/>
    <col min="11" max="11" width="3.5703125" style="1" customWidth="1"/>
    <col min="12" max="12" width="1.7109375" style="1" customWidth="1"/>
    <col min="13" max="14" width="9.140625" style="1"/>
    <col min="15" max="15" width="11.42578125" style="1" customWidth="1"/>
    <col min="16" max="16" width="1.7109375" style="1" customWidth="1"/>
    <col min="17" max="18" width="9.140625" style="1"/>
    <col min="19" max="19" width="3.5703125" style="1" customWidth="1"/>
    <col min="20" max="20" width="1.7109375" style="1" customWidth="1"/>
    <col min="21" max="22" width="9.140625" style="1"/>
    <col min="23" max="23" width="10.7109375" style="1" customWidth="1"/>
    <col min="24" max="16384" width="9.140625" style="1"/>
  </cols>
  <sheetData>
    <row r="1" spans="1:23" s="150" customFormat="1" x14ac:dyDescent="0.25"/>
    <row r="2" spans="1:23" s="150" customFormat="1" x14ac:dyDescent="0.25"/>
    <row r="3" spans="1:23" s="150" customFormat="1" x14ac:dyDescent="0.25"/>
    <row r="4" spans="1:23" s="150" customFormat="1" x14ac:dyDescent="0.25"/>
    <row r="5" spans="1:23" s="150" customFormat="1" x14ac:dyDescent="0.25"/>
    <row r="6" spans="1:23" s="150" customFormat="1" x14ac:dyDescent="0.25"/>
    <row r="7" spans="1:23" s="150" customFormat="1" ht="21" customHeight="1" x14ac:dyDescent="0.25">
      <c r="A7" s="582" t="s">
        <v>752</v>
      </c>
      <c r="B7" s="582"/>
      <c r="C7" s="582"/>
      <c r="D7" s="582"/>
      <c r="E7" s="582"/>
      <c r="F7" s="582"/>
      <c r="G7" s="582"/>
      <c r="H7" s="582"/>
      <c r="I7" s="582"/>
      <c r="J7" s="582"/>
      <c r="K7" s="582"/>
      <c r="L7" s="582"/>
      <c r="M7" s="582"/>
      <c r="N7" s="582"/>
      <c r="O7" s="582"/>
      <c r="P7" s="582"/>
      <c r="Q7" s="582"/>
      <c r="R7" s="582"/>
      <c r="S7" s="582"/>
      <c r="T7" s="582"/>
      <c r="U7" s="582"/>
      <c r="V7" s="582"/>
      <c r="W7" s="582"/>
    </row>
    <row r="8" spans="1:23" s="150" customFormat="1" x14ac:dyDescent="0.25"/>
    <row r="9" spans="1:23" s="150" customFormat="1" x14ac:dyDescent="0.25"/>
    <row r="10" spans="1:23" s="150" customFormat="1" x14ac:dyDescent="0.25"/>
    <row r="11" spans="1:23" ht="15.75" x14ac:dyDescent="0.25">
      <c r="B11" s="595" t="s">
        <v>0</v>
      </c>
      <c r="C11" s="595"/>
      <c r="D11" s="6"/>
      <c r="E11" s="691" t="s">
        <v>48</v>
      </c>
      <c r="F11" s="691"/>
      <c r="G11" s="691"/>
      <c r="H11" s="7"/>
      <c r="I11" s="691" t="s">
        <v>507</v>
      </c>
      <c r="J11" s="691"/>
      <c r="K11" s="691"/>
      <c r="L11" s="2"/>
      <c r="M11" s="681" t="s">
        <v>47</v>
      </c>
      <c r="N11" s="681"/>
      <c r="O11" s="681"/>
      <c r="P11" s="4"/>
      <c r="Q11" s="691" t="s">
        <v>507</v>
      </c>
      <c r="R11" s="691"/>
      <c r="S11" s="691"/>
      <c r="U11" s="681" t="s">
        <v>12</v>
      </c>
      <c r="V11" s="681"/>
      <c r="W11" s="681"/>
    </row>
    <row r="12" spans="1:23" ht="15.75" thickBot="1" x14ac:dyDescent="0.3">
      <c r="B12" s="596"/>
      <c r="C12" s="596"/>
      <c r="D12" s="5"/>
      <c r="M12" s="5"/>
      <c r="U12" s="5"/>
    </row>
    <row r="13" spans="1:23" ht="15.75" x14ac:dyDescent="0.25">
      <c r="B13" s="389" t="s">
        <v>112</v>
      </c>
      <c r="C13" s="390"/>
      <c r="D13" s="5"/>
      <c r="E13" s="200" t="s">
        <v>598</v>
      </c>
      <c r="F13" s="201"/>
      <c r="G13" s="202"/>
      <c r="H13" s="4"/>
      <c r="I13" s="200" t="s">
        <v>111</v>
      </c>
      <c r="J13" s="201"/>
      <c r="K13" s="202"/>
      <c r="L13" s="3"/>
      <c r="M13" s="352" t="s">
        <v>672</v>
      </c>
      <c r="N13" s="353"/>
      <c r="O13" s="354"/>
      <c r="P13" s="8"/>
      <c r="Q13" s="200" t="s">
        <v>111</v>
      </c>
      <c r="R13" s="201"/>
      <c r="S13" s="202"/>
      <c r="U13" s="352" t="s">
        <v>111</v>
      </c>
      <c r="V13" s="353"/>
      <c r="W13" s="354"/>
    </row>
    <row r="14" spans="1:23" ht="15.75" x14ac:dyDescent="0.25">
      <c r="B14" s="239" t="s">
        <v>4</v>
      </c>
      <c r="C14" s="240"/>
      <c r="D14" s="5"/>
      <c r="E14" s="226" t="s">
        <v>599</v>
      </c>
      <c r="F14" s="434"/>
      <c r="G14" s="435"/>
      <c r="H14" s="4"/>
      <c r="I14" s="226" t="s">
        <v>111</v>
      </c>
      <c r="J14" s="434"/>
      <c r="K14" s="435"/>
      <c r="L14" s="3"/>
      <c r="M14" s="253" t="s">
        <v>673</v>
      </c>
      <c r="N14" s="254"/>
      <c r="O14" s="255"/>
      <c r="P14" s="8"/>
      <c r="Q14" s="226" t="s">
        <v>111</v>
      </c>
      <c r="R14" s="434"/>
      <c r="S14" s="435"/>
      <c r="U14" s="226" t="s">
        <v>111</v>
      </c>
      <c r="V14" s="434"/>
      <c r="W14" s="435"/>
    </row>
    <row r="15" spans="1:23" ht="15.75" x14ac:dyDescent="0.25">
      <c r="B15" s="239" t="s">
        <v>5</v>
      </c>
      <c r="C15" s="240"/>
      <c r="D15" s="5"/>
      <c r="E15" s="226" t="s">
        <v>599</v>
      </c>
      <c r="F15" s="434"/>
      <c r="G15" s="435"/>
      <c r="H15" s="4"/>
      <c r="I15" s="226" t="s">
        <v>111</v>
      </c>
      <c r="J15" s="434"/>
      <c r="K15" s="435"/>
      <c r="L15" s="3"/>
      <c r="M15" s="253" t="s">
        <v>674</v>
      </c>
      <c r="N15" s="254"/>
      <c r="O15" s="255"/>
      <c r="P15" s="8"/>
      <c r="Q15" s="226" t="s">
        <v>111</v>
      </c>
      <c r="R15" s="434"/>
      <c r="S15" s="435"/>
      <c r="U15" s="226" t="s">
        <v>111</v>
      </c>
      <c r="V15" s="434"/>
      <c r="W15" s="435"/>
    </row>
    <row r="16" spans="1:23" ht="15.75" x14ac:dyDescent="0.25">
      <c r="B16" s="239" t="s">
        <v>6</v>
      </c>
      <c r="C16" s="240"/>
      <c r="D16" s="5"/>
      <c r="E16" s="226" t="s">
        <v>599</v>
      </c>
      <c r="F16" s="434"/>
      <c r="G16" s="435"/>
      <c r="H16" s="4"/>
      <c r="I16" s="226" t="s">
        <v>111</v>
      </c>
      <c r="J16" s="434"/>
      <c r="K16" s="435"/>
      <c r="L16" s="3"/>
      <c r="M16" s="253" t="s">
        <v>675</v>
      </c>
      <c r="N16" s="254"/>
      <c r="O16" s="255"/>
      <c r="P16" s="8"/>
      <c r="Q16" s="226" t="s">
        <v>111</v>
      </c>
      <c r="R16" s="434"/>
      <c r="S16" s="435"/>
      <c r="U16" s="253" t="s">
        <v>111</v>
      </c>
      <c r="V16" s="254"/>
      <c r="W16" s="255"/>
    </row>
    <row r="17" spans="2:23" ht="15.75" x14ac:dyDescent="0.25">
      <c r="B17" s="239" t="s">
        <v>7</v>
      </c>
      <c r="C17" s="240"/>
      <c r="D17" s="5"/>
      <c r="E17" s="226" t="s">
        <v>599</v>
      </c>
      <c r="F17" s="434"/>
      <c r="G17" s="435"/>
      <c r="H17" s="4"/>
      <c r="I17" s="226" t="s">
        <v>111</v>
      </c>
      <c r="J17" s="434"/>
      <c r="K17" s="435"/>
      <c r="L17" s="3"/>
      <c r="M17" s="253" t="s">
        <v>676</v>
      </c>
      <c r="N17" s="254"/>
      <c r="O17" s="255"/>
      <c r="P17" s="8"/>
      <c r="Q17" s="226" t="s">
        <v>111</v>
      </c>
      <c r="R17" s="434"/>
      <c r="S17" s="435"/>
      <c r="U17" s="253" t="s">
        <v>111</v>
      </c>
      <c r="V17" s="254"/>
      <c r="W17" s="255"/>
    </row>
    <row r="18" spans="2:23" ht="15.75" x14ac:dyDescent="0.25">
      <c r="B18" s="239" t="s">
        <v>8</v>
      </c>
      <c r="C18" s="240"/>
      <c r="D18" s="5"/>
      <c r="E18" s="226" t="s">
        <v>599</v>
      </c>
      <c r="F18" s="434"/>
      <c r="G18" s="435"/>
      <c r="H18" s="4"/>
      <c r="I18" s="226" t="s">
        <v>111</v>
      </c>
      <c r="J18" s="434"/>
      <c r="K18" s="435"/>
      <c r="L18" s="3"/>
      <c r="M18" s="253" t="s">
        <v>677</v>
      </c>
      <c r="N18" s="254"/>
      <c r="O18" s="255"/>
      <c r="P18" s="8"/>
      <c r="Q18" s="226" t="s">
        <v>111</v>
      </c>
      <c r="R18" s="434"/>
      <c r="S18" s="435"/>
      <c r="U18" s="253" t="s">
        <v>111</v>
      </c>
      <c r="V18" s="254"/>
      <c r="W18" s="255"/>
    </row>
    <row r="19" spans="2:23" ht="15.75" x14ac:dyDescent="0.25">
      <c r="B19" s="239" t="s">
        <v>9</v>
      </c>
      <c r="C19" s="240"/>
      <c r="D19" s="5"/>
      <c r="E19" s="226" t="s">
        <v>599</v>
      </c>
      <c r="F19" s="434"/>
      <c r="G19" s="435"/>
      <c r="H19" s="4"/>
      <c r="I19" s="226" t="s">
        <v>111</v>
      </c>
      <c r="J19" s="434"/>
      <c r="K19" s="435"/>
      <c r="L19" s="3"/>
      <c r="M19" s="253" t="s">
        <v>678</v>
      </c>
      <c r="N19" s="254"/>
      <c r="O19" s="255"/>
      <c r="P19" s="8"/>
      <c r="Q19" s="226" t="s">
        <v>111</v>
      </c>
      <c r="R19" s="434"/>
      <c r="S19" s="435"/>
      <c r="U19" s="253" t="s">
        <v>111</v>
      </c>
      <c r="V19" s="254"/>
      <c r="W19" s="255"/>
    </row>
    <row r="20" spans="2:23" ht="15.75" x14ac:dyDescent="0.25">
      <c r="B20" s="239" t="s">
        <v>10</v>
      </c>
      <c r="C20" s="240"/>
      <c r="D20" s="5"/>
      <c r="E20" s="226" t="s">
        <v>599</v>
      </c>
      <c r="F20" s="434"/>
      <c r="G20" s="435"/>
      <c r="H20" s="4"/>
      <c r="I20" s="226" t="s">
        <v>111</v>
      </c>
      <c r="J20" s="434"/>
      <c r="K20" s="435"/>
      <c r="L20" s="3"/>
      <c r="M20" s="253" t="s">
        <v>679</v>
      </c>
      <c r="N20" s="254"/>
      <c r="O20" s="255"/>
      <c r="P20" s="8"/>
      <c r="Q20" s="226" t="s">
        <v>111</v>
      </c>
      <c r="R20" s="434"/>
      <c r="S20" s="435"/>
      <c r="U20" s="253" t="s">
        <v>111</v>
      </c>
      <c r="V20" s="254"/>
      <c r="W20" s="255"/>
    </row>
    <row r="21" spans="2:23" ht="16.5" thickBot="1" x14ac:dyDescent="0.3">
      <c r="B21" s="347" t="s">
        <v>113</v>
      </c>
      <c r="C21" s="348"/>
      <c r="D21" s="5"/>
      <c r="E21" s="215" t="s">
        <v>599</v>
      </c>
      <c r="F21" s="216"/>
      <c r="G21" s="217"/>
      <c r="H21" s="4"/>
      <c r="I21" s="215" t="s">
        <v>111</v>
      </c>
      <c r="J21" s="216"/>
      <c r="K21" s="217"/>
      <c r="L21" s="3"/>
      <c r="M21" s="212" t="s">
        <v>680</v>
      </c>
      <c r="N21" s="213"/>
      <c r="O21" s="214"/>
      <c r="P21" s="8"/>
      <c r="Q21" s="215" t="s">
        <v>111</v>
      </c>
      <c r="R21" s="216"/>
      <c r="S21" s="217"/>
      <c r="U21" s="212" t="s">
        <v>111</v>
      </c>
      <c r="V21" s="213"/>
      <c r="W21" s="214"/>
    </row>
    <row r="24" spans="2:23" ht="15.75" x14ac:dyDescent="0.25">
      <c r="B24" s="837" t="s">
        <v>1</v>
      </c>
      <c r="C24" s="837"/>
      <c r="D24" s="6"/>
      <c r="E24" s="839" t="s">
        <v>48</v>
      </c>
      <c r="F24" s="839"/>
      <c r="G24" s="839"/>
      <c r="H24" s="7"/>
      <c r="I24" s="839" t="s">
        <v>507</v>
      </c>
      <c r="J24" s="839"/>
      <c r="K24" s="839"/>
      <c r="L24" s="2"/>
      <c r="M24" s="838" t="s">
        <v>47</v>
      </c>
      <c r="N24" s="838"/>
      <c r="O24" s="838"/>
      <c r="Q24" s="839" t="s">
        <v>507</v>
      </c>
      <c r="R24" s="839"/>
      <c r="S24" s="839"/>
      <c r="U24" s="838" t="s">
        <v>12</v>
      </c>
      <c r="V24" s="838"/>
      <c r="W24" s="838"/>
    </row>
    <row r="25" spans="2:23" ht="15.75" thickBot="1" x14ac:dyDescent="0.3">
      <c r="B25" s="596"/>
      <c r="C25" s="596"/>
      <c r="D25" s="5"/>
      <c r="M25" s="5"/>
      <c r="U25" s="5"/>
    </row>
    <row r="26" spans="2:23" ht="15.75" x14ac:dyDescent="0.25">
      <c r="B26" s="389" t="s">
        <v>13</v>
      </c>
      <c r="C26" s="390"/>
      <c r="D26" s="5"/>
      <c r="E26" s="200" t="s">
        <v>593</v>
      </c>
      <c r="F26" s="201"/>
      <c r="G26" s="202"/>
      <c r="H26" s="4"/>
      <c r="I26" s="200" t="s">
        <v>111</v>
      </c>
      <c r="J26" s="201"/>
      <c r="K26" s="202"/>
      <c r="L26" s="3"/>
      <c r="M26" s="352" t="s">
        <v>672</v>
      </c>
      <c r="N26" s="353"/>
      <c r="O26" s="354"/>
      <c r="Q26" s="200" t="s">
        <v>111</v>
      </c>
      <c r="R26" s="201"/>
      <c r="S26" s="202"/>
      <c r="U26" s="707" t="s">
        <v>111</v>
      </c>
      <c r="V26" s="708"/>
      <c r="W26" s="709"/>
    </row>
    <row r="27" spans="2:23" ht="15.75" x14ac:dyDescent="0.25">
      <c r="B27" s="239" t="s">
        <v>14</v>
      </c>
      <c r="C27" s="240"/>
      <c r="D27" s="5"/>
      <c r="E27" s="226" t="s">
        <v>597</v>
      </c>
      <c r="F27" s="434"/>
      <c r="G27" s="435"/>
      <c r="H27" s="4"/>
      <c r="I27" s="226" t="s">
        <v>111</v>
      </c>
      <c r="J27" s="434"/>
      <c r="K27" s="435"/>
      <c r="L27" s="3"/>
      <c r="M27" s="253" t="s">
        <v>673</v>
      </c>
      <c r="N27" s="254"/>
      <c r="O27" s="255"/>
      <c r="Q27" s="226" t="s">
        <v>111</v>
      </c>
      <c r="R27" s="434"/>
      <c r="S27" s="435"/>
      <c r="U27" s="363" t="s">
        <v>111</v>
      </c>
      <c r="V27" s="364"/>
      <c r="W27" s="365"/>
    </row>
    <row r="28" spans="2:23" ht="15.75" x14ac:dyDescent="0.25">
      <c r="B28" s="239" t="s">
        <v>15</v>
      </c>
      <c r="C28" s="240"/>
      <c r="D28" s="5"/>
      <c r="E28" s="226" t="s">
        <v>593</v>
      </c>
      <c r="F28" s="434"/>
      <c r="G28" s="435"/>
      <c r="H28" s="4"/>
      <c r="I28" s="226" t="s">
        <v>111</v>
      </c>
      <c r="J28" s="434"/>
      <c r="K28" s="435"/>
      <c r="L28" s="3"/>
      <c r="M28" s="253" t="s">
        <v>674</v>
      </c>
      <c r="N28" s="254"/>
      <c r="O28" s="255"/>
      <c r="Q28" s="226" t="s">
        <v>111</v>
      </c>
      <c r="R28" s="434"/>
      <c r="S28" s="435"/>
      <c r="U28" s="363" t="s">
        <v>111</v>
      </c>
      <c r="V28" s="364"/>
      <c r="W28" s="365"/>
    </row>
    <row r="29" spans="2:23" ht="15.75" x14ac:dyDescent="0.25">
      <c r="B29" s="239" t="s">
        <v>16</v>
      </c>
      <c r="C29" s="240"/>
      <c r="D29" s="5"/>
      <c r="E29" s="226" t="s">
        <v>593</v>
      </c>
      <c r="F29" s="434"/>
      <c r="G29" s="435"/>
      <c r="H29" s="4"/>
      <c r="I29" s="226" t="s">
        <v>111</v>
      </c>
      <c r="J29" s="434"/>
      <c r="K29" s="435"/>
      <c r="L29" s="3"/>
      <c r="M29" s="253" t="s">
        <v>675</v>
      </c>
      <c r="N29" s="254"/>
      <c r="O29" s="255"/>
      <c r="Q29" s="226" t="s">
        <v>111</v>
      </c>
      <c r="R29" s="434"/>
      <c r="S29" s="435"/>
      <c r="U29" s="363" t="s">
        <v>111</v>
      </c>
      <c r="V29" s="364"/>
      <c r="W29" s="365"/>
    </row>
    <row r="30" spans="2:23" ht="15.75" x14ac:dyDescent="0.25">
      <c r="B30" s="239" t="s">
        <v>17</v>
      </c>
      <c r="C30" s="240"/>
      <c r="D30" s="5"/>
      <c r="E30" s="226" t="s">
        <v>593</v>
      </c>
      <c r="F30" s="434"/>
      <c r="G30" s="435"/>
      <c r="H30" s="4"/>
      <c r="I30" s="226" t="s">
        <v>111</v>
      </c>
      <c r="J30" s="434"/>
      <c r="K30" s="435"/>
      <c r="L30" s="3"/>
      <c r="M30" s="253" t="s">
        <v>676</v>
      </c>
      <c r="N30" s="254"/>
      <c r="O30" s="255"/>
      <c r="Q30" s="226" t="s">
        <v>111</v>
      </c>
      <c r="R30" s="434"/>
      <c r="S30" s="435"/>
      <c r="U30" s="363" t="s">
        <v>111</v>
      </c>
      <c r="V30" s="364"/>
      <c r="W30" s="365"/>
    </row>
    <row r="31" spans="2:23" ht="15.75" x14ac:dyDescent="0.25">
      <c r="B31" s="239" t="s">
        <v>18</v>
      </c>
      <c r="C31" s="240"/>
      <c r="D31" s="5"/>
      <c r="E31" s="226" t="s">
        <v>593</v>
      </c>
      <c r="F31" s="434"/>
      <c r="G31" s="435"/>
      <c r="H31" s="4"/>
      <c r="I31" s="226" t="s">
        <v>111</v>
      </c>
      <c r="J31" s="434"/>
      <c r="K31" s="435"/>
      <c r="L31" s="3"/>
      <c r="M31" s="253" t="s">
        <v>677</v>
      </c>
      <c r="N31" s="254"/>
      <c r="O31" s="255"/>
      <c r="Q31" s="226" t="s">
        <v>111</v>
      </c>
      <c r="R31" s="434"/>
      <c r="S31" s="435"/>
      <c r="U31" s="363" t="s">
        <v>111</v>
      </c>
      <c r="V31" s="364"/>
      <c r="W31" s="365"/>
    </row>
    <row r="32" spans="2:23" ht="15.75" x14ac:dyDescent="0.25">
      <c r="B32" s="261" t="s">
        <v>98</v>
      </c>
      <c r="C32" s="262"/>
      <c r="D32" s="5"/>
      <c r="E32" s="226" t="s">
        <v>593</v>
      </c>
      <c r="F32" s="434"/>
      <c r="G32" s="435"/>
      <c r="H32" s="4"/>
      <c r="I32" s="232" t="s">
        <v>111</v>
      </c>
      <c r="J32" s="233"/>
      <c r="K32" s="234"/>
      <c r="L32" s="3"/>
      <c r="M32" s="253" t="s">
        <v>678</v>
      </c>
      <c r="N32" s="254"/>
      <c r="O32" s="255"/>
      <c r="Q32" s="232" t="s">
        <v>111</v>
      </c>
      <c r="R32" s="233"/>
      <c r="S32" s="234"/>
      <c r="U32" s="363" t="s">
        <v>111</v>
      </c>
      <c r="V32" s="364"/>
      <c r="W32" s="365"/>
    </row>
    <row r="33" spans="2:23" ht="15.75" x14ac:dyDescent="0.25">
      <c r="B33" s="239" t="s">
        <v>19</v>
      </c>
      <c r="C33" s="240"/>
      <c r="D33" s="5"/>
      <c r="E33" s="226" t="s">
        <v>593</v>
      </c>
      <c r="F33" s="434"/>
      <c r="G33" s="435"/>
      <c r="H33" s="4"/>
      <c r="I33" s="226" t="s">
        <v>111</v>
      </c>
      <c r="J33" s="434"/>
      <c r="K33" s="435"/>
      <c r="L33" s="3"/>
      <c r="M33" s="253" t="s">
        <v>679</v>
      </c>
      <c r="N33" s="254"/>
      <c r="O33" s="255"/>
      <c r="Q33" s="226" t="s">
        <v>111</v>
      </c>
      <c r="R33" s="434"/>
      <c r="S33" s="435"/>
      <c r="U33" s="363" t="s">
        <v>111</v>
      </c>
      <c r="V33" s="364"/>
      <c r="W33" s="365"/>
    </row>
    <row r="34" spans="2:23" ht="15.75" x14ac:dyDescent="0.25">
      <c r="B34" s="239" t="s">
        <v>20</v>
      </c>
      <c r="C34" s="240"/>
      <c r="D34" s="5"/>
      <c r="E34" s="226" t="s">
        <v>593</v>
      </c>
      <c r="F34" s="434"/>
      <c r="G34" s="435"/>
      <c r="H34" s="4"/>
      <c r="I34" s="226" t="s">
        <v>111</v>
      </c>
      <c r="J34" s="434"/>
      <c r="K34" s="435"/>
      <c r="L34" s="3"/>
      <c r="M34" s="253" t="s">
        <v>680</v>
      </c>
      <c r="N34" s="254"/>
      <c r="O34" s="255"/>
      <c r="Q34" s="226" t="s">
        <v>111</v>
      </c>
      <c r="R34" s="434"/>
      <c r="S34" s="435"/>
      <c r="U34" s="363" t="s">
        <v>111</v>
      </c>
      <c r="V34" s="364"/>
      <c r="W34" s="365"/>
    </row>
    <row r="35" spans="2:23" ht="15.75" x14ac:dyDescent="0.25">
      <c r="B35" s="239" t="s">
        <v>21</v>
      </c>
      <c r="C35" s="240"/>
      <c r="E35" s="226" t="s">
        <v>593</v>
      </c>
      <c r="F35" s="434"/>
      <c r="G35" s="435"/>
      <c r="I35" s="226" t="s">
        <v>111</v>
      </c>
      <c r="J35" s="434"/>
      <c r="K35" s="435"/>
      <c r="M35" s="253" t="s">
        <v>681</v>
      </c>
      <c r="N35" s="254"/>
      <c r="O35" s="255"/>
      <c r="Q35" s="226" t="s">
        <v>111</v>
      </c>
      <c r="R35" s="434"/>
      <c r="S35" s="435"/>
      <c r="U35" s="363" t="s">
        <v>111</v>
      </c>
      <c r="V35" s="364"/>
      <c r="W35" s="365"/>
    </row>
    <row r="36" spans="2:23" ht="16.5" thickBot="1" x14ac:dyDescent="0.3">
      <c r="B36" s="416" t="s">
        <v>22</v>
      </c>
      <c r="C36" s="417"/>
      <c r="E36" s="215" t="s">
        <v>597</v>
      </c>
      <c r="F36" s="216"/>
      <c r="G36" s="217"/>
      <c r="I36" s="215" t="s">
        <v>111</v>
      </c>
      <c r="J36" s="216"/>
      <c r="K36" s="217"/>
      <c r="M36" s="212" t="s">
        <v>682</v>
      </c>
      <c r="N36" s="213"/>
      <c r="O36" s="214"/>
      <c r="Q36" s="215" t="s">
        <v>111</v>
      </c>
      <c r="R36" s="216"/>
      <c r="S36" s="217"/>
      <c r="U36" s="401" t="s">
        <v>111</v>
      </c>
      <c r="V36" s="402"/>
      <c r="W36" s="403"/>
    </row>
    <row r="37" spans="2:23" ht="15.75" x14ac:dyDescent="0.25">
      <c r="B37" s="9"/>
      <c r="C37" s="9"/>
    </row>
    <row r="38" spans="2:23" ht="15.75" x14ac:dyDescent="0.25">
      <c r="B38" s="9"/>
      <c r="C38" s="9"/>
    </row>
    <row r="39" spans="2:23" ht="15.75" x14ac:dyDescent="0.25">
      <c r="B39" s="616" t="s">
        <v>39</v>
      </c>
      <c r="C39" s="616"/>
      <c r="E39" s="705" t="s">
        <v>48</v>
      </c>
      <c r="F39" s="705"/>
      <c r="G39" s="705"/>
      <c r="H39" s="7"/>
      <c r="I39" s="705" t="s">
        <v>507</v>
      </c>
      <c r="J39" s="705"/>
      <c r="K39" s="705"/>
      <c r="L39" s="2"/>
      <c r="M39" s="704" t="s">
        <v>47</v>
      </c>
      <c r="N39" s="704"/>
      <c r="O39" s="704"/>
      <c r="Q39" s="705" t="s">
        <v>507</v>
      </c>
      <c r="R39" s="705"/>
      <c r="S39" s="705"/>
      <c r="U39" s="704" t="s">
        <v>12</v>
      </c>
      <c r="V39" s="704"/>
      <c r="W39" s="704"/>
    </row>
    <row r="40" spans="2:23" ht="16.5" thickBot="1" x14ac:dyDescent="0.3">
      <c r="B40" s="9"/>
      <c r="C40" s="9"/>
    </row>
    <row r="41" spans="2:23" ht="15.75" x14ac:dyDescent="0.25">
      <c r="B41" s="664" t="s">
        <v>40</v>
      </c>
      <c r="C41" s="665"/>
      <c r="D41" s="139"/>
      <c r="E41" s="979" t="s">
        <v>763</v>
      </c>
      <c r="F41" s="980"/>
      <c r="G41" s="981"/>
      <c r="H41" s="4"/>
      <c r="I41" s="200" t="s">
        <v>111</v>
      </c>
      <c r="J41" s="201"/>
      <c r="K41" s="202"/>
      <c r="L41" s="3"/>
      <c r="M41" s="707" t="s">
        <v>111</v>
      </c>
      <c r="N41" s="708"/>
      <c r="O41" s="709"/>
      <c r="Q41" s="200" t="s">
        <v>111</v>
      </c>
      <c r="R41" s="201"/>
      <c r="S41" s="202"/>
      <c r="U41" s="707" t="s">
        <v>111</v>
      </c>
      <c r="V41" s="708"/>
      <c r="W41" s="709"/>
    </row>
    <row r="42" spans="2:23" ht="16.5" thickBot="1" x14ac:dyDescent="0.3">
      <c r="B42" s="265" t="s">
        <v>41</v>
      </c>
      <c r="C42" s="266"/>
      <c r="D42" s="139"/>
      <c r="E42" s="267" t="s">
        <v>763</v>
      </c>
      <c r="F42" s="268"/>
      <c r="G42" s="269"/>
      <c r="H42" s="4"/>
      <c r="I42" s="215" t="s">
        <v>111</v>
      </c>
      <c r="J42" s="216"/>
      <c r="K42" s="217"/>
      <c r="L42" s="3"/>
      <c r="M42" s="401" t="s">
        <v>111</v>
      </c>
      <c r="N42" s="402"/>
      <c r="O42" s="403"/>
      <c r="Q42" s="215" t="s">
        <v>111</v>
      </c>
      <c r="R42" s="216"/>
      <c r="S42" s="217"/>
      <c r="U42" s="401" t="s">
        <v>111</v>
      </c>
      <c r="V42" s="402"/>
      <c r="W42" s="403"/>
    </row>
    <row r="43" spans="2:23" ht="15.75" x14ac:dyDescent="0.25">
      <c r="B43" s="9"/>
      <c r="C43" s="9"/>
    </row>
    <row r="45" spans="2:23" ht="15.75" x14ac:dyDescent="0.25">
      <c r="B45" s="604" t="s">
        <v>2</v>
      </c>
      <c r="C45" s="604"/>
      <c r="D45" s="6"/>
      <c r="E45" s="676" t="s">
        <v>48</v>
      </c>
      <c r="F45" s="676"/>
      <c r="G45" s="676"/>
      <c r="H45" s="7"/>
      <c r="I45" s="676" t="s">
        <v>507</v>
      </c>
      <c r="J45" s="676"/>
      <c r="K45" s="676"/>
      <c r="L45" s="2"/>
      <c r="M45" s="675" t="s">
        <v>47</v>
      </c>
      <c r="N45" s="675"/>
      <c r="O45" s="675"/>
      <c r="Q45" s="676" t="s">
        <v>507</v>
      </c>
      <c r="R45" s="676"/>
      <c r="S45" s="676"/>
      <c r="U45" s="675" t="s">
        <v>12</v>
      </c>
      <c r="V45" s="675"/>
      <c r="W45" s="675"/>
    </row>
    <row r="46" spans="2:23" ht="15.75" thickBot="1" x14ac:dyDescent="0.3">
      <c r="B46" s="596"/>
      <c r="C46" s="596"/>
      <c r="D46" s="5"/>
      <c r="M46" s="5"/>
      <c r="U46" s="5"/>
    </row>
    <row r="47" spans="2:23" ht="15.75" x14ac:dyDescent="0.25">
      <c r="B47" s="423" t="s">
        <v>23</v>
      </c>
      <c r="C47" s="424"/>
      <c r="D47" s="5"/>
      <c r="E47" s="200" t="s">
        <v>595</v>
      </c>
      <c r="F47" s="201"/>
      <c r="G47" s="202"/>
      <c r="H47" s="4"/>
      <c r="I47" s="200" t="s">
        <v>111</v>
      </c>
      <c r="J47" s="201"/>
      <c r="K47" s="202"/>
      <c r="L47" s="3"/>
      <c r="M47" s="352" t="s">
        <v>111</v>
      </c>
      <c r="N47" s="353"/>
      <c r="O47" s="354"/>
      <c r="Q47" s="200" t="s">
        <v>111</v>
      </c>
      <c r="R47" s="201"/>
      <c r="S47" s="202"/>
      <c r="U47" s="352" t="s">
        <v>111</v>
      </c>
      <c r="V47" s="353"/>
      <c r="W47" s="354"/>
    </row>
    <row r="48" spans="2:23" ht="15.75" x14ac:dyDescent="0.25">
      <c r="B48" s="330" t="s">
        <v>24</v>
      </c>
      <c r="C48" s="331"/>
      <c r="D48" s="5"/>
      <c r="E48" s="232" t="s">
        <v>596</v>
      </c>
      <c r="F48" s="233"/>
      <c r="G48" s="234"/>
      <c r="H48" s="4"/>
      <c r="I48" s="226" t="s">
        <v>111</v>
      </c>
      <c r="J48" s="434"/>
      <c r="K48" s="435"/>
      <c r="L48" s="3"/>
      <c r="M48" s="253" t="s">
        <v>682</v>
      </c>
      <c r="N48" s="254"/>
      <c r="O48" s="255"/>
      <c r="Q48" s="226" t="s">
        <v>111</v>
      </c>
      <c r="R48" s="434"/>
      <c r="S48" s="435"/>
      <c r="U48" s="253" t="s">
        <v>111</v>
      </c>
      <c r="V48" s="254"/>
      <c r="W48" s="255"/>
    </row>
    <row r="49" spans="2:23" ht="15.75" x14ac:dyDescent="0.25">
      <c r="B49" s="330" t="s">
        <v>25</v>
      </c>
      <c r="C49" s="331"/>
      <c r="D49" s="5"/>
      <c r="E49" s="232" t="s">
        <v>596</v>
      </c>
      <c r="F49" s="233"/>
      <c r="G49" s="234"/>
      <c r="H49" s="4"/>
      <c r="I49" s="226" t="s">
        <v>111</v>
      </c>
      <c r="J49" s="434"/>
      <c r="K49" s="435"/>
      <c r="L49" s="3"/>
      <c r="M49" s="253" t="s">
        <v>683</v>
      </c>
      <c r="N49" s="254"/>
      <c r="O49" s="255"/>
      <c r="Q49" s="226" t="s">
        <v>111</v>
      </c>
      <c r="R49" s="434"/>
      <c r="S49" s="435"/>
      <c r="U49" s="253" t="s">
        <v>111</v>
      </c>
      <c r="V49" s="254"/>
      <c r="W49" s="255"/>
    </row>
    <row r="50" spans="2:23" ht="15.75" x14ac:dyDescent="0.25">
      <c r="B50" s="330" t="s">
        <v>26</v>
      </c>
      <c r="C50" s="331"/>
      <c r="D50" s="5"/>
      <c r="E50" s="232" t="s">
        <v>596</v>
      </c>
      <c r="F50" s="233"/>
      <c r="G50" s="234"/>
      <c r="H50" s="4"/>
      <c r="I50" s="226" t="s">
        <v>111</v>
      </c>
      <c r="J50" s="434"/>
      <c r="K50" s="435"/>
      <c r="L50" s="3"/>
      <c r="M50" s="253" t="s">
        <v>684</v>
      </c>
      <c r="N50" s="254"/>
      <c r="O50" s="255"/>
      <c r="Q50" s="226" t="s">
        <v>111</v>
      </c>
      <c r="R50" s="434"/>
      <c r="S50" s="435"/>
      <c r="U50" s="253" t="s">
        <v>111</v>
      </c>
      <c r="V50" s="254"/>
      <c r="W50" s="255"/>
    </row>
    <row r="51" spans="2:23" ht="15.75" x14ac:dyDescent="0.25">
      <c r="B51" s="330" t="s">
        <v>27</v>
      </c>
      <c r="C51" s="331"/>
      <c r="D51" s="5"/>
      <c r="E51" s="232" t="s">
        <v>596</v>
      </c>
      <c r="F51" s="233"/>
      <c r="G51" s="234"/>
      <c r="H51" s="4"/>
      <c r="I51" s="226" t="s">
        <v>111</v>
      </c>
      <c r="J51" s="434"/>
      <c r="K51" s="435"/>
      <c r="L51" s="3"/>
      <c r="M51" s="253" t="s">
        <v>685</v>
      </c>
      <c r="N51" s="254"/>
      <c r="O51" s="255"/>
      <c r="Q51" s="226" t="s">
        <v>111</v>
      </c>
      <c r="R51" s="434"/>
      <c r="S51" s="435"/>
      <c r="U51" s="253" t="s">
        <v>111</v>
      </c>
      <c r="V51" s="254"/>
      <c r="W51" s="255"/>
    </row>
    <row r="52" spans="2:23" ht="15.75" x14ac:dyDescent="0.25">
      <c r="B52" s="330" t="s">
        <v>28</v>
      </c>
      <c r="C52" s="331"/>
      <c r="D52" s="5"/>
      <c r="E52" s="232" t="s">
        <v>596</v>
      </c>
      <c r="F52" s="233"/>
      <c r="G52" s="234"/>
      <c r="H52" s="4"/>
      <c r="I52" s="226" t="s">
        <v>111</v>
      </c>
      <c r="J52" s="434"/>
      <c r="K52" s="435"/>
      <c r="L52" s="3"/>
      <c r="M52" s="253" t="s">
        <v>686</v>
      </c>
      <c r="N52" s="254"/>
      <c r="O52" s="255"/>
      <c r="Q52" s="226" t="s">
        <v>111</v>
      </c>
      <c r="R52" s="434"/>
      <c r="S52" s="435"/>
      <c r="U52" s="253" t="s">
        <v>111</v>
      </c>
      <c r="V52" s="254"/>
      <c r="W52" s="255"/>
    </row>
    <row r="53" spans="2:23" ht="15.75" x14ac:dyDescent="0.25">
      <c r="B53" s="330" t="s">
        <v>29</v>
      </c>
      <c r="C53" s="331"/>
      <c r="D53" s="5"/>
      <c r="E53" s="232" t="s">
        <v>596</v>
      </c>
      <c r="F53" s="233"/>
      <c r="G53" s="234"/>
      <c r="H53" s="4"/>
      <c r="I53" s="226" t="s">
        <v>111</v>
      </c>
      <c r="J53" s="434"/>
      <c r="K53" s="435"/>
      <c r="L53" s="3"/>
      <c r="M53" s="253" t="s">
        <v>687</v>
      </c>
      <c r="N53" s="254"/>
      <c r="O53" s="255"/>
      <c r="Q53" s="226" t="s">
        <v>111</v>
      </c>
      <c r="R53" s="434"/>
      <c r="S53" s="435"/>
      <c r="U53" s="253" t="s">
        <v>111</v>
      </c>
      <c r="V53" s="254"/>
      <c r="W53" s="255"/>
    </row>
    <row r="54" spans="2:23" ht="16.5" thickBot="1" x14ac:dyDescent="0.3">
      <c r="B54" s="347" t="s">
        <v>30</v>
      </c>
      <c r="C54" s="348"/>
      <c r="E54" s="459" t="s">
        <v>596</v>
      </c>
      <c r="F54" s="460"/>
      <c r="G54" s="461"/>
      <c r="I54" s="215" t="s">
        <v>111</v>
      </c>
      <c r="J54" s="216"/>
      <c r="K54" s="217"/>
      <c r="M54" s="212" t="s">
        <v>688</v>
      </c>
      <c r="N54" s="213"/>
      <c r="O54" s="214"/>
      <c r="Q54" s="215" t="s">
        <v>111</v>
      </c>
      <c r="R54" s="216"/>
      <c r="S54" s="217"/>
      <c r="U54" s="212" t="s">
        <v>111</v>
      </c>
      <c r="V54" s="213"/>
      <c r="W54" s="214"/>
    </row>
    <row r="57" spans="2:23" ht="15.75" x14ac:dyDescent="0.25">
      <c r="B57" s="623" t="s">
        <v>50</v>
      </c>
      <c r="C57" s="623"/>
      <c r="E57" s="662" t="s">
        <v>48</v>
      </c>
      <c r="F57" s="662"/>
      <c r="G57" s="662"/>
      <c r="H57" s="7"/>
      <c r="I57" s="662" t="s">
        <v>507</v>
      </c>
      <c r="J57" s="662"/>
      <c r="K57" s="662"/>
      <c r="L57" s="2"/>
      <c r="M57" s="661" t="s">
        <v>47</v>
      </c>
      <c r="N57" s="661"/>
      <c r="O57" s="661"/>
      <c r="Q57" s="662" t="s">
        <v>507</v>
      </c>
      <c r="R57" s="662"/>
      <c r="S57" s="662"/>
      <c r="U57" s="661" t="s">
        <v>12</v>
      </c>
      <c r="V57" s="661"/>
      <c r="W57" s="661"/>
    </row>
    <row r="58" spans="2:23" ht="16.5" thickBot="1" x14ac:dyDescent="0.3">
      <c r="B58" s="9"/>
      <c r="C58" s="9"/>
    </row>
    <row r="59" spans="2:23" ht="15.75" x14ac:dyDescent="0.25">
      <c r="B59" s="664" t="s">
        <v>108</v>
      </c>
      <c r="C59" s="665"/>
      <c r="D59" s="139"/>
      <c r="E59" s="979" t="s">
        <v>763</v>
      </c>
      <c r="F59" s="980"/>
      <c r="G59" s="981"/>
      <c r="H59" s="4"/>
      <c r="I59" s="200" t="s">
        <v>111</v>
      </c>
      <c r="J59" s="201"/>
      <c r="K59" s="202"/>
      <c r="L59" s="3"/>
      <c r="M59" s="707" t="s">
        <v>111</v>
      </c>
      <c r="N59" s="708"/>
      <c r="O59" s="709"/>
      <c r="Q59" s="200" t="s">
        <v>111</v>
      </c>
      <c r="R59" s="201"/>
      <c r="S59" s="202"/>
      <c r="U59" s="707" t="s">
        <v>111</v>
      </c>
      <c r="V59" s="708"/>
      <c r="W59" s="709"/>
    </row>
    <row r="60" spans="2:23" ht="16.5" thickBot="1" x14ac:dyDescent="0.3">
      <c r="B60" s="265" t="s">
        <v>109</v>
      </c>
      <c r="C60" s="266"/>
      <c r="D60" s="139"/>
      <c r="E60" s="267" t="s">
        <v>763</v>
      </c>
      <c r="F60" s="268"/>
      <c r="G60" s="269"/>
      <c r="H60" s="4"/>
      <c r="I60" s="215" t="s">
        <v>111</v>
      </c>
      <c r="J60" s="216"/>
      <c r="K60" s="217"/>
      <c r="L60" s="3"/>
      <c r="M60" s="401" t="s">
        <v>111</v>
      </c>
      <c r="N60" s="402"/>
      <c r="O60" s="403"/>
      <c r="Q60" s="215" t="s">
        <v>111</v>
      </c>
      <c r="R60" s="216"/>
      <c r="S60" s="217"/>
      <c r="U60" s="401" t="s">
        <v>111</v>
      </c>
      <c r="V60" s="402"/>
      <c r="W60" s="403"/>
    </row>
    <row r="62" spans="2:23" ht="15.75" x14ac:dyDescent="0.25">
      <c r="B62" s="601" t="s">
        <v>114</v>
      </c>
      <c r="C62" s="601"/>
      <c r="E62" s="633" t="s">
        <v>48</v>
      </c>
      <c r="F62" s="633"/>
      <c r="G62" s="633"/>
      <c r="H62" s="7"/>
      <c r="I62" s="633" t="s">
        <v>507</v>
      </c>
      <c r="J62" s="633"/>
      <c r="K62" s="633"/>
      <c r="L62" s="2"/>
      <c r="M62" s="632" t="s">
        <v>47</v>
      </c>
      <c r="N62" s="632"/>
      <c r="O62" s="632"/>
      <c r="Q62" s="633" t="s">
        <v>507</v>
      </c>
      <c r="R62" s="633"/>
      <c r="S62" s="633"/>
      <c r="U62" s="632" t="s">
        <v>12</v>
      </c>
      <c r="V62" s="632"/>
      <c r="W62" s="632"/>
    </row>
    <row r="63" spans="2:23" ht="16.5" thickBot="1" x14ac:dyDescent="0.3">
      <c r="B63" s="9"/>
      <c r="C63" s="9"/>
    </row>
    <row r="64" spans="2:23" ht="16.5" thickBot="1" x14ac:dyDescent="0.3">
      <c r="B64" s="635" t="s">
        <v>114</v>
      </c>
      <c r="C64" s="636"/>
      <c r="E64" s="550" t="s">
        <v>594</v>
      </c>
      <c r="F64" s="641"/>
      <c r="G64" s="642"/>
      <c r="H64" s="4"/>
      <c r="I64" s="550" t="s">
        <v>111</v>
      </c>
      <c r="J64" s="641"/>
      <c r="K64" s="642"/>
      <c r="L64" s="3"/>
      <c r="M64" s="637" t="s">
        <v>688</v>
      </c>
      <c r="N64" s="638"/>
      <c r="O64" s="639"/>
      <c r="Q64" s="550" t="s">
        <v>111</v>
      </c>
      <c r="R64" s="641"/>
      <c r="S64" s="642"/>
      <c r="U64" s="637" t="s">
        <v>111</v>
      </c>
      <c r="V64" s="638"/>
      <c r="W64" s="639"/>
    </row>
    <row r="67" spans="2:23" ht="15.75" x14ac:dyDescent="0.25">
      <c r="B67" s="862" t="s">
        <v>453</v>
      </c>
      <c r="C67" s="862"/>
      <c r="E67" s="864" t="s">
        <v>48</v>
      </c>
      <c r="F67" s="864"/>
      <c r="G67" s="864"/>
      <c r="H67" s="80"/>
      <c r="I67" s="864" t="s">
        <v>507</v>
      </c>
      <c r="J67" s="864"/>
      <c r="K67" s="864"/>
      <c r="L67" s="81"/>
      <c r="M67" s="978" t="s">
        <v>47</v>
      </c>
      <c r="N67" s="978"/>
      <c r="O67" s="978"/>
      <c r="Q67" s="864" t="s">
        <v>507</v>
      </c>
      <c r="R67" s="864"/>
      <c r="S67" s="864"/>
      <c r="U67" s="978" t="s">
        <v>12</v>
      </c>
      <c r="V67" s="978"/>
      <c r="W67" s="978"/>
    </row>
    <row r="68" spans="2:23" ht="15.75" thickBot="1" x14ac:dyDescent="0.3"/>
    <row r="69" spans="2:23" ht="16.5" thickBot="1" x14ac:dyDescent="0.3">
      <c r="B69" s="635" t="s">
        <v>453</v>
      </c>
      <c r="C69" s="636"/>
      <c r="E69" s="550" t="s">
        <v>596</v>
      </c>
      <c r="F69" s="641"/>
      <c r="G69" s="642"/>
      <c r="H69" s="4"/>
      <c r="I69" s="550" t="s">
        <v>111</v>
      </c>
      <c r="J69" s="641"/>
      <c r="K69" s="642"/>
      <c r="L69" s="3"/>
      <c r="M69" s="637" t="s">
        <v>688</v>
      </c>
      <c r="N69" s="638"/>
      <c r="O69" s="639"/>
      <c r="Q69" s="550" t="s">
        <v>111</v>
      </c>
      <c r="R69" s="641"/>
      <c r="S69" s="642"/>
      <c r="U69" s="637" t="s">
        <v>111</v>
      </c>
      <c r="V69" s="638"/>
      <c r="W69" s="639"/>
    </row>
  </sheetData>
  <sheetProtection algorithmName="SHA-512" hashValue="2g68hYbNl59msVM2qIwgqDn9bXpQwYmr2hBtaZXGrwhLFH4tiTlQqvwheAmFO7wVRQJ10zwZAP+QYBGIZZb4Xw==" saltValue="jgClpsN0BcXUuMP7xkgrZw==" spinCount="100000" sheet="1" objects="1" scenarios="1"/>
  <mergeCells count="250">
    <mergeCell ref="B11:C11"/>
    <mergeCell ref="M11:O11"/>
    <mergeCell ref="E11:G11"/>
    <mergeCell ref="B12:C12"/>
    <mergeCell ref="B13:C13"/>
    <mergeCell ref="M13:O13"/>
    <mergeCell ref="B69:C69"/>
    <mergeCell ref="M69:O69"/>
    <mergeCell ref="E69:G69"/>
    <mergeCell ref="B16:C16"/>
    <mergeCell ref="M16:O16"/>
    <mergeCell ref="E16:G16"/>
    <mergeCell ref="B17:C17"/>
    <mergeCell ref="M17:O17"/>
    <mergeCell ref="E17:G17"/>
    <mergeCell ref="E13:G13"/>
    <mergeCell ref="B14:C14"/>
    <mergeCell ref="B15:C15"/>
    <mergeCell ref="M14:O14"/>
    <mergeCell ref="M15:O15"/>
    <mergeCell ref="E14:G14"/>
    <mergeCell ref="E15:G15"/>
    <mergeCell ref="B67:C67"/>
    <mergeCell ref="M67:O67"/>
    <mergeCell ref="E67:G67"/>
    <mergeCell ref="B20:C20"/>
    <mergeCell ref="M20:O20"/>
    <mergeCell ref="E20:G20"/>
    <mergeCell ref="B21:C21"/>
    <mergeCell ref="M21:O21"/>
    <mergeCell ref="E21:G21"/>
    <mergeCell ref="B18:C18"/>
    <mergeCell ref="M18:O18"/>
    <mergeCell ref="E18:G18"/>
    <mergeCell ref="B19:C19"/>
    <mergeCell ref="M19:O19"/>
    <mergeCell ref="E19:G19"/>
    <mergeCell ref="I21:K21"/>
    <mergeCell ref="B24:C24"/>
    <mergeCell ref="M24:O24"/>
    <mergeCell ref="E24:G24"/>
    <mergeCell ref="B25:C25"/>
    <mergeCell ref="B26:C26"/>
    <mergeCell ref="M26:O26"/>
    <mergeCell ref="E26:G26"/>
    <mergeCell ref="I24:K24"/>
    <mergeCell ref="I26:K26"/>
    <mergeCell ref="B29:C29"/>
    <mergeCell ref="M29:O29"/>
    <mergeCell ref="E29:G29"/>
    <mergeCell ref="B30:C30"/>
    <mergeCell ref="M30:O30"/>
    <mergeCell ref="E30:G30"/>
    <mergeCell ref="B27:C27"/>
    <mergeCell ref="M27:O27"/>
    <mergeCell ref="E27:G27"/>
    <mergeCell ref="B28:C28"/>
    <mergeCell ref="M28:O28"/>
    <mergeCell ref="E28:G28"/>
    <mergeCell ref="I27:K27"/>
    <mergeCell ref="I28:K28"/>
    <mergeCell ref="I29:K29"/>
    <mergeCell ref="I30:K30"/>
    <mergeCell ref="B31:C31"/>
    <mergeCell ref="M31:O31"/>
    <mergeCell ref="E31:G31"/>
    <mergeCell ref="B33:C33"/>
    <mergeCell ref="M33:O33"/>
    <mergeCell ref="E33:G33"/>
    <mergeCell ref="B32:C32"/>
    <mergeCell ref="M32:O32"/>
    <mergeCell ref="E32:G32"/>
    <mergeCell ref="I31:K31"/>
    <mergeCell ref="I32:K32"/>
    <mergeCell ref="I33:K33"/>
    <mergeCell ref="B34:C34"/>
    <mergeCell ref="M34:O34"/>
    <mergeCell ref="E34:G34"/>
    <mergeCell ref="B35:C35"/>
    <mergeCell ref="M35:O35"/>
    <mergeCell ref="E35:G35"/>
    <mergeCell ref="I34:K34"/>
    <mergeCell ref="B41:C41"/>
    <mergeCell ref="M41:O41"/>
    <mergeCell ref="E41:G41"/>
    <mergeCell ref="B36:C36"/>
    <mergeCell ref="M36:O36"/>
    <mergeCell ref="E36:G36"/>
    <mergeCell ref="B39:C39"/>
    <mergeCell ref="M39:O39"/>
    <mergeCell ref="E39:G39"/>
    <mergeCell ref="I35:K35"/>
    <mergeCell ref="Q36:S36"/>
    <mergeCell ref="Q39:S39"/>
    <mergeCell ref="Q41:S41"/>
    <mergeCell ref="Q42:S42"/>
    <mergeCell ref="B42:C42"/>
    <mergeCell ref="M42:O42"/>
    <mergeCell ref="E42:G42"/>
    <mergeCell ref="Q50:S50"/>
    <mergeCell ref="Q51:S51"/>
    <mergeCell ref="I36:K36"/>
    <mergeCell ref="I39:K39"/>
    <mergeCell ref="I41:K41"/>
    <mergeCell ref="I42:K42"/>
    <mergeCell ref="I45:K45"/>
    <mergeCell ref="I47:K47"/>
    <mergeCell ref="I48:K48"/>
    <mergeCell ref="I49:K49"/>
    <mergeCell ref="B50:C50"/>
    <mergeCell ref="M50:O50"/>
    <mergeCell ref="E50:G50"/>
    <mergeCell ref="B51:C51"/>
    <mergeCell ref="M51:O51"/>
    <mergeCell ref="E51:G51"/>
    <mergeCell ref="B48:C48"/>
    <mergeCell ref="M48:O48"/>
    <mergeCell ref="E48:G48"/>
    <mergeCell ref="B49:C49"/>
    <mergeCell ref="M49:O49"/>
    <mergeCell ref="I50:K50"/>
    <mergeCell ref="I51:K51"/>
    <mergeCell ref="U49:W49"/>
    <mergeCell ref="B45:C45"/>
    <mergeCell ref="M45:O45"/>
    <mergeCell ref="E45:G45"/>
    <mergeCell ref="B46:C46"/>
    <mergeCell ref="B47:C47"/>
    <mergeCell ref="M47:O47"/>
    <mergeCell ref="E47:G47"/>
    <mergeCell ref="Q45:S45"/>
    <mergeCell ref="Q47:S47"/>
    <mergeCell ref="U47:W47"/>
    <mergeCell ref="E49:G49"/>
    <mergeCell ref="B52:C52"/>
    <mergeCell ref="M52:O52"/>
    <mergeCell ref="E52:G52"/>
    <mergeCell ref="B53:C53"/>
    <mergeCell ref="M53:O53"/>
    <mergeCell ref="E53:G53"/>
    <mergeCell ref="I52:K52"/>
    <mergeCell ref="I53:K53"/>
    <mergeCell ref="I54:K54"/>
    <mergeCell ref="M54:O54"/>
    <mergeCell ref="E54:G54"/>
    <mergeCell ref="Q53:S53"/>
    <mergeCell ref="Q54:S54"/>
    <mergeCell ref="Q57:S57"/>
    <mergeCell ref="B54:C54"/>
    <mergeCell ref="B64:C64"/>
    <mergeCell ref="M64:O64"/>
    <mergeCell ref="E64:G64"/>
    <mergeCell ref="I59:K59"/>
    <mergeCell ref="I60:K60"/>
    <mergeCell ref="I62:K62"/>
    <mergeCell ref="I64:K64"/>
    <mergeCell ref="B59:C59"/>
    <mergeCell ref="M59:O59"/>
    <mergeCell ref="E59:G59"/>
    <mergeCell ref="B60:C60"/>
    <mergeCell ref="M60:O60"/>
    <mergeCell ref="E60:G60"/>
    <mergeCell ref="B62:C62"/>
    <mergeCell ref="M62:O62"/>
    <mergeCell ref="E62:G62"/>
    <mergeCell ref="B57:C57"/>
    <mergeCell ref="M57:O57"/>
    <mergeCell ref="E57:G57"/>
    <mergeCell ref="I57:K57"/>
    <mergeCell ref="I11:K11"/>
    <mergeCell ref="I13:K13"/>
    <mergeCell ref="I14:K14"/>
    <mergeCell ref="I15:K15"/>
    <mergeCell ref="I16:K16"/>
    <mergeCell ref="I17:K17"/>
    <mergeCell ref="I18:K18"/>
    <mergeCell ref="I19:K19"/>
    <mergeCell ref="I20:K20"/>
    <mergeCell ref="I67:K67"/>
    <mergeCell ref="I69:K69"/>
    <mergeCell ref="Q11:S11"/>
    <mergeCell ref="Q13:S13"/>
    <mergeCell ref="Q14:S14"/>
    <mergeCell ref="Q15:S15"/>
    <mergeCell ref="Q16:S16"/>
    <mergeCell ref="Q17:S17"/>
    <mergeCell ref="Q18:S18"/>
    <mergeCell ref="Q19:S19"/>
    <mergeCell ref="Q20:S20"/>
    <mergeCell ref="Q21:S21"/>
    <mergeCell ref="Q24:S24"/>
    <mergeCell ref="Q26:S26"/>
    <mergeCell ref="Q27:S27"/>
    <mergeCell ref="Q28:S28"/>
    <mergeCell ref="Q29:S29"/>
    <mergeCell ref="Q30:S30"/>
    <mergeCell ref="Q31:S31"/>
    <mergeCell ref="Q32:S32"/>
    <mergeCell ref="Q33:S33"/>
    <mergeCell ref="Q34:S34"/>
    <mergeCell ref="Q35:S35"/>
    <mergeCell ref="Q60:S60"/>
    <mergeCell ref="Q67:S67"/>
    <mergeCell ref="Q69:S69"/>
    <mergeCell ref="U11:W11"/>
    <mergeCell ref="U13:W13"/>
    <mergeCell ref="U14:W14"/>
    <mergeCell ref="U15:W15"/>
    <mergeCell ref="U16:W16"/>
    <mergeCell ref="U17:W17"/>
    <mergeCell ref="U18:W18"/>
    <mergeCell ref="U19:W19"/>
    <mergeCell ref="U20:W20"/>
    <mergeCell ref="U21:W21"/>
    <mergeCell ref="U24:W24"/>
    <mergeCell ref="U26:W26"/>
    <mergeCell ref="U27:W27"/>
    <mergeCell ref="U28:W28"/>
    <mergeCell ref="U29:W29"/>
    <mergeCell ref="U30:W30"/>
    <mergeCell ref="U31:W31"/>
    <mergeCell ref="Q52:S52"/>
    <mergeCell ref="U64:W64"/>
    <mergeCell ref="Q48:S48"/>
    <mergeCell ref="Q49:S49"/>
    <mergeCell ref="U48:W48"/>
    <mergeCell ref="U67:W67"/>
    <mergeCell ref="U69:W69"/>
    <mergeCell ref="A7:W7"/>
    <mergeCell ref="U50:W50"/>
    <mergeCell ref="U51:W51"/>
    <mergeCell ref="U52:W52"/>
    <mergeCell ref="U53:W53"/>
    <mergeCell ref="U54:W54"/>
    <mergeCell ref="U57:W57"/>
    <mergeCell ref="U59:W59"/>
    <mergeCell ref="U60:W60"/>
    <mergeCell ref="U62:W62"/>
    <mergeCell ref="U32:W32"/>
    <mergeCell ref="U33:W33"/>
    <mergeCell ref="U34:W34"/>
    <mergeCell ref="U35:W35"/>
    <mergeCell ref="U36:W36"/>
    <mergeCell ref="U39:W39"/>
    <mergeCell ref="U41:W41"/>
    <mergeCell ref="U42:W42"/>
    <mergeCell ref="U45:W45"/>
    <mergeCell ref="Q59:S59"/>
    <mergeCell ref="Q62:S62"/>
    <mergeCell ref="Q64:S64"/>
  </mergeCells>
  <phoneticPr fontId="5" type="noConversion"/>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499984740745262"/>
  </sheetPr>
  <dimension ref="A1:AI178"/>
  <sheetViews>
    <sheetView workbookViewId="0">
      <pane ySplit="6" topLeftCell="A7" activePane="bottomLeft" state="frozen"/>
      <selection pane="bottomLeft"/>
    </sheetView>
  </sheetViews>
  <sheetFormatPr defaultColWidth="9.140625" defaultRowHeight="15" x14ac:dyDescent="0.25"/>
  <cols>
    <col min="1" max="1" width="1.7109375" style="1" customWidth="1"/>
    <col min="2" max="2" width="9.140625" style="1"/>
    <col min="3" max="3" width="6" style="1" customWidth="1"/>
    <col min="4" max="4" width="1.7109375" style="1" customWidth="1"/>
    <col min="5" max="6" width="9.140625" style="1"/>
    <col min="7" max="7" width="3.85546875" style="1" customWidth="1"/>
    <col min="8" max="8" width="1.7109375" style="1" customWidth="1"/>
    <col min="9" max="10" width="9.140625" style="1"/>
    <col min="11" max="11" width="3.28515625" style="1" customWidth="1"/>
    <col min="12" max="12" width="1.7109375" style="1" customWidth="1"/>
    <col min="13" max="14" width="9.140625" style="1"/>
    <col min="15" max="15" width="2.42578125" style="1" customWidth="1"/>
    <col min="16" max="16" width="1.7109375" style="1" customWidth="1"/>
    <col min="17" max="18" width="9.140625" style="1"/>
    <col min="19" max="19" width="3.28515625" style="1" customWidth="1"/>
    <col min="20" max="20" width="1.7109375" style="1" customWidth="1"/>
    <col min="21" max="22" width="9.140625" style="1"/>
    <col min="23" max="23" width="2.140625" style="1" customWidth="1"/>
    <col min="24" max="24" width="1.7109375" style="1" customWidth="1"/>
    <col min="25" max="26" width="9.140625" style="1"/>
    <col min="27" max="27" width="1" style="1" customWidth="1"/>
    <col min="28" max="28" width="1.7109375" style="1" customWidth="1"/>
    <col min="29" max="30" width="9.140625" style="1"/>
    <col min="31" max="31" width="5.28515625" style="1" customWidth="1"/>
    <col min="32" max="32" width="2.7109375" style="1" customWidth="1"/>
    <col min="33" max="33" width="9.140625" style="1"/>
    <col min="34" max="34" width="3.28515625" style="1" customWidth="1"/>
    <col min="35" max="35" width="0.28515625" style="1" customWidth="1"/>
    <col min="36" max="16384" width="9.140625" style="1"/>
  </cols>
  <sheetData>
    <row r="1" spans="1:31" s="150" customFormat="1" x14ac:dyDescent="0.25">
      <c r="A1" s="154"/>
    </row>
    <row r="2" spans="1:31" s="150" customFormat="1" x14ac:dyDescent="0.25"/>
    <row r="3" spans="1:31" s="150" customFormat="1" x14ac:dyDescent="0.25"/>
    <row r="4" spans="1:31" s="150" customFormat="1" x14ac:dyDescent="0.25"/>
    <row r="5" spans="1:31" s="150" customFormat="1" x14ac:dyDescent="0.25"/>
    <row r="6" spans="1:31" s="150" customFormat="1" x14ac:dyDescent="0.25"/>
    <row r="7" spans="1:31" s="150" customFormat="1" ht="21" customHeight="1" x14ac:dyDescent="0.25">
      <c r="A7" s="582" t="s">
        <v>748</v>
      </c>
      <c r="B7" s="582"/>
      <c r="C7" s="582"/>
      <c r="D7" s="582"/>
      <c r="E7" s="582"/>
      <c r="F7" s="582"/>
      <c r="G7" s="582"/>
      <c r="H7" s="582"/>
      <c r="I7" s="582"/>
      <c r="J7" s="582"/>
      <c r="K7" s="582"/>
      <c r="L7" s="582"/>
      <c r="M7" s="582"/>
      <c r="N7" s="582"/>
      <c r="O7" s="582"/>
      <c r="P7" s="582"/>
      <c r="Q7" s="582"/>
      <c r="R7" s="582"/>
      <c r="S7" s="582"/>
      <c r="T7" s="582"/>
      <c r="U7" s="582"/>
      <c r="V7" s="582"/>
      <c r="W7" s="582"/>
      <c r="X7" s="582"/>
      <c r="Y7" s="582"/>
      <c r="Z7" s="582"/>
      <c r="AA7" s="582"/>
      <c r="AB7" s="582"/>
      <c r="AC7" s="582"/>
      <c r="AD7" s="582"/>
      <c r="AE7" s="582"/>
    </row>
    <row r="8" spans="1:31" s="150" customFormat="1" x14ac:dyDescent="0.25"/>
    <row r="9" spans="1:31" s="150" customFormat="1" x14ac:dyDescent="0.25"/>
    <row r="10" spans="1:31" s="150" customFormat="1" x14ac:dyDescent="0.25"/>
    <row r="11" spans="1:31" ht="15.75" x14ac:dyDescent="0.25">
      <c r="B11" s="595" t="s">
        <v>0</v>
      </c>
      <c r="C11" s="595"/>
      <c r="D11" s="6"/>
      <c r="E11" s="681" t="s">
        <v>371</v>
      </c>
      <c r="F11" s="681"/>
      <c r="G11" s="681"/>
      <c r="H11" s="7"/>
      <c r="I11" s="681" t="s">
        <v>507</v>
      </c>
      <c r="J11" s="681"/>
      <c r="K11" s="681"/>
      <c r="L11" s="2"/>
      <c r="M11" s="691" t="s">
        <v>539</v>
      </c>
      <c r="N11" s="691"/>
      <c r="O11" s="691"/>
      <c r="P11" s="4"/>
      <c r="Q11" s="681" t="s">
        <v>507</v>
      </c>
      <c r="R11" s="681"/>
      <c r="S11" s="681"/>
      <c r="U11" s="692" t="s">
        <v>540</v>
      </c>
      <c r="V11" s="692"/>
      <c r="W11" s="692"/>
      <c r="Y11" s="681" t="s">
        <v>507</v>
      </c>
      <c r="Z11" s="681"/>
      <c r="AA11" s="681"/>
      <c r="AC11" s="681" t="s">
        <v>538</v>
      </c>
      <c r="AD11" s="681"/>
      <c r="AE11" s="681"/>
    </row>
    <row r="12" spans="1:31" ht="15.75" thickBot="1" x14ac:dyDescent="0.3">
      <c r="B12" s="596"/>
      <c r="C12" s="596"/>
      <c r="D12" s="5"/>
      <c r="E12" s="5"/>
      <c r="I12" s="5"/>
      <c r="Q12" s="5"/>
      <c r="Y12" s="5"/>
      <c r="AC12" s="5"/>
    </row>
    <row r="13" spans="1:31" ht="15.75" x14ac:dyDescent="0.25">
      <c r="B13" s="896" t="s">
        <v>112</v>
      </c>
      <c r="C13" s="897"/>
      <c r="D13" s="136"/>
      <c r="E13" s="666" t="s">
        <v>763</v>
      </c>
      <c r="F13" s="667"/>
      <c r="G13" s="668"/>
      <c r="H13" s="138"/>
      <c r="I13" s="1079" t="s">
        <v>111</v>
      </c>
      <c r="J13" s="1080"/>
      <c r="K13" s="1081"/>
      <c r="L13" s="141"/>
      <c r="M13" s="666" t="s">
        <v>763</v>
      </c>
      <c r="N13" s="667"/>
      <c r="O13" s="668"/>
      <c r="P13" s="142"/>
      <c r="Q13" s="1079" t="s">
        <v>111</v>
      </c>
      <c r="R13" s="1080"/>
      <c r="S13" s="1081"/>
      <c r="T13" s="139"/>
      <c r="U13" s="1064" t="s">
        <v>763</v>
      </c>
      <c r="V13" s="1065"/>
      <c r="W13" s="1066"/>
      <c r="X13" s="139"/>
      <c r="Y13" s="1079" t="s">
        <v>111</v>
      </c>
      <c r="Z13" s="1080"/>
      <c r="AA13" s="1081"/>
      <c r="AB13" s="139"/>
      <c r="AC13" s="1064" t="s">
        <v>111</v>
      </c>
      <c r="AD13" s="1065"/>
      <c r="AE13" s="1066"/>
    </row>
    <row r="14" spans="1:31" ht="15.75" x14ac:dyDescent="0.25">
      <c r="B14" s="239" t="s">
        <v>4</v>
      </c>
      <c r="C14" s="240"/>
      <c r="D14" s="5"/>
      <c r="E14" s="226" t="s">
        <v>527</v>
      </c>
      <c r="F14" s="434"/>
      <c r="G14" s="435"/>
      <c r="H14" s="4"/>
      <c r="I14" s="855" t="s">
        <v>111</v>
      </c>
      <c r="J14" s="845"/>
      <c r="K14" s="846"/>
      <c r="L14" s="3"/>
      <c r="M14" s="226" t="s">
        <v>533</v>
      </c>
      <c r="N14" s="434"/>
      <c r="O14" s="435"/>
      <c r="P14" s="8"/>
      <c r="Q14" s="855" t="s">
        <v>855</v>
      </c>
      <c r="R14" s="845"/>
      <c r="S14" s="846"/>
      <c r="U14" s="226" t="s">
        <v>530</v>
      </c>
      <c r="V14" s="434"/>
      <c r="W14" s="435"/>
      <c r="Y14" s="1082" t="s">
        <v>856</v>
      </c>
      <c r="Z14" s="1083"/>
      <c r="AA14" s="1084"/>
      <c r="AC14" s="226" t="s">
        <v>111</v>
      </c>
      <c r="AD14" s="434"/>
      <c r="AE14" s="435"/>
    </row>
    <row r="15" spans="1:31" ht="15.75" x14ac:dyDescent="0.25">
      <c r="B15" s="239" t="s">
        <v>5</v>
      </c>
      <c r="C15" s="240"/>
      <c r="D15" s="5"/>
      <c r="E15" s="226" t="s">
        <v>819</v>
      </c>
      <c r="F15" s="434"/>
      <c r="G15" s="435"/>
      <c r="H15" s="4"/>
      <c r="I15" s="855" t="s">
        <v>111</v>
      </c>
      <c r="J15" s="845"/>
      <c r="K15" s="846"/>
      <c r="L15" s="3"/>
      <c r="M15" s="226" t="s">
        <v>86</v>
      </c>
      <c r="N15" s="434"/>
      <c r="O15" s="435"/>
      <c r="P15" s="8"/>
      <c r="Q15" s="855" t="s">
        <v>111</v>
      </c>
      <c r="R15" s="845"/>
      <c r="S15" s="846"/>
      <c r="U15" s="226" t="s">
        <v>532</v>
      </c>
      <c r="V15" s="434"/>
      <c r="W15" s="435"/>
      <c r="Y15" s="855" t="s">
        <v>111</v>
      </c>
      <c r="Z15" s="845"/>
      <c r="AA15" s="846"/>
      <c r="AC15" s="226" t="s">
        <v>111</v>
      </c>
      <c r="AD15" s="434"/>
      <c r="AE15" s="435"/>
    </row>
    <row r="16" spans="1:31" ht="15.75" x14ac:dyDescent="0.25">
      <c r="B16" s="239" t="s">
        <v>6</v>
      </c>
      <c r="C16" s="240"/>
      <c r="D16" s="5"/>
      <c r="E16" s="253" t="s">
        <v>527</v>
      </c>
      <c r="F16" s="254"/>
      <c r="G16" s="255"/>
      <c r="H16" s="4"/>
      <c r="I16" s="1085" t="s">
        <v>111</v>
      </c>
      <c r="J16" s="1086"/>
      <c r="K16" s="1087"/>
      <c r="L16" s="3"/>
      <c r="M16" s="226" t="s">
        <v>530</v>
      </c>
      <c r="N16" s="434"/>
      <c r="O16" s="435"/>
      <c r="P16" s="8"/>
      <c r="Q16" s="1085" t="s">
        <v>111</v>
      </c>
      <c r="R16" s="1086"/>
      <c r="S16" s="1087"/>
      <c r="U16" s="809" t="s">
        <v>86</v>
      </c>
      <c r="V16" s="810"/>
      <c r="W16" s="811"/>
      <c r="Y16" s="1085" t="s">
        <v>111</v>
      </c>
      <c r="Z16" s="1086"/>
      <c r="AA16" s="1087"/>
      <c r="AC16" s="253" t="s">
        <v>111</v>
      </c>
      <c r="AD16" s="254"/>
      <c r="AE16" s="255"/>
    </row>
    <row r="17" spans="2:31" ht="15.75" x14ac:dyDescent="0.25">
      <c r="B17" s="239" t="s">
        <v>7</v>
      </c>
      <c r="C17" s="240"/>
      <c r="D17" s="5"/>
      <c r="E17" s="253" t="s">
        <v>820</v>
      </c>
      <c r="F17" s="254"/>
      <c r="G17" s="255"/>
      <c r="H17" s="4"/>
      <c r="I17" s="1085" t="s">
        <v>864</v>
      </c>
      <c r="J17" s="1086"/>
      <c r="K17" s="1087"/>
      <c r="L17" s="3"/>
      <c r="M17" s="226" t="s">
        <v>530</v>
      </c>
      <c r="N17" s="434"/>
      <c r="O17" s="435"/>
      <c r="P17" s="8"/>
      <c r="Q17" s="1088" t="s">
        <v>863</v>
      </c>
      <c r="R17" s="1086"/>
      <c r="S17" s="1087"/>
      <c r="U17" s="809" t="s">
        <v>530</v>
      </c>
      <c r="V17" s="810"/>
      <c r="W17" s="811"/>
      <c r="Y17" s="1085" t="s">
        <v>862</v>
      </c>
      <c r="Z17" s="1086"/>
      <c r="AA17" s="1087"/>
      <c r="AC17" s="253" t="s">
        <v>111</v>
      </c>
      <c r="AD17" s="254"/>
      <c r="AE17" s="255"/>
    </row>
    <row r="18" spans="2:31" ht="15.75" x14ac:dyDescent="0.25">
      <c r="B18" s="239" t="s">
        <v>8</v>
      </c>
      <c r="C18" s="240"/>
      <c r="D18" s="5"/>
      <c r="E18" s="253" t="s">
        <v>527</v>
      </c>
      <c r="F18" s="254"/>
      <c r="G18" s="255"/>
      <c r="H18" s="4"/>
      <c r="I18" s="1085" t="s">
        <v>111</v>
      </c>
      <c r="J18" s="1086"/>
      <c r="K18" s="1087"/>
      <c r="L18" s="3"/>
      <c r="M18" s="226" t="s">
        <v>533</v>
      </c>
      <c r="N18" s="434"/>
      <c r="O18" s="435"/>
      <c r="P18" s="8"/>
      <c r="Q18" s="1085" t="s">
        <v>111</v>
      </c>
      <c r="R18" s="1086"/>
      <c r="S18" s="1087"/>
      <c r="U18" s="809" t="s">
        <v>530</v>
      </c>
      <c r="V18" s="810"/>
      <c r="W18" s="811"/>
      <c r="Y18" s="1085" t="s">
        <v>111</v>
      </c>
      <c r="Z18" s="1086"/>
      <c r="AA18" s="1087"/>
      <c r="AC18" s="253" t="s">
        <v>111</v>
      </c>
      <c r="AD18" s="254"/>
      <c r="AE18" s="255"/>
    </row>
    <row r="19" spans="2:31" ht="15.75" x14ac:dyDescent="0.25">
      <c r="B19" s="239" t="s">
        <v>9</v>
      </c>
      <c r="C19" s="240"/>
      <c r="D19" s="5"/>
      <c r="E19" s="253" t="s">
        <v>527</v>
      </c>
      <c r="F19" s="254"/>
      <c r="G19" s="255"/>
      <c r="H19" s="4"/>
      <c r="I19" s="1088" t="s">
        <v>871</v>
      </c>
      <c r="J19" s="1086"/>
      <c r="K19" s="1087"/>
      <c r="L19" s="3"/>
      <c r="M19" s="226" t="s">
        <v>530</v>
      </c>
      <c r="N19" s="434"/>
      <c r="O19" s="435"/>
      <c r="P19" s="8"/>
      <c r="Q19" s="1085" t="s">
        <v>870</v>
      </c>
      <c r="R19" s="1086"/>
      <c r="S19" s="1087"/>
      <c r="U19" s="809" t="s">
        <v>890</v>
      </c>
      <c r="V19" s="810"/>
      <c r="W19" s="811"/>
      <c r="Y19" s="1085" t="s">
        <v>869</v>
      </c>
      <c r="Z19" s="1086"/>
      <c r="AA19" s="1087"/>
      <c r="AC19" s="253" t="s">
        <v>111</v>
      </c>
      <c r="AD19" s="254"/>
      <c r="AE19" s="255"/>
    </row>
    <row r="20" spans="2:31" ht="15.75" x14ac:dyDescent="0.25">
      <c r="B20" s="239" t="s">
        <v>10</v>
      </c>
      <c r="C20" s="240"/>
      <c r="D20" s="5"/>
      <c r="E20" s="253" t="s">
        <v>527</v>
      </c>
      <c r="F20" s="254"/>
      <c r="G20" s="255"/>
      <c r="H20" s="4"/>
      <c r="I20" s="1085" t="s">
        <v>878</v>
      </c>
      <c r="J20" s="1086"/>
      <c r="K20" s="1087"/>
      <c r="L20" s="3"/>
      <c r="M20" s="226" t="s">
        <v>530</v>
      </c>
      <c r="N20" s="434"/>
      <c r="O20" s="435"/>
      <c r="P20" s="8"/>
      <c r="Q20" s="1085" t="s">
        <v>876</v>
      </c>
      <c r="R20" s="1086"/>
      <c r="S20" s="1087"/>
      <c r="U20" s="226" t="s">
        <v>75</v>
      </c>
      <c r="V20" s="434"/>
      <c r="W20" s="435"/>
      <c r="Y20" s="1085" t="s">
        <v>877</v>
      </c>
      <c r="Z20" s="1086"/>
      <c r="AA20" s="1087"/>
      <c r="AC20" s="253" t="s">
        <v>111</v>
      </c>
      <c r="AD20" s="254"/>
      <c r="AE20" s="255"/>
    </row>
    <row r="21" spans="2:31" ht="16.5" thickBot="1" x14ac:dyDescent="0.3">
      <c r="B21" s="396" t="s">
        <v>113</v>
      </c>
      <c r="C21" s="397"/>
      <c r="D21" s="136"/>
      <c r="E21" s="398" t="s">
        <v>763</v>
      </c>
      <c r="F21" s="399"/>
      <c r="G21" s="400"/>
      <c r="H21" s="138"/>
      <c r="I21" s="1073" t="s">
        <v>111</v>
      </c>
      <c r="J21" s="1074"/>
      <c r="K21" s="1075"/>
      <c r="L21" s="141"/>
      <c r="M21" s="398" t="s">
        <v>763</v>
      </c>
      <c r="N21" s="399"/>
      <c r="O21" s="400"/>
      <c r="P21" s="142"/>
      <c r="Q21" s="1073" t="s">
        <v>111</v>
      </c>
      <c r="R21" s="1074"/>
      <c r="S21" s="1075"/>
      <c r="T21" s="139"/>
      <c r="U21" s="398" t="s">
        <v>763</v>
      </c>
      <c r="V21" s="399"/>
      <c r="W21" s="400"/>
      <c r="X21" s="139"/>
      <c r="Y21" s="1073" t="s">
        <v>111</v>
      </c>
      <c r="Z21" s="1074"/>
      <c r="AA21" s="1075"/>
      <c r="AB21" s="139"/>
      <c r="AC21" s="1067" t="s">
        <v>111</v>
      </c>
      <c r="AD21" s="1068"/>
      <c r="AE21" s="1069"/>
    </row>
    <row r="24" spans="2:31" ht="15.75" x14ac:dyDescent="0.25">
      <c r="B24" s="837" t="s">
        <v>1</v>
      </c>
      <c r="C24" s="837"/>
      <c r="D24" s="6"/>
      <c r="E24" s="838" t="s">
        <v>371</v>
      </c>
      <c r="F24" s="838"/>
      <c r="G24" s="838"/>
      <c r="H24" s="7"/>
      <c r="I24" s="838" t="s">
        <v>507</v>
      </c>
      <c r="J24" s="838"/>
      <c r="K24" s="838"/>
      <c r="L24" s="2"/>
      <c r="M24" s="839" t="s">
        <v>464</v>
      </c>
      <c r="N24" s="839"/>
      <c r="O24" s="839"/>
      <c r="Q24" s="838" t="s">
        <v>507</v>
      </c>
      <c r="R24" s="838"/>
      <c r="S24" s="838"/>
      <c r="U24" s="749" t="s">
        <v>528</v>
      </c>
      <c r="V24" s="749"/>
      <c r="W24" s="749"/>
      <c r="Y24" s="838" t="s">
        <v>507</v>
      </c>
      <c r="Z24" s="838"/>
      <c r="AA24" s="838"/>
      <c r="AC24" s="838" t="s">
        <v>507</v>
      </c>
      <c r="AD24" s="838"/>
      <c r="AE24" s="838"/>
    </row>
    <row r="25" spans="2:31" ht="15.75" thickBot="1" x14ac:dyDescent="0.3">
      <c r="B25" s="596"/>
      <c r="C25" s="596"/>
      <c r="D25" s="5"/>
      <c r="E25" s="5"/>
      <c r="I25" s="5"/>
      <c r="Q25" s="5"/>
      <c r="Y25" s="5"/>
      <c r="AC25" s="5"/>
    </row>
    <row r="26" spans="2:31" ht="15.75" x14ac:dyDescent="0.25">
      <c r="B26" s="389" t="s">
        <v>13</v>
      </c>
      <c r="C26" s="390"/>
      <c r="D26" s="5"/>
      <c r="E26" s="352" t="s">
        <v>527</v>
      </c>
      <c r="F26" s="353"/>
      <c r="G26" s="354"/>
      <c r="H26" s="4"/>
      <c r="I26" s="707" t="s">
        <v>111</v>
      </c>
      <c r="J26" s="708"/>
      <c r="K26" s="709"/>
      <c r="L26" s="3"/>
      <c r="M26" s="200" t="s">
        <v>530</v>
      </c>
      <c r="N26" s="201"/>
      <c r="O26" s="202"/>
      <c r="Q26" s="707" t="s">
        <v>111</v>
      </c>
      <c r="R26" s="708"/>
      <c r="S26" s="709"/>
      <c r="U26" s="792" t="s">
        <v>530</v>
      </c>
      <c r="V26" s="793"/>
      <c r="W26" s="794"/>
      <c r="Y26" s="707" t="s">
        <v>111</v>
      </c>
      <c r="Z26" s="708"/>
      <c r="AA26" s="709"/>
      <c r="AC26" s="707" t="s">
        <v>111</v>
      </c>
      <c r="AD26" s="708"/>
      <c r="AE26" s="709"/>
    </row>
    <row r="27" spans="2:31" ht="15.75" x14ac:dyDescent="0.25">
      <c r="B27" s="239" t="s">
        <v>14</v>
      </c>
      <c r="C27" s="240"/>
      <c r="D27" s="5"/>
      <c r="E27" s="253" t="s">
        <v>527</v>
      </c>
      <c r="F27" s="254"/>
      <c r="G27" s="255"/>
      <c r="H27" s="4"/>
      <c r="I27" s="363" t="s">
        <v>111</v>
      </c>
      <c r="J27" s="364"/>
      <c r="K27" s="365"/>
      <c r="L27" s="3"/>
      <c r="M27" s="226" t="s">
        <v>533</v>
      </c>
      <c r="N27" s="434"/>
      <c r="O27" s="435"/>
      <c r="Q27" s="363" t="s">
        <v>111</v>
      </c>
      <c r="R27" s="364"/>
      <c r="S27" s="365"/>
      <c r="U27" s="809" t="s">
        <v>525</v>
      </c>
      <c r="V27" s="810"/>
      <c r="W27" s="811"/>
      <c r="Y27" s="363" t="s">
        <v>111</v>
      </c>
      <c r="Z27" s="364"/>
      <c r="AA27" s="365"/>
      <c r="AC27" s="363" t="s">
        <v>111</v>
      </c>
      <c r="AD27" s="364"/>
      <c r="AE27" s="365"/>
    </row>
    <row r="28" spans="2:31" ht="15.75" x14ac:dyDescent="0.25">
      <c r="B28" s="239" t="s">
        <v>15</v>
      </c>
      <c r="C28" s="240"/>
      <c r="D28" s="5"/>
      <c r="E28" s="253" t="s">
        <v>527</v>
      </c>
      <c r="F28" s="254"/>
      <c r="G28" s="255"/>
      <c r="H28" s="4"/>
      <c r="I28" s="363">
        <v>48798</v>
      </c>
      <c r="J28" s="364"/>
      <c r="K28" s="365"/>
      <c r="L28" s="3"/>
      <c r="M28" s="226" t="s">
        <v>82</v>
      </c>
      <c r="N28" s="434"/>
      <c r="O28" s="435"/>
      <c r="Q28" s="363" t="s">
        <v>111</v>
      </c>
      <c r="R28" s="364"/>
      <c r="S28" s="365"/>
      <c r="U28" s="809" t="s">
        <v>530</v>
      </c>
      <c r="V28" s="810"/>
      <c r="W28" s="811"/>
      <c r="Y28" s="363" t="s">
        <v>111</v>
      </c>
      <c r="Z28" s="364"/>
      <c r="AA28" s="365"/>
      <c r="AC28" s="363" t="s">
        <v>111</v>
      </c>
      <c r="AD28" s="364"/>
      <c r="AE28" s="365"/>
    </row>
    <row r="29" spans="2:31" ht="15.75" x14ac:dyDescent="0.25">
      <c r="B29" s="239" t="s">
        <v>16</v>
      </c>
      <c r="C29" s="240"/>
      <c r="D29" s="5"/>
      <c r="E29" s="253" t="s">
        <v>74</v>
      </c>
      <c r="F29" s="254"/>
      <c r="G29" s="255"/>
      <c r="H29" s="4"/>
      <c r="I29" s="363" t="s">
        <v>111</v>
      </c>
      <c r="J29" s="364"/>
      <c r="K29" s="365"/>
      <c r="L29" s="3"/>
      <c r="M29" s="226" t="s">
        <v>525</v>
      </c>
      <c r="N29" s="434"/>
      <c r="O29" s="435"/>
      <c r="Q29" s="363" t="s">
        <v>111</v>
      </c>
      <c r="R29" s="364"/>
      <c r="S29" s="365"/>
      <c r="U29" s="809" t="s">
        <v>532</v>
      </c>
      <c r="V29" s="810"/>
      <c r="W29" s="811"/>
      <c r="Y29" s="363" t="s">
        <v>111</v>
      </c>
      <c r="Z29" s="364"/>
      <c r="AA29" s="365"/>
      <c r="AC29" s="363" t="s">
        <v>111</v>
      </c>
      <c r="AD29" s="364"/>
      <c r="AE29" s="365"/>
    </row>
    <row r="30" spans="2:31" ht="15.75" x14ac:dyDescent="0.25">
      <c r="B30" s="239" t="s">
        <v>17</v>
      </c>
      <c r="C30" s="240"/>
      <c r="D30" s="5"/>
      <c r="E30" s="253" t="s">
        <v>527</v>
      </c>
      <c r="F30" s="254"/>
      <c r="G30" s="255"/>
      <c r="H30" s="4"/>
      <c r="I30" s="363">
        <v>61956</v>
      </c>
      <c r="J30" s="364"/>
      <c r="K30" s="365"/>
      <c r="L30" s="3"/>
      <c r="M30" s="226" t="s">
        <v>592</v>
      </c>
      <c r="N30" s="434"/>
      <c r="O30" s="435"/>
      <c r="Q30" s="363" t="s">
        <v>111</v>
      </c>
      <c r="R30" s="364"/>
      <c r="S30" s="365"/>
      <c r="U30" s="809" t="s">
        <v>82</v>
      </c>
      <c r="V30" s="810"/>
      <c r="W30" s="811"/>
      <c r="Y30" s="1076" t="s">
        <v>887</v>
      </c>
      <c r="Z30" s="1077"/>
      <c r="AA30" s="1078"/>
      <c r="AC30" s="363" t="s">
        <v>111</v>
      </c>
      <c r="AD30" s="364"/>
      <c r="AE30" s="365"/>
    </row>
    <row r="31" spans="2:31" ht="15.75" x14ac:dyDescent="0.25">
      <c r="B31" s="239" t="s">
        <v>18</v>
      </c>
      <c r="C31" s="240"/>
      <c r="D31" s="136"/>
      <c r="E31" s="253" t="s">
        <v>825</v>
      </c>
      <c r="F31" s="254"/>
      <c r="G31" s="255"/>
      <c r="H31" s="138"/>
      <c r="I31" s="1070" t="s">
        <v>111</v>
      </c>
      <c r="J31" s="1071"/>
      <c r="K31" s="1072"/>
      <c r="L31" s="141"/>
      <c r="M31" s="226" t="s">
        <v>530</v>
      </c>
      <c r="N31" s="434"/>
      <c r="O31" s="435"/>
      <c r="P31" s="139"/>
      <c r="Q31" s="1070" t="s">
        <v>111</v>
      </c>
      <c r="R31" s="1071"/>
      <c r="S31" s="1072"/>
      <c r="T31" s="139"/>
      <c r="U31" s="809" t="s">
        <v>528</v>
      </c>
      <c r="V31" s="810"/>
      <c r="W31" s="811"/>
      <c r="X31" s="139"/>
      <c r="Y31" s="1070" t="s">
        <v>111</v>
      </c>
      <c r="Z31" s="1071"/>
      <c r="AA31" s="1072"/>
      <c r="AB31" s="139"/>
      <c r="AC31" s="1070" t="s">
        <v>111</v>
      </c>
      <c r="AD31" s="1071"/>
      <c r="AE31" s="1072"/>
    </row>
    <row r="32" spans="2:31" ht="15.75" x14ac:dyDescent="0.25">
      <c r="B32" s="982" t="s">
        <v>98</v>
      </c>
      <c r="C32" s="983"/>
      <c r="D32" s="5"/>
      <c r="E32" s="305" t="s">
        <v>824</v>
      </c>
      <c r="F32" s="984"/>
      <c r="G32" s="985"/>
      <c r="H32" s="4"/>
      <c r="I32" s="363"/>
      <c r="J32" s="364"/>
      <c r="K32" s="365"/>
      <c r="L32" s="3"/>
      <c r="M32" s="232" t="s">
        <v>533</v>
      </c>
      <c r="N32" s="233"/>
      <c r="O32" s="234"/>
      <c r="Q32" s="363"/>
      <c r="R32" s="364"/>
      <c r="S32" s="365"/>
      <c r="U32" s="804" t="s">
        <v>771</v>
      </c>
      <c r="V32" s="805"/>
      <c r="W32" s="806"/>
      <c r="Y32" s="363"/>
      <c r="Z32" s="364"/>
      <c r="AA32" s="365"/>
      <c r="AC32" s="363"/>
      <c r="AD32" s="364"/>
      <c r="AE32" s="365"/>
    </row>
    <row r="33" spans="2:31" ht="15.75" x14ac:dyDescent="0.25">
      <c r="B33" s="239" t="s">
        <v>19</v>
      </c>
      <c r="C33" s="240"/>
      <c r="D33" s="5"/>
      <c r="E33" s="253" t="s">
        <v>527</v>
      </c>
      <c r="F33" s="254"/>
      <c r="G33" s="255"/>
      <c r="H33" s="4"/>
      <c r="I33" s="363" t="s">
        <v>111</v>
      </c>
      <c r="J33" s="364"/>
      <c r="K33" s="365"/>
      <c r="L33" s="3"/>
      <c r="M33" s="226" t="s">
        <v>530</v>
      </c>
      <c r="N33" s="434"/>
      <c r="O33" s="435"/>
      <c r="Q33" s="363" t="s">
        <v>111</v>
      </c>
      <c r="R33" s="364"/>
      <c r="S33" s="365"/>
      <c r="U33" s="226" t="s">
        <v>530</v>
      </c>
      <c r="V33" s="434"/>
      <c r="W33" s="435"/>
      <c r="Y33" s="1076" t="s">
        <v>885</v>
      </c>
      <c r="Z33" s="1077"/>
      <c r="AA33" s="1078"/>
      <c r="AC33" s="363" t="s">
        <v>111</v>
      </c>
      <c r="AD33" s="364"/>
      <c r="AE33" s="365"/>
    </row>
    <row r="34" spans="2:31" ht="15.75" x14ac:dyDescent="0.25">
      <c r="B34" s="239" t="s">
        <v>20</v>
      </c>
      <c r="C34" s="240"/>
      <c r="D34" s="5"/>
      <c r="E34" s="253" t="s">
        <v>527</v>
      </c>
      <c r="F34" s="254"/>
      <c r="G34" s="255"/>
      <c r="H34" s="4"/>
      <c r="I34" s="363" t="s">
        <v>111</v>
      </c>
      <c r="J34" s="364"/>
      <c r="K34" s="365"/>
      <c r="L34" s="3"/>
      <c r="M34" s="226" t="s">
        <v>530</v>
      </c>
      <c r="N34" s="434"/>
      <c r="O34" s="435"/>
      <c r="Q34" s="363" t="s">
        <v>111</v>
      </c>
      <c r="R34" s="364"/>
      <c r="S34" s="365"/>
      <c r="U34" s="809" t="s">
        <v>530</v>
      </c>
      <c r="V34" s="810"/>
      <c r="W34" s="811"/>
      <c r="Y34" s="363" t="s">
        <v>111</v>
      </c>
      <c r="Z34" s="364"/>
      <c r="AA34" s="365"/>
      <c r="AC34" s="363" t="s">
        <v>111</v>
      </c>
      <c r="AD34" s="364"/>
      <c r="AE34" s="365"/>
    </row>
    <row r="35" spans="2:31" ht="15.75" x14ac:dyDescent="0.25">
      <c r="B35" s="239" t="s">
        <v>21</v>
      </c>
      <c r="C35" s="240"/>
      <c r="E35" s="253" t="s">
        <v>527</v>
      </c>
      <c r="F35" s="254"/>
      <c r="G35" s="255"/>
      <c r="I35" s="363" t="s">
        <v>111</v>
      </c>
      <c r="J35" s="364"/>
      <c r="K35" s="365"/>
      <c r="M35" s="226" t="s">
        <v>82</v>
      </c>
      <c r="N35" s="434"/>
      <c r="O35" s="435"/>
      <c r="Q35" s="363" t="s">
        <v>111</v>
      </c>
      <c r="R35" s="364"/>
      <c r="S35" s="365"/>
      <c r="U35" s="809" t="s">
        <v>82</v>
      </c>
      <c r="V35" s="810"/>
      <c r="W35" s="811"/>
      <c r="Y35" s="363" t="s">
        <v>111</v>
      </c>
      <c r="Z35" s="364"/>
      <c r="AA35" s="365"/>
      <c r="AC35" s="363" t="s">
        <v>111</v>
      </c>
      <c r="AD35" s="364"/>
      <c r="AE35" s="365"/>
    </row>
    <row r="36" spans="2:31" ht="16.5" thickBot="1" x14ac:dyDescent="0.3">
      <c r="B36" s="416" t="s">
        <v>22</v>
      </c>
      <c r="C36" s="417"/>
      <c r="E36" s="212" t="s">
        <v>527</v>
      </c>
      <c r="F36" s="213"/>
      <c r="G36" s="214"/>
      <c r="I36" s="401" t="s">
        <v>111</v>
      </c>
      <c r="J36" s="402"/>
      <c r="K36" s="403"/>
      <c r="M36" s="215" t="s">
        <v>592</v>
      </c>
      <c r="N36" s="216"/>
      <c r="O36" s="217"/>
      <c r="Q36" s="401" t="s">
        <v>111</v>
      </c>
      <c r="R36" s="402"/>
      <c r="S36" s="403"/>
      <c r="U36" s="797" t="s">
        <v>82</v>
      </c>
      <c r="V36" s="798"/>
      <c r="W36" s="799"/>
      <c r="Y36" s="401" t="s">
        <v>111</v>
      </c>
      <c r="Z36" s="402"/>
      <c r="AA36" s="403"/>
      <c r="AC36" s="401" t="s">
        <v>111</v>
      </c>
      <c r="AD36" s="402"/>
      <c r="AE36" s="403"/>
    </row>
    <row r="37" spans="2:31" ht="15.75" x14ac:dyDescent="0.25">
      <c r="B37" s="9"/>
      <c r="C37" s="9"/>
    </row>
    <row r="38" spans="2:31" ht="15.75" x14ac:dyDescent="0.25">
      <c r="B38" s="9"/>
      <c r="C38" s="9"/>
    </row>
    <row r="39" spans="2:31" ht="15.75" x14ac:dyDescent="0.25">
      <c r="B39" s="616" t="s">
        <v>39</v>
      </c>
      <c r="C39" s="616"/>
      <c r="E39" s="704" t="s">
        <v>371</v>
      </c>
      <c r="F39" s="704"/>
      <c r="G39" s="704"/>
      <c r="H39" s="7"/>
      <c r="I39" s="704" t="s">
        <v>507</v>
      </c>
      <c r="J39" s="704"/>
      <c r="K39" s="704"/>
      <c r="L39" s="2"/>
      <c r="M39" s="705" t="s">
        <v>464</v>
      </c>
      <c r="N39" s="705"/>
      <c r="O39" s="705"/>
      <c r="Q39" s="704" t="s">
        <v>507</v>
      </c>
      <c r="R39" s="704"/>
      <c r="S39" s="704"/>
      <c r="U39" s="706" t="s">
        <v>528</v>
      </c>
      <c r="V39" s="706"/>
      <c r="W39" s="706"/>
      <c r="Y39" s="704" t="s">
        <v>507</v>
      </c>
      <c r="Z39" s="704"/>
      <c r="AA39" s="704"/>
      <c r="AC39" s="704" t="s">
        <v>507</v>
      </c>
      <c r="AD39" s="704"/>
      <c r="AE39" s="704"/>
    </row>
    <row r="40" spans="2:31" ht="16.5" thickBot="1" x14ac:dyDescent="0.3">
      <c r="B40" s="9"/>
      <c r="C40" s="9"/>
    </row>
    <row r="41" spans="2:31" ht="16.5" thickBot="1" x14ac:dyDescent="0.3">
      <c r="B41" s="423" t="s">
        <v>40</v>
      </c>
      <c r="C41" s="424"/>
      <c r="E41" s="352" t="s">
        <v>527</v>
      </c>
      <c r="F41" s="353"/>
      <c r="G41" s="354"/>
      <c r="H41" s="4"/>
      <c r="I41" s="707" t="s">
        <v>111</v>
      </c>
      <c r="J41" s="708"/>
      <c r="K41" s="709"/>
      <c r="L41" s="3"/>
      <c r="M41" s="200" t="s">
        <v>86</v>
      </c>
      <c r="N41" s="201"/>
      <c r="O41" s="202"/>
      <c r="Q41" s="707" t="s">
        <v>111</v>
      </c>
      <c r="R41" s="708"/>
      <c r="S41" s="709"/>
      <c r="U41" s="792" t="s">
        <v>530</v>
      </c>
      <c r="V41" s="793"/>
      <c r="W41" s="794"/>
      <c r="Y41" s="707" t="s">
        <v>111</v>
      </c>
      <c r="Z41" s="708"/>
      <c r="AA41" s="709"/>
      <c r="AC41" s="707" t="s">
        <v>111</v>
      </c>
      <c r="AD41" s="708"/>
      <c r="AE41" s="709"/>
    </row>
    <row r="42" spans="2:31" ht="16.5" thickBot="1" x14ac:dyDescent="0.3">
      <c r="B42" s="347" t="s">
        <v>41</v>
      </c>
      <c r="C42" s="348"/>
      <c r="E42" s="212" t="s">
        <v>527</v>
      </c>
      <c r="F42" s="213"/>
      <c r="G42" s="214"/>
      <c r="H42" s="4"/>
      <c r="I42" s="401" t="s">
        <v>111</v>
      </c>
      <c r="J42" s="402"/>
      <c r="K42" s="403"/>
      <c r="L42" s="3"/>
      <c r="M42" s="550" t="s">
        <v>533</v>
      </c>
      <c r="N42" s="641"/>
      <c r="O42" s="642"/>
      <c r="Q42" s="401" t="s">
        <v>111</v>
      </c>
      <c r="R42" s="402"/>
      <c r="S42" s="403"/>
      <c r="U42" s="797" t="s">
        <v>525</v>
      </c>
      <c r="V42" s="798"/>
      <c r="W42" s="799"/>
      <c r="Y42" s="401" t="s">
        <v>111</v>
      </c>
      <c r="Z42" s="402"/>
      <c r="AA42" s="403"/>
      <c r="AC42" s="401" t="s">
        <v>111</v>
      </c>
      <c r="AD42" s="402"/>
      <c r="AE42" s="403"/>
    </row>
    <row r="43" spans="2:31" ht="15.75" x14ac:dyDescent="0.25">
      <c r="B43" s="9"/>
      <c r="C43" s="9"/>
    </row>
    <row r="45" spans="2:31" ht="15.75" x14ac:dyDescent="0.25">
      <c r="B45" s="604" t="s">
        <v>2</v>
      </c>
      <c r="C45" s="604"/>
      <c r="D45" s="6"/>
      <c r="E45" s="675" t="s">
        <v>371</v>
      </c>
      <c r="F45" s="675"/>
      <c r="G45" s="675"/>
      <c r="H45" s="7"/>
      <c r="I45" s="675" t="s">
        <v>507</v>
      </c>
      <c r="J45" s="675"/>
      <c r="K45" s="675"/>
      <c r="L45" s="2"/>
      <c r="M45" s="676" t="s">
        <v>464</v>
      </c>
      <c r="N45" s="676"/>
      <c r="O45" s="676"/>
      <c r="Q45" s="675" t="s">
        <v>507</v>
      </c>
      <c r="R45" s="675"/>
      <c r="S45" s="675"/>
      <c r="U45" s="736" t="s">
        <v>528</v>
      </c>
      <c r="V45" s="736"/>
      <c r="W45" s="736"/>
      <c r="Y45" s="675" t="s">
        <v>507</v>
      </c>
      <c r="Z45" s="675"/>
      <c r="AA45" s="675"/>
      <c r="AC45" s="675" t="s">
        <v>507</v>
      </c>
      <c r="AD45" s="675"/>
      <c r="AE45" s="675"/>
    </row>
    <row r="46" spans="2:31" ht="15.75" thickBot="1" x14ac:dyDescent="0.3">
      <c r="B46" s="596"/>
      <c r="C46" s="596"/>
      <c r="D46" s="5"/>
      <c r="E46" s="5"/>
      <c r="I46" s="5"/>
      <c r="Q46" s="5"/>
      <c r="Y46" s="5"/>
      <c r="AC46" s="5"/>
    </row>
    <row r="47" spans="2:31" ht="15.75" x14ac:dyDescent="0.25">
      <c r="B47" s="423" t="s">
        <v>23</v>
      </c>
      <c r="C47" s="424"/>
      <c r="D47" s="5"/>
      <c r="E47" s="352" t="s">
        <v>527</v>
      </c>
      <c r="F47" s="353"/>
      <c r="G47" s="354"/>
      <c r="H47" s="4"/>
      <c r="I47" s="352" t="s">
        <v>111</v>
      </c>
      <c r="J47" s="353"/>
      <c r="K47" s="354"/>
      <c r="L47" s="3"/>
      <c r="M47" s="200" t="s">
        <v>533</v>
      </c>
      <c r="N47" s="201"/>
      <c r="O47" s="202"/>
      <c r="Q47" s="352" t="s">
        <v>111</v>
      </c>
      <c r="R47" s="353"/>
      <c r="S47" s="354"/>
      <c r="U47" s="792" t="s">
        <v>86</v>
      </c>
      <c r="V47" s="793"/>
      <c r="W47" s="794"/>
      <c r="Y47" s="352" t="s">
        <v>111</v>
      </c>
      <c r="Z47" s="353"/>
      <c r="AA47" s="354"/>
      <c r="AC47" s="352" t="s">
        <v>111</v>
      </c>
      <c r="AD47" s="353"/>
      <c r="AE47" s="354"/>
    </row>
    <row r="48" spans="2:31" ht="15.75" x14ac:dyDescent="0.25">
      <c r="B48" s="330" t="s">
        <v>24</v>
      </c>
      <c r="C48" s="331"/>
      <c r="D48" s="136"/>
      <c r="E48" s="270" t="s">
        <v>763</v>
      </c>
      <c r="F48" s="271"/>
      <c r="G48" s="272"/>
      <c r="H48" s="138"/>
      <c r="I48" s="825" t="s">
        <v>111</v>
      </c>
      <c r="J48" s="826"/>
      <c r="K48" s="827"/>
      <c r="L48" s="141"/>
      <c r="M48" s="685" t="s">
        <v>533</v>
      </c>
      <c r="N48" s="686"/>
      <c r="O48" s="687"/>
      <c r="P48" s="139"/>
      <c r="Q48" s="825" t="s">
        <v>111</v>
      </c>
      <c r="R48" s="826"/>
      <c r="S48" s="827"/>
      <c r="T48" s="139"/>
      <c r="U48" s="685" t="s">
        <v>530</v>
      </c>
      <c r="V48" s="686"/>
      <c r="W48" s="687"/>
      <c r="X48" s="139"/>
      <c r="Y48" s="825" t="s">
        <v>111</v>
      </c>
      <c r="Z48" s="826"/>
      <c r="AA48" s="827"/>
      <c r="AB48" s="139"/>
      <c r="AC48" s="825" t="s">
        <v>111</v>
      </c>
      <c r="AD48" s="826"/>
      <c r="AE48" s="827"/>
    </row>
    <row r="49" spans="2:31" ht="15.75" x14ac:dyDescent="0.25">
      <c r="B49" s="330" t="s">
        <v>25</v>
      </c>
      <c r="C49" s="331"/>
      <c r="D49" s="136"/>
      <c r="E49" s="332" t="s">
        <v>74</v>
      </c>
      <c r="F49" s="333"/>
      <c r="G49" s="334"/>
      <c r="H49" s="138"/>
      <c r="I49" s="825" t="s">
        <v>111</v>
      </c>
      <c r="J49" s="826"/>
      <c r="K49" s="827"/>
      <c r="L49" s="141"/>
      <c r="M49" s="685" t="s">
        <v>892</v>
      </c>
      <c r="N49" s="686"/>
      <c r="O49" s="687"/>
      <c r="P49" s="139"/>
      <c r="Q49" s="825" t="s">
        <v>111</v>
      </c>
      <c r="R49" s="826"/>
      <c r="S49" s="827"/>
      <c r="T49" s="139"/>
      <c r="U49" s="685" t="s">
        <v>530</v>
      </c>
      <c r="V49" s="686"/>
      <c r="W49" s="687"/>
      <c r="X49" s="139"/>
      <c r="Y49" s="825" t="s">
        <v>111</v>
      </c>
      <c r="Z49" s="826"/>
      <c r="AA49" s="827"/>
      <c r="AB49" s="139"/>
      <c r="AC49" s="825" t="s">
        <v>111</v>
      </c>
      <c r="AD49" s="826"/>
      <c r="AE49" s="827"/>
    </row>
    <row r="50" spans="2:31" ht="15.75" x14ac:dyDescent="0.25">
      <c r="B50" s="330" t="s">
        <v>26</v>
      </c>
      <c r="C50" s="331"/>
      <c r="D50" s="5"/>
      <c r="E50" s="253" t="s">
        <v>74</v>
      </c>
      <c r="F50" s="254"/>
      <c r="G50" s="255"/>
      <c r="H50" s="4"/>
      <c r="I50" s="253" t="s">
        <v>111</v>
      </c>
      <c r="J50" s="254"/>
      <c r="K50" s="255"/>
      <c r="L50" s="3"/>
      <c r="M50" s="226" t="s">
        <v>525</v>
      </c>
      <c r="N50" s="434"/>
      <c r="O50" s="435"/>
      <c r="Q50" s="253" t="s">
        <v>111</v>
      </c>
      <c r="R50" s="254"/>
      <c r="S50" s="255"/>
      <c r="U50" s="809" t="s">
        <v>530</v>
      </c>
      <c r="V50" s="810"/>
      <c r="W50" s="811"/>
      <c r="Y50" s="253" t="s">
        <v>111</v>
      </c>
      <c r="Z50" s="254"/>
      <c r="AA50" s="255"/>
      <c r="AC50" s="253" t="s">
        <v>111</v>
      </c>
      <c r="AD50" s="254"/>
      <c r="AE50" s="255"/>
    </row>
    <row r="51" spans="2:31" ht="15.75" x14ac:dyDescent="0.25">
      <c r="B51" s="330" t="s">
        <v>27</v>
      </c>
      <c r="C51" s="331"/>
      <c r="D51" s="5"/>
      <c r="E51" s="253" t="s">
        <v>74</v>
      </c>
      <c r="F51" s="254"/>
      <c r="G51" s="255"/>
      <c r="H51" s="4"/>
      <c r="I51" s="253" t="s">
        <v>111</v>
      </c>
      <c r="J51" s="254"/>
      <c r="K51" s="255"/>
      <c r="L51" s="3"/>
      <c r="M51" s="226" t="s">
        <v>530</v>
      </c>
      <c r="N51" s="434"/>
      <c r="O51" s="435"/>
      <c r="Q51" s="253" t="s">
        <v>111</v>
      </c>
      <c r="R51" s="254"/>
      <c r="S51" s="255"/>
      <c r="U51" s="809" t="s">
        <v>532</v>
      </c>
      <c r="V51" s="810"/>
      <c r="W51" s="811"/>
      <c r="Y51" s="253" t="s">
        <v>111</v>
      </c>
      <c r="Z51" s="254"/>
      <c r="AA51" s="255"/>
      <c r="AC51" s="253" t="s">
        <v>111</v>
      </c>
      <c r="AD51" s="254"/>
      <c r="AE51" s="255"/>
    </row>
    <row r="52" spans="2:31" ht="15.75" x14ac:dyDescent="0.25">
      <c r="B52" s="330" t="s">
        <v>28</v>
      </c>
      <c r="C52" s="331"/>
      <c r="D52" s="5"/>
      <c r="E52" s="253" t="s">
        <v>527</v>
      </c>
      <c r="F52" s="254"/>
      <c r="G52" s="255"/>
      <c r="H52" s="4"/>
      <c r="I52" s="253" t="s">
        <v>111</v>
      </c>
      <c r="J52" s="254"/>
      <c r="K52" s="255"/>
      <c r="L52" s="3"/>
      <c r="M52" s="226" t="s">
        <v>533</v>
      </c>
      <c r="N52" s="434"/>
      <c r="O52" s="435"/>
      <c r="Q52" s="253" t="s">
        <v>111</v>
      </c>
      <c r="R52" s="254"/>
      <c r="S52" s="255"/>
      <c r="U52" s="809" t="s">
        <v>82</v>
      </c>
      <c r="V52" s="810"/>
      <c r="W52" s="811"/>
      <c r="Y52" s="253" t="s">
        <v>111</v>
      </c>
      <c r="Z52" s="254"/>
      <c r="AA52" s="255"/>
      <c r="AC52" s="253" t="s">
        <v>111</v>
      </c>
      <c r="AD52" s="254"/>
      <c r="AE52" s="255"/>
    </row>
    <row r="53" spans="2:31" ht="15.75" x14ac:dyDescent="0.25">
      <c r="B53" s="330" t="s">
        <v>29</v>
      </c>
      <c r="C53" s="331"/>
      <c r="D53" s="5"/>
      <c r="E53" s="253" t="s">
        <v>527</v>
      </c>
      <c r="F53" s="254"/>
      <c r="G53" s="255"/>
      <c r="H53" s="4"/>
      <c r="I53" s="253" t="s">
        <v>111</v>
      </c>
      <c r="J53" s="254"/>
      <c r="K53" s="255"/>
      <c r="L53" s="3"/>
      <c r="M53" s="226" t="s">
        <v>531</v>
      </c>
      <c r="N53" s="434"/>
      <c r="O53" s="435"/>
      <c r="Q53" s="253" t="s">
        <v>111</v>
      </c>
      <c r="R53" s="254"/>
      <c r="S53" s="255"/>
      <c r="U53" s="809" t="s">
        <v>532</v>
      </c>
      <c r="V53" s="810"/>
      <c r="W53" s="811"/>
      <c r="Y53" s="253" t="s">
        <v>111</v>
      </c>
      <c r="Z53" s="254"/>
      <c r="AA53" s="255"/>
      <c r="AC53" s="253" t="s">
        <v>111</v>
      </c>
      <c r="AD53" s="254"/>
      <c r="AE53" s="255"/>
    </row>
    <row r="54" spans="2:31" ht="16.5" thickBot="1" x14ac:dyDescent="0.3">
      <c r="B54" s="347" t="s">
        <v>30</v>
      </c>
      <c r="C54" s="348"/>
      <c r="E54" s="212" t="s">
        <v>96</v>
      </c>
      <c r="F54" s="213"/>
      <c r="G54" s="214"/>
      <c r="I54" s="212" t="s">
        <v>111</v>
      </c>
      <c r="J54" s="213"/>
      <c r="K54" s="214"/>
      <c r="M54" s="215" t="s">
        <v>525</v>
      </c>
      <c r="N54" s="216"/>
      <c r="O54" s="217"/>
      <c r="Q54" s="212" t="s">
        <v>111</v>
      </c>
      <c r="R54" s="213"/>
      <c r="S54" s="214"/>
      <c r="U54" s="797" t="s">
        <v>530</v>
      </c>
      <c r="V54" s="798"/>
      <c r="W54" s="799"/>
      <c r="Y54" s="212" t="s">
        <v>111</v>
      </c>
      <c r="Z54" s="213"/>
      <c r="AA54" s="214"/>
      <c r="AC54" s="212" t="s">
        <v>111</v>
      </c>
      <c r="AD54" s="213"/>
      <c r="AE54" s="214"/>
    </row>
    <row r="57" spans="2:31" ht="15.75" x14ac:dyDescent="0.25">
      <c r="B57" s="623" t="s">
        <v>50</v>
      </c>
      <c r="C57" s="623"/>
      <c r="E57" s="661" t="s">
        <v>371</v>
      </c>
      <c r="F57" s="661"/>
      <c r="G57" s="661"/>
      <c r="H57" s="7"/>
      <c r="I57" s="661" t="s">
        <v>507</v>
      </c>
      <c r="J57" s="661"/>
      <c r="K57" s="661"/>
      <c r="L57" s="2"/>
      <c r="M57" s="662" t="s">
        <v>464</v>
      </c>
      <c r="N57" s="662"/>
      <c r="O57" s="662"/>
      <c r="Q57" s="661" t="s">
        <v>507</v>
      </c>
      <c r="R57" s="661"/>
      <c r="S57" s="661"/>
      <c r="U57" s="663" t="s">
        <v>528</v>
      </c>
      <c r="V57" s="663"/>
      <c r="W57" s="663"/>
      <c r="Y57" s="661" t="s">
        <v>507</v>
      </c>
      <c r="Z57" s="661"/>
      <c r="AA57" s="661"/>
      <c r="AC57" s="661" t="s">
        <v>507</v>
      </c>
      <c r="AD57" s="661"/>
      <c r="AE57" s="661"/>
    </row>
    <row r="58" spans="2:31" ht="16.5" thickBot="1" x14ac:dyDescent="0.3">
      <c r="B58" s="9"/>
      <c r="C58" s="9"/>
    </row>
    <row r="59" spans="2:31" ht="15.75" x14ac:dyDescent="0.25">
      <c r="B59" s="664" t="s">
        <v>108</v>
      </c>
      <c r="C59" s="665"/>
      <c r="D59" s="139"/>
      <c r="E59" s="1089" t="s">
        <v>763</v>
      </c>
      <c r="F59" s="1090"/>
      <c r="G59" s="1091"/>
      <c r="H59" s="138"/>
      <c r="I59" s="1058" t="s">
        <v>111</v>
      </c>
      <c r="J59" s="1059"/>
      <c r="K59" s="1060"/>
      <c r="L59" s="141"/>
      <c r="M59" s="1089" t="s">
        <v>763</v>
      </c>
      <c r="N59" s="1090"/>
      <c r="O59" s="1091"/>
      <c r="P59" s="139"/>
      <c r="Q59" s="1058" t="s">
        <v>111</v>
      </c>
      <c r="R59" s="1059"/>
      <c r="S59" s="1060"/>
      <c r="T59" s="139"/>
      <c r="U59" s="1089" t="s">
        <v>763</v>
      </c>
      <c r="V59" s="1090"/>
      <c r="W59" s="1091"/>
      <c r="X59" s="139"/>
      <c r="Y59" s="1058" t="s">
        <v>111</v>
      </c>
      <c r="Z59" s="1059"/>
      <c r="AA59" s="1060"/>
      <c r="AB59" s="139"/>
      <c r="AC59" s="1058" t="s">
        <v>111</v>
      </c>
      <c r="AD59" s="1059"/>
      <c r="AE59" s="1060"/>
    </row>
    <row r="60" spans="2:31" ht="16.5" thickBot="1" x14ac:dyDescent="0.3">
      <c r="B60" s="265" t="s">
        <v>109</v>
      </c>
      <c r="C60" s="266"/>
      <c r="D60" s="122"/>
      <c r="E60" s="1092" t="s">
        <v>763</v>
      </c>
      <c r="F60" s="1093"/>
      <c r="G60" s="1094"/>
      <c r="H60" s="138"/>
      <c r="I60" s="1061" t="s">
        <v>111</v>
      </c>
      <c r="J60" s="1062"/>
      <c r="K60" s="1063"/>
      <c r="L60" s="141"/>
      <c r="M60" s="1092" t="s">
        <v>763</v>
      </c>
      <c r="N60" s="1093"/>
      <c r="O60" s="1094"/>
      <c r="P60" s="139"/>
      <c r="Q60" s="1061" t="s">
        <v>111</v>
      </c>
      <c r="R60" s="1062"/>
      <c r="S60" s="1063"/>
      <c r="T60" s="139"/>
      <c r="U60" s="1092" t="s">
        <v>763</v>
      </c>
      <c r="V60" s="1093"/>
      <c r="W60" s="1094"/>
      <c r="X60" s="139"/>
      <c r="Y60" s="1061" t="s">
        <v>111</v>
      </c>
      <c r="Z60" s="1062"/>
      <c r="AA60" s="1063"/>
      <c r="AB60" s="139"/>
      <c r="AC60" s="1061" t="s">
        <v>111</v>
      </c>
      <c r="AD60" s="1062"/>
      <c r="AE60" s="1063"/>
    </row>
    <row r="62" spans="2:31" ht="15.75" x14ac:dyDescent="0.25">
      <c r="B62" s="601" t="s">
        <v>114</v>
      </c>
      <c r="C62" s="601"/>
      <c r="E62" s="632" t="s">
        <v>371</v>
      </c>
      <c r="F62" s="632"/>
      <c r="G62" s="632"/>
      <c r="H62" s="7"/>
      <c r="I62" s="632" t="s">
        <v>507</v>
      </c>
      <c r="J62" s="632"/>
      <c r="K62" s="632"/>
      <c r="L62" s="2"/>
      <c r="M62" s="633" t="s">
        <v>464</v>
      </c>
      <c r="N62" s="633"/>
      <c r="O62" s="633"/>
      <c r="Q62" s="632" t="s">
        <v>507</v>
      </c>
      <c r="R62" s="632"/>
      <c r="S62" s="632"/>
      <c r="U62" s="634" t="s">
        <v>528</v>
      </c>
      <c r="V62" s="634"/>
      <c r="W62" s="634"/>
      <c r="Y62" s="632" t="s">
        <v>507</v>
      </c>
      <c r="Z62" s="632"/>
      <c r="AA62" s="632"/>
      <c r="AC62" s="632" t="s">
        <v>507</v>
      </c>
      <c r="AD62" s="632"/>
      <c r="AE62" s="632"/>
    </row>
    <row r="63" spans="2:31" ht="16.5" thickBot="1" x14ac:dyDescent="0.3">
      <c r="B63" s="9"/>
      <c r="C63" s="9"/>
    </row>
    <row r="64" spans="2:31" ht="16.5" thickBot="1" x14ac:dyDescent="0.3">
      <c r="B64" s="1010" t="s">
        <v>114</v>
      </c>
      <c r="C64" s="1011"/>
      <c r="E64" s="986" t="s">
        <v>545</v>
      </c>
      <c r="F64" s="987"/>
      <c r="G64" s="988"/>
      <c r="H64" s="4"/>
      <c r="I64" s="637">
        <v>62345</v>
      </c>
      <c r="J64" s="638"/>
      <c r="K64" s="639"/>
      <c r="L64" s="3"/>
      <c r="M64" s="1021" t="s">
        <v>86</v>
      </c>
      <c r="N64" s="1022"/>
      <c r="O64" s="1023"/>
      <c r="Q64" s="637" t="s">
        <v>111</v>
      </c>
      <c r="R64" s="638"/>
      <c r="S64" s="639"/>
      <c r="U64" s="902" t="s">
        <v>86</v>
      </c>
      <c r="V64" s="903"/>
      <c r="W64" s="904"/>
      <c r="Y64" s="637" t="s">
        <v>111</v>
      </c>
      <c r="Z64" s="638"/>
      <c r="AA64" s="639"/>
      <c r="AC64" s="637" t="s">
        <v>111</v>
      </c>
      <c r="AD64" s="638"/>
      <c r="AE64" s="639"/>
    </row>
    <row r="65" spans="1:35" ht="15.75" thickBot="1" x14ac:dyDescent="0.3"/>
    <row r="66" spans="1:35" ht="15.75" thickBot="1" x14ac:dyDescent="0.3">
      <c r="B66" s="1055" t="s">
        <v>536</v>
      </c>
      <c r="C66" s="1056"/>
      <c r="D66" s="1056"/>
      <c r="E66" s="1056"/>
      <c r="F66" s="1057"/>
      <c r="I66" s="637" t="s">
        <v>111</v>
      </c>
      <c r="J66" s="638"/>
      <c r="K66" s="639"/>
    </row>
    <row r="68" spans="1:35" ht="23.25" x14ac:dyDescent="0.25">
      <c r="A68" s="189" t="s">
        <v>745</v>
      </c>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row>
    <row r="70" spans="1:35" ht="15.75" x14ac:dyDescent="0.25">
      <c r="B70" s="595" t="s">
        <v>0</v>
      </c>
      <c r="C70" s="595"/>
      <c r="D70" s="6"/>
      <c r="E70" s="681" t="s">
        <v>738</v>
      </c>
      <c r="F70" s="681"/>
      <c r="G70" s="681"/>
      <c r="H70" s="7"/>
      <c r="I70" s="681" t="s">
        <v>739</v>
      </c>
      <c r="J70" s="681"/>
      <c r="K70" s="681"/>
      <c r="L70" s="2"/>
      <c r="M70" s="691" t="s">
        <v>740</v>
      </c>
      <c r="N70" s="691"/>
      <c r="O70" s="691"/>
      <c r="P70" s="4"/>
      <c r="Q70" s="681" t="s">
        <v>741</v>
      </c>
      <c r="R70" s="681"/>
      <c r="S70" s="681"/>
      <c r="U70" s="692" t="s">
        <v>742</v>
      </c>
      <c r="V70" s="692"/>
      <c r="W70" s="692"/>
      <c r="Y70" s="681" t="s">
        <v>743</v>
      </c>
      <c r="Z70" s="681"/>
      <c r="AA70" s="681"/>
      <c r="AC70" s="681" t="s">
        <v>744</v>
      </c>
      <c r="AD70" s="681"/>
      <c r="AE70" s="681"/>
      <c r="AG70" s="681" t="s">
        <v>747</v>
      </c>
      <c r="AH70" s="681"/>
      <c r="AI70" s="681"/>
    </row>
    <row r="71" spans="1:35" ht="15.75" thickBot="1" x14ac:dyDescent="0.3">
      <c r="B71" s="596"/>
      <c r="C71" s="596"/>
      <c r="D71" s="5"/>
      <c r="E71" s="5"/>
      <c r="I71" s="5"/>
      <c r="Q71" s="5"/>
      <c r="Y71" s="5"/>
      <c r="AC71" s="5"/>
      <c r="AG71" s="5"/>
    </row>
    <row r="72" spans="1:35" ht="15.75" x14ac:dyDescent="0.25">
      <c r="B72" s="389" t="s">
        <v>112</v>
      </c>
      <c r="C72" s="390"/>
      <c r="D72" s="5"/>
      <c r="E72" s="352" t="s">
        <v>111</v>
      </c>
      <c r="F72" s="353"/>
      <c r="G72" s="354"/>
      <c r="H72" s="4"/>
      <c r="I72" s="352" t="s">
        <v>68</v>
      </c>
      <c r="J72" s="353"/>
      <c r="K72" s="354"/>
      <c r="L72" s="3"/>
      <c r="M72" s="200" t="s">
        <v>68</v>
      </c>
      <c r="N72" s="201"/>
      <c r="O72" s="202"/>
      <c r="P72" s="8"/>
      <c r="Q72" s="352" t="s">
        <v>111</v>
      </c>
      <c r="R72" s="353"/>
      <c r="S72" s="354"/>
      <c r="U72" s="792" t="s">
        <v>111</v>
      </c>
      <c r="V72" s="793"/>
      <c r="W72" s="794"/>
      <c r="Y72" s="352" t="s">
        <v>111</v>
      </c>
      <c r="Z72" s="353"/>
      <c r="AA72" s="354"/>
      <c r="AC72" s="352" t="s">
        <v>111</v>
      </c>
      <c r="AD72" s="353"/>
      <c r="AE72" s="354"/>
      <c r="AG72" s="352" t="s">
        <v>111</v>
      </c>
      <c r="AH72" s="353"/>
      <c r="AI72" s="354"/>
    </row>
    <row r="73" spans="1:35" ht="15.75" x14ac:dyDescent="0.25">
      <c r="B73" s="239" t="s">
        <v>4</v>
      </c>
      <c r="C73" s="240"/>
      <c r="D73" s="5"/>
      <c r="E73" s="226" t="s">
        <v>68</v>
      </c>
      <c r="F73" s="434"/>
      <c r="G73" s="435"/>
      <c r="H73" s="4"/>
      <c r="I73" s="226" t="s">
        <v>68</v>
      </c>
      <c r="J73" s="434"/>
      <c r="K73" s="435"/>
      <c r="L73" s="3"/>
      <c r="M73" s="226" t="s">
        <v>68</v>
      </c>
      <c r="N73" s="434"/>
      <c r="O73" s="435"/>
      <c r="P73" s="8"/>
      <c r="Q73" s="226" t="s">
        <v>68</v>
      </c>
      <c r="R73" s="434"/>
      <c r="S73" s="435"/>
      <c r="U73" s="226" t="s">
        <v>68</v>
      </c>
      <c r="V73" s="434"/>
      <c r="W73" s="435"/>
      <c r="Y73" s="226" t="s">
        <v>68</v>
      </c>
      <c r="Z73" s="434"/>
      <c r="AA73" s="435"/>
      <c r="AC73" s="226" t="s">
        <v>111</v>
      </c>
      <c r="AD73" s="434"/>
      <c r="AE73" s="435"/>
      <c r="AG73" s="226" t="s">
        <v>68</v>
      </c>
      <c r="AH73" s="434"/>
      <c r="AI73" s="435"/>
    </row>
    <row r="74" spans="1:35" ht="15.75" x14ac:dyDescent="0.25">
      <c r="B74" s="239" t="s">
        <v>5</v>
      </c>
      <c r="C74" s="240"/>
      <c r="D74" s="5"/>
      <c r="E74" s="226" t="s">
        <v>68</v>
      </c>
      <c r="F74" s="434"/>
      <c r="G74" s="435"/>
      <c r="H74" s="4"/>
      <c r="I74" s="226" t="s">
        <v>68</v>
      </c>
      <c r="J74" s="434"/>
      <c r="K74" s="435"/>
      <c r="L74" s="3"/>
      <c r="M74" s="226" t="s">
        <v>68</v>
      </c>
      <c r="N74" s="434"/>
      <c r="O74" s="435"/>
      <c r="P74" s="8"/>
      <c r="Q74" s="226" t="s">
        <v>68</v>
      </c>
      <c r="R74" s="434"/>
      <c r="S74" s="435"/>
      <c r="U74" s="226" t="s">
        <v>68</v>
      </c>
      <c r="V74" s="434"/>
      <c r="W74" s="435"/>
      <c r="Y74" s="226" t="s">
        <v>68</v>
      </c>
      <c r="Z74" s="434"/>
      <c r="AA74" s="435"/>
      <c r="AC74" s="226" t="s">
        <v>111</v>
      </c>
      <c r="AD74" s="434"/>
      <c r="AE74" s="435"/>
      <c r="AG74" s="226" t="s">
        <v>68</v>
      </c>
      <c r="AH74" s="434"/>
      <c r="AI74" s="435"/>
    </row>
    <row r="75" spans="1:35" ht="15.75" x14ac:dyDescent="0.25">
      <c r="B75" s="239" t="s">
        <v>6</v>
      </c>
      <c r="C75" s="240"/>
      <c r="D75" s="5"/>
      <c r="E75" s="253" t="s">
        <v>68</v>
      </c>
      <c r="F75" s="254"/>
      <c r="G75" s="255"/>
      <c r="H75" s="4"/>
      <c r="I75" s="253" t="s">
        <v>68</v>
      </c>
      <c r="J75" s="254"/>
      <c r="K75" s="255"/>
      <c r="L75" s="3"/>
      <c r="M75" s="226" t="s">
        <v>68</v>
      </c>
      <c r="N75" s="434"/>
      <c r="O75" s="435"/>
      <c r="P75" s="8"/>
      <c r="Q75" s="253" t="s">
        <v>68</v>
      </c>
      <c r="R75" s="254"/>
      <c r="S75" s="255"/>
      <c r="U75" s="809" t="s">
        <v>68</v>
      </c>
      <c r="V75" s="810"/>
      <c r="W75" s="811"/>
      <c r="Y75" s="253" t="s">
        <v>68</v>
      </c>
      <c r="Z75" s="254"/>
      <c r="AA75" s="255"/>
      <c r="AC75" s="226" t="s">
        <v>111</v>
      </c>
      <c r="AD75" s="434"/>
      <c r="AE75" s="435"/>
      <c r="AG75" s="253" t="s">
        <v>68</v>
      </c>
      <c r="AH75" s="254"/>
      <c r="AI75" s="255"/>
    </row>
    <row r="76" spans="1:35" ht="15.75" x14ac:dyDescent="0.25">
      <c r="B76" s="239" t="s">
        <v>7</v>
      </c>
      <c r="C76" s="240"/>
      <c r="D76" s="5"/>
      <c r="E76" s="253" t="s">
        <v>68</v>
      </c>
      <c r="F76" s="254"/>
      <c r="G76" s="255"/>
      <c r="H76" s="4"/>
      <c r="I76" s="253" t="s">
        <v>68</v>
      </c>
      <c r="J76" s="254"/>
      <c r="K76" s="255"/>
      <c r="L76" s="3"/>
      <c r="M76" s="226" t="s">
        <v>68</v>
      </c>
      <c r="N76" s="434"/>
      <c r="O76" s="435"/>
      <c r="P76" s="8"/>
      <c r="Q76" s="253" t="s">
        <v>68</v>
      </c>
      <c r="R76" s="254"/>
      <c r="S76" s="255"/>
      <c r="U76" s="809" t="s">
        <v>68</v>
      </c>
      <c r="V76" s="810"/>
      <c r="W76" s="811"/>
      <c r="Y76" s="253" t="s">
        <v>68</v>
      </c>
      <c r="Z76" s="254"/>
      <c r="AA76" s="255"/>
      <c r="AC76" s="226" t="s">
        <v>111</v>
      </c>
      <c r="AD76" s="434"/>
      <c r="AE76" s="435"/>
      <c r="AG76" s="253" t="s">
        <v>68</v>
      </c>
      <c r="AH76" s="254"/>
      <c r="AI76" s="255"/>
    </row>
    <row r="77" spans="1:35" ht="15.75" x14ac:dyDescent="0.25">
      <c r="B77" s="239" t="s">
        <v>8</v>
      </c>
      <c r="C77" s="240"/>
      <c r="D77" s="5"/>
      <c r="E77" s="253" t="s">
        <v>68</v>
      </c>
      <c r="F77" s="254"/>
      <c r="G77" s="255"/>
      <c r="H77" s="4"/>
      <c r="I77" s="253" t="s">
        <v>754</v>
      </c>
      <c r="J77" s="254"/>
      <c r="K77" s="255"/>
      <c r="L77" s="3"/>
      <c r="M77" s="226" t="s">
        <v>68</v>
      </c>
      <c r="N77" s="434"/>
      <c r="O77" s="435"/>
      <c r="P77" s="8"/>
      <c r="Q77" s="253" t="s">
        <v>68</v>
      </c>
      <c r="R77" s="254"/>
      <c r="S77" s="255"/>
      <c r="U77" s="809" t="s">
        <v>68</v>
      </c>
      <c r="V77" s="810"/>
      <c r="W77" s="811"/>
      <c r="Y77" s="253" t="s">
        <v>68</v>
      </c>
      <c r="Z77" s="254"/>
      <c r="AA77" s="255"/>
      <c r="AC77" s="226" t="s">
        <v>111</v>
      </c>
      <c r="AD77" s="434"/>
      <c r="AE77" s="435"/>
      <c r="AG77" s="253" t="s">
        <v>68</v>
      </c>
      <c r="AH77" s="254"/>
      <c r="AI77" s="255"/>
    </row>
    <row r="78" spans="1:35" ht="15.75" x14ac:dyDescent="0.25">
      <c r="B78" s="239" t="s">
        <v>9</v>
      </c>
      <c r="C78" s="240"/>
      <c r="D78" s="5"/>
      <c r="E78" s="253" t="s">
        <v>68</v>
      </c>
      <c r="F78" s="254"/>
      <c r="G78" s="255"/>
      <c r="H78" s="4"/>
      <c r="I78" s="253" t="s">
        <v>68</v>
      </c>
      <c r="J78" s="254"/>
      <c r="K78" s="255"/>
      <c r="L78" s="3"/>
      <c r="M78" s="226" t="s">
        <v>68</v>
      </c>
      <c r="N78" s="434"/>
      <c r="O78" s="435"/>
      <c r="P78" s="8"/>
      <c r="Q78" s="253" t="s">
        <v>68</v>
      </c>
      <c r="R78" s="254"/>
      <c r="S78" s="255"/>
      <c r="U78" s="809" t="s">
        <v>68</v>
      </c>
      <c r="V78" s="810"/>
      <c r="W78" s="811"/>
      <c r="Y78" s="253" t="s">
        <v>68</v>
      </c>
      <c r="Z78" s="254"/>
      <c r="AA78" s="255"/>
      <c r="AC78" s="226" t="s">
        <v>111</v>
      </c>
      <c r="AD78" s="434"/>
      <c r="AE78" s="435"/>
      <c r="AG78" s="253" t="s">
        <v>68</v>
      </c>
      <c r="AH78" s="254"/>
      <c r="AI78" s="255"/>
    </row>
    <row r="79" spans="1:35" ht="15.75" x14ac:dyDescent="0.25">
      <c r="B79" s="239" t="s">
        <v>10</v>
      </c>
      <c r="C79" s="240"/>
      <c r="D79" s="5"/>
      <c r="E79" s="253" t="s">
        <v>68</v>
      </c>
      <c r="F79" s="254"/>
      <c r="G79" s="255"/>
      <c r="H79" s="4"/>
      <c r="I79" s="253" t="s">
        <v>754</v>
      </c>
      <c r="J79" s="254"/>
      <c r="K79" s="255"/>
      <c r="L79" s="3"/>
      <c r="M79" s="226" t="s">
        <v>68</v>
      </c>
      <c r="N79" s="434"/>
      <c r="O79" s="435"/>
      <c r="P79" s="8"/>
      <c r="Q79" s="253" t="s">
        <v>68</v>
      </c>
      <c r="R79" s="254"/>
      <c r="S79" s="255"/>
      <c r="U79" s="226" t="s">
        <v>68</v>
      </c>
      <c r="V79" s="434"/>
      <c r="W79" s="435"/>
      <c r="Y79" s="253" t="s">
        <v>68</v>
      </c>
      <c r="Z79" s="254"/>
      <c r="AA79" s="255"/>
      <c r="AC79" s="226" t="s">
        <v>111</v>
      </c>
      <c r="AD79" s="434"/>
      <c r="AE79" s="435"/>
      <c r="AG79" s="253" t="s">
        <v>68</v>
      </c>
      <c r="AH79" s="254"/>
      <c r="AI79" s="255"/>
    </row>
    <row r="80" spans="1:35" ht="16.5" thickBot="1" x14ac:dyDescent="0.3">
      <c r="B80" s="416" t="s">
        <v>113</v>
      </c>
      <c r="C80" s="417"/>
      <c r="D80" s="5"/>
      <c r="E80" s="212" t="s">
        <v>111</v>
      </c>
      <c r="F80" s="213"/>
      <c r="G80" s="214"/>
      <c r="H80" s="4"/>
      <c r="I80" s="212" t="s">
        <v>111</v>
      </c>
      <c r="J80" s="213"/>
      <c r="K80" s="214"/>
      <c r="L80" s="3"/>
      <c r="M80" s="215" t="s">
        <v>111</v>
      </c>
      <c r="N80" s="216"/>
      <c r="O80" s="217"/>
      <c r="P80" s="8"/>
      <c r="Q80" s="212" t="s">
        <v>111</v>
      </c>
      <c r="R80" s="213"/>
      <c r="S80" s="214"/>
      <c r="U80" s="797" t="s">
        <v>111</v>
      </c>
      <c r="V80" s="798"/>
      <c r="W80" s="799"/>
      <c r="Y80" s="212" t="s">
        <v>111</v>
      </c>
      <c r="Z80" s="213"/>
      <c r="AA80" s="214"/>
      <c r="AC80" s="215" t="s">
        <v>111</v>
      </c>
      <c r="AD80" s="216"/>
      <c r="AE80" s="217"/>
      <c r="AG80" s="212" t="s">
        <v>111</v>
      </c>
      <c r="AH80" s="213"/>
      <c r="AI80" s="214"/>
    </row>
    <row r="83" spans="2:35" ht="15.75" x14ac:dyDescent="0.25">
      <c r="B83" s="837" t="s">
        <v>1</v>
      </c>
      <c r="C83" s="837"/>
      <c r="D83" s="6"/>
      <c r="E83" s="838" t="s">
        <v>738</v>
      </c>
      <c r="F83" s="838"/>
      <c r="G83" s="838"/>
      <c r="H83" s="7"/>
      <c r="I83" s="838" t="s">
        <v>739</v>
      </c>
      <c r="J83" s="838"/>
      <c r="K83" s="838"/>
      <c r="L83" s="2"/>
      <c r="M83" s="839" t="s">
        <v>740</v>
      </c>
      <c r="N83" s="839"/>
      <c r="O83" s="839"/>
      <c r="Q83" s="838" t="s">
        <v>741</v>
      </c>
      <c r="R83" s="838"/>
      <c r="S83" s="838"/>
      <c r="U83" s="749" t="s">
        <v>742</v>
      </c>
      <c r="V83" s="749"/>
      <c r="W83" s="749"/>
      <c r="Y83" s="838" t="s">
        <v>743</v>
      </c>
      <c r="Z83" s="838"/>
      <c r="AA83" s="838"/>
      <c r="AC83" s="838" t="s">
        <v>744</v>
      </c>
      <c r="AD83" s="838"/>
      <c r="AE83" s="838"/>
      <c r="AG83" s="838" t="s">
        <v>747</v>
      </c>
      <c r="AH83" s="838"/>
      <c r="AI83" s="838"/>
    </row>
    <row r="84" spans="2:35" ht="15.75" thickBot="1" x14ac:dyDescent="0.3">
      <c r="B84" s="596"/>
      <c r="C84" s="596"/>
      <c r="D84" s="5"/>
      <c r="E84" s="5"/>
      <c r="I84" s="5"/>
      <c r="Q84" s="5"/>
      <c r="Y84" s="5"/>
      <c r="AC84" s="5"/>
      <c r="AG84" s="5"/>
    </row>
    <row r="85" spans="2:35" ht="15.75" x14ac:dyDescent="0.25">
      <c r="B85" s="389" t="s">
        <v>13</v>
      </c>
      <c r="C85" s="390"/>
      <c r="D85" s="5"/>
      <c r="E85" s="707" t="s">
        <v>68</v>
      </c>
      <c r="F85" s="708"/>
      <c r="G85" s="709"/>
      <c r="H85" s="4"/>
      <c r="I85" s="707" t="s">
        <v>68</v>
      </c>
      <c r="J85" s="708"/>
      <c r="K85" s="709"/>
      <c r="L85" s="3"/>
      <c r="M85" s="200" t="s">
        <v>68</v>
      </c>
      <c r="N85" s="201"/>
      <c r="O85" s="202"/>
      <c r="Q85" s="707" t="s">
        <v>68</v>
      </c>
      <c r="R85" s="708"/>
      <c r="S85" s="709"/>
      <c r="U85" s="792" t="s">
        <v>68</v>
      </c>
      <c r="V85" s="793"/>
      <c r="W85" s="794"/>
      <c r="Y85" s="707" t="s">
        <v>68</v>
      </c>
      <c r="Z85" s="708"/>
      <c r="AA85" s="709"/>
      <c r="AC85" s="707" t="s">
        <v>111</v>
      </c>
      <c r="AD85" s="708"/>
      <c r="AE85" s="709"/>
      <c r="AG85" s="707" t="s">
        <v>68</v>
      </c>
      <c r="AH85" s="708"/>
      <c r="AI85" s="709"/>
    </row>
    <row r="86" spans="2:35" ht="15.75" x14ac:dyDescent="0.25">
      <c r="B86" s="239" t="s">
        <v>14</v>
      </c>
      <c r="C86" s="240"/>
      <c r="D86" s="5"/>
      <c r="E86" s="363" t="s">
        <v>68</v>
      </c>
      <c r="F86" s="364"/>
      <c r="G86" s="365"/>
      <c r="H86" s="4"/>
      <c r="I86" s="363" t="s">
        <v>68</v>
      </c>
      <c r="J86" s="364"/>
      <c r="K86" s="365"/>
      <c r="L86" s="3"/>
      <c r="M86" s="226" t="s">
        <v>68</v>
      </c>
      <c r="N86" s="434"/>
      <c r="O86" s="435"/>
      <c r="Q86" s="363" t="s">
        <v>68</v>
      </c>
      <c r="R86" s="364"/>
      <c r="S86" s="365"/>
      <c r="U86" s="809" t="s">
        <v>68</v>
      </c>
      <c r="V86" s="810"/>
      <c r="W86" s="811"/>
      <c r="Y86" s="363" t="s">
        <v>68</v>
      </c>
      <c r="Z86" s="364"/>
      <c r="AA86" s="365"/>
      <c r="AC86" s="363" t="s">
        <v>111</v>
      </c>
      <c r="AD86" s="364"/>
      <c r="AE86" s="365"/>
      <c r="AG86" s="363" t="s">
        <v>68</v>
      </c>
      <c r="AH86" s="364"/>
      <c r="AI86" s="365"/>
    </row>
    <row r="87" spans="2:35" ht="15.75" x14ac:dyDescent="0.25">
      <c r="B87" s="239" t="s">
        <v>15</v>
      </c>
      <c r="C87" s="240"/>
      <c r="D87" s="5"/>
      <c r="E87" s="363" t="s">
        <v>68</v>
      </c>
      <c r="F87" s="364"/>
      <c r="G87" s="365"/>
      <c r="H87" s="4"/>
      <c r="I87" s="363" t="s">
        <v>754</v>
      </c>
      <c r="J87" s="364"/>
      <c r="K87" s="365"/>
      <c r="L87" s="3"/>
      <c r="M87" s="226" t="s">
        <v>68</v>
      </c>
      <c r="N87" s="434"/>
      <c r="O87" s="435"/>
      <c r="Q87" s="363" t="s">
        <v>68</v>
      </c>
      <c r="R87" s="364"/>
      <c r="S87" s="365"/>
      <c r="U87" s="809" t="s">
        <v>68</v>
      </c>
      <c r="V87" s="810"/>
      <c r="W87" s="811"/>
      <c r="Y87" s="363" t="s">
        <v>68</v>
      </c>
      <c r="Z87" s="364"/>
      <c r="AA87" s="365"/>
      <c r="AC87" s="363" t="s">
        <v>111</v>
      </c>
      <c r="AD87" s="364"/>
      <c r="AE87" s="365"/>
      <c r="AG87" s="363" t="s">
        <v>68</v>
      </c>
      <c r="AH87" s="364"/>
      <c r="AI87" s="365"/>
    </row>
    <row r="88" spans="2:35" ht="15.75" x14ac:dyDescent="0.25">
      <c r="B88" s="239" t="s">
        <v>16</v>
      </c>
      <c r="C88" s="240"/>
      <c r="D88" s="5"/>
      <c r="E88" s="363" t="s">
        <v>68</v>
      </c>
      <c r="F88" s="364"/>
      <c r="G88" s="365"/>
      <c r="H88" s="4"/>
      <c r="I88" s="363" t="s">
        <v>68</v>
      </c>
      <c r="J88" s="364"/>
      <c r="K88" s="365"/>
      <c r="L88" s="3"/>
      <c r="M88" s="226" t="s">
        <v>68</v>
      </c>
      <c r="N88" s="434"/>
      <c r="O88" s="435"/>
      <c r="Q88" s="363" t="s">
        <v>68</v>
      </c>
      <c r="R88" s="364"/>
      <c r="S88" s="365"/>
      <c r="U88" s="809" t="s">
        <v>68</v>
      </c>
      <c r="V88" s="810"/>
      <c r="W88" s="811"/>
      <c r="Y88" s="363" t="s">
        <v>68</v>
      </c>
      <c r="Z88" s="364"/>
      <c r="AA88" s="365"/>
      <c r="AC88" s="363" t="s">
        <v>111</v>
      </c>
      <c r="AD88" s="364"/>
      <c r="AE88" s="365"/>
      <c r="AG88" s="363" t="s">
        <v>68</v>
      </c>
      <c r="AH88" s="364"/>
      <c r="AI88" s="365"/>
    </row>
    <row r="89" spans="2:35" ht="15.75" x14ac:dyDescent="0.25">
      <c r="B89" s="239" t="s">
        <v>17</v>
      </c>
      <c r="C89" s="240"/>
      <c r="D89" s="5"/>
      <c r="E89" s="363" t="s">
        <v>68</v>
      </c>
      <c r="F89" s="364"/>
      <c r="G89" s="365"/>
      <c r="H89" s="4"/>
      <c r="I89" s="363" t="s">
        <v>754</v>
      </c>
      <c r="J89" s="364"/>
      <c r="K89" s="365"/>
      <c r="L89" s="3"/>
      <c r="M89" s="226" t="s">
        <v>68</v>
      </c>
      <c r="N89" s="434"/>
      <c r="O89" s="435"/>
      <c r="Q89" s="363" t="s">
        <v>68</v>
      </c>
      <c r="R89" s="364"/>
      <c r="S89" s="365"/>
      <c r="U89" s="809" t="s">
        <v>68</v>
      </c>
      <c r="V89" s="810"/>
      <c r="W89" s="811"/>
      <c r="Y89" s="363" t="s">
        <v>68</v>
      </c>
      <c r="Z89" s="364"/>
      <c r="AA89" s="365"/>
      <c r="AC89" s="363" t="s">
        <v>111</v>
      </c>
      <c r="AD89" s="364"/>
      <c r="AE89" s="365"/>
      <c r="AG89" s="363" t="s">
        <v>68</v>
      </c>
      <c r="AH89" s="364"/>
      <c r="AI89" s="365"/>
    </row>
    <row r="90" spans="2:35" ht="15.75" x14ac:dyDescent="0.25">
      <c r="B90" s="239" t="s">
        <v>18</v>
      </c>
      <c r="C90" s="240"/>
      <c r="D90" s="146"/>
      <c r="E90" s="685" t="s">
        <v>68</v>
      </c>
      <c r="F90" s="686"/>
      <c r="G90" s="687"/>
      <c r="H90" s="85"/>
      <c r="I90" s="685" t="s">
        <v>68</v>
      </c>
      <c r="J90" s="686"/>
      <c r="K90" s="687"/>
      <c r="L90" s="86"/>
      <c r="M90" s="685" t="s">
        <v>68</v>
      </c>
      <c r="N90" s="686"/>
      <c r="O90" s="687"/>
      <c r="Q90" s="685" t="s">
        <v>68</v>
      </c>
      <c r="R90" s="686"/>
      <c r="S90" s="687"/>
      <c r="U90" s="685" t="s">
        <v>68</v>
      </c>
      <c r="V90" s="686"/>
      <c r="W90" s="687"/>
      <c r="Y90" s="685" t="s">
        <v>68</v>
      </c>
      <c r="Z90" s="686"/>
      <c r="AA90" s="687"/>
      <c r="AC90" s="685" t="s">
        <v>111</v>
      </c>
      <c r="AD90" s="686"/>
      <c r="AE90" s="687"/>
      <c r="AF90" s="145"/>
      <c r="AG90" s="685" t="s">
        <v>68</v>
      </c>
      <c r="AH90" s="686"/>
      <c r="AI90" s="687"/>
    </row>
    <row r="91" spans="2:35" ht="15.75" x14ac:dyDescent="0.25">
      <c r="B91" s="239" t="s">
        <v>19</v>
      </c>
      <c r="C91" s="240"/>
      <c r="D91" s="5"/>
      <c r="E91" s="363" t="s">
        <v>68</v>
      </c>
      <c r="F91" s="364"/>
      <c r="G91" s="365"/>
      <c r="H91" s="4"/>
      <c r="I91" s="363" t="s">
        <v>754</v>
      </c>
      <c r="J91" s="364"/>
      <c r="K91" s="365"/>
      <c r="L91" s="3"/>
      <c r="M91" s="226" t="s">
        <v>68</v>
      </c>
      <c r="N91" s="434"/>
      <c r="O91" s="435"/>
      <c r="Q91" s="363" t="s">
        <v>68</v>
      </c>
      <c r="R91" s="364"/>
      <c r="S91" s="365"/>
      <c r="U91" s="809" t="s">
        <v>68</v>
      </c>
      <c r="V91" s="810"/>
      <c r="W91" s="811"/>
      <c r="Y91" s="363" t="s">
        <v>68</v>
      </c>
      <c r="Z91" s="364"/>
      <c r="AA91" s="365"/>
      <c r="AC91" s="363" t="s">
        <v>111</v>
      </c>
      <c r="AD91" s="364"/>
      <c r="AE91" s="365"/>
      <c r="AG91" s="363" t="s">
        <v>68</v>
      </c>
      <c r="AH91" s="364"/>
      <c r="AI91" s="365"/>
    </row>
    <row r="92" spans="2:35" ht="15.75" x14ac:dyDescent="0.25">
      <c r="B92" s="239" t="s">
        <v>20</v>
      </c>
      <c r="C92" s="240"/>
      <c r="D92" s="5"/>
      <c r="E92" s="363" t="s">
        <v>68</v>
      </c>
      <c r="F92" s="364"/>
      <c r="G92" s="365"/>
      <c r="H92" s="4"/>
      <c r="I92" s="363" t="s">
        <v>754</v>
      </c>
      <c r="J92" s="364"/>
      <c r="K92" s="365"/>
      <c r="L92" s="3"/>
      <c r="M92" s="226" t="s">
        <v>68</v>
      </c>
      <c r="N92" s="434"/>
      <c r="O92" s="435"/>
      <c r="Q92" s="363" t="s">
        <v>68</v>
      </c>
      <c r="R92" s="364"/>
      <c r="S92" s="365"/>
      <c r="U92" s="809" t="s">
        <v>68</v>
      </c>
      <c r="V92" s="810"/>
      <c r="W92" s="811"/>
      <c r="Y92" s="363" t="s">
        <v>68</v>
      </c>
      <c r="Z92" s="364"/>
      <c r="AA92" s="365"/>
      <c r="AC92" s="363" t="s">
        <v>111</v>
      </c>
      <c r="AD92" s="364"/>
      <c r="AE92" s="365"/>
      <c r="AG92" s="363" t="s">
        <v>68</v>
      </c>
      <c r="AH92" s="364"/>
      <c r="AI92" s="365"/>
    </row>
    <row r="93" spans="2:35" ht="15.75" x14ac:dyDescent="0.25">
      <c r="B93" s="239" t="s">
        <v>21</v>
      </c>
      <c r="C93" s="240"/>
      <c r="E93" s="363" t="s">
        <v>68</v>
      </c>
      <c r="F93" s="364"/>
      <c r="G93" s="365"/>
      <c r="I93" s="363" t="s">
        <v>68</v>
      </c>
      <c r="J93" s="364"/>
      <c r="K93" s="365"/>
      <c r="M93" s="226" t="s">
        <v>68</v>
      </c>
      <c r="N93" s="434"/>
      <c r="O93" s="435"/>
      <c r="Q93" s="363" t="s">
        <v>68</v>
      </c>
      <c r="R93" s="364"/>
      <c r="S93" s="365"/>
      <c r="U93" s="809" t="s">
        <v>68</v>
      </c>
      <c r="V93" s="810"/>
      <c r="W93" s="811"/>
      <c r="Y93" s="363" t="s">
        <v>68</v>
      </c>
      <c r="Z93" s="364"/>
      <c r="AA93" s="365"/>
      <c r="AC93" s="363" t="s">
        <v>111</v>
      </c>
      <c r="AD93" s="364"/>
      <c r="AE93" s="365"/>
      <c r="AG93" s="363" t="s">
        <v>68</v>
      </c>
      <c r="AH93" s="364"/>
      <c r="AI93" s="365"/>
    </row>
    <row r="94" spans="2:35" ht="16.5" thickBot="1" x14ac:dyDescent="0.3">
      <c r="B94" s="416" t="s">
        <v>22</v>
      </c>
      <c r="C94" s="417"/>
      <c r="E94" s="401" t="s">
        <v>68</v>
      </c>
      <c r="F94" s="402"/>
      <c r="G94" s="403"/>
      <c r="I94" s="401" t="s">
        <v>68</v>
      </c>
      <c r="J94" s="402"/>
      <c r="K94" s="403"/>
      <c r="M94" s="215" t="s">
        <v>68</v>
      </c>
      <c r="N94" s="216"/>
      <c r="O94" s="217"/>
      <c r="Q94" s="401" t="s">
        <v>68</v>
      </c>
      <c r="R94" s="402"/>
      <c r="S94" s="403"/>
      <c r="U94" s="797" t="s">
        <v>68</v>
      </c>
      <c r="V94" s="798"/>
      <c r="W94" s="799"/>
      <c r="Y94" s="401" t="s">
        <v>68</v>
      </c>
      <c r="Z94" s="402"/>
      <c r="AA94" s="403"/>
      <c r="AC94" s="401" t="s">
        <v>111</v>
      </c>
      <c r="AD94" s="402"/>
      <c r="AE94" s="403"/>
      <c r="AG94" s="401" t="s">
        <v>68</v>
      </c>
      <c r="AH94" s="402"/>
      <c r="AI94" s="403"/>
    </row>
    <row r="95" spans="2:35" ht="15.75" x14ac:dyDescent="0.25">
      <c r="B95" s="9"/>
      <c r="C95" s="9"/>
    </row>
    <row r="96" spans="2:35" ht="15.75" x14ac:dyDescent="0.25">
      <c r="B96" s="9"/>
      <c r="C96" s="9"/>
    </row>
    <row r="97" spans="2:35" ht="15.75" x14ac:dyDescent="0.25">
      <c r="B97" s="616" t="s">
        <v>39</v>
      </c>
      <c r="C97" s="616"/>
      <c r="E97" s="704" t="s">
        <v>738</v>
      </c>
      <c r="F97" s="704"/>
      <c r="G97" s="704"/>
      <c r="H97" s="7"/>
      <c r="I97" s="704" t="s">
        <v>739</v>
      </c>
      <c r="J97" s="704"/>
      <c r="K97" s="704"/>
      <c r="L97" s="2"/>
      <c r="M97" s="705" t="s">
        <v>740</v>
      </c>
      <c r="N97" s="705"/>
      <c r="O97" s="705"/>
      <c r="Q97" s="704" t="s">
        <v>741</v>
      </c>
      <c r="R97" s="704"/>
      <c r="S97" s="704"/>
      <c r="U97" s="706" t="s">
        <v>742</v>
      </c>
      <c r="V97" s="706"/>
      <c r="W97" s="706"/>
      <c r="Y97" s="704" t="s">
        <v>743</v>
      </c>
      <c r="Z97" s="704"/>
      <c r="AA97" s="704"/>
      <c r="AC97" s="704" t="s">
        <v>744</v>
      </c>
      <c r="AD97" s="704"/>
      <c r="AE97" s="704"/>
      <c r="AG97" s="704" t="s">
        <v>747</v>
      </c>
      <c r="AH97" s="704"/>
      <c r="AI97" s="704"/>
    </row>
    <row r="98" spans="2:35" ht="16.5" thickBot="1" x14ac:dyDescent="0.3">
      <c r="B98" s="9"/>
      <c r="C98" s="9"/>
    </row>
    <row r="99" spans="2:35" ht="15.75" x14ac:dyDescent="0.25">
      <c r="B99" s="423" t="s">
        <v>40</v>
      </c>
      <c r="C99" s="424"/>
      <c r="E99" s="707" t="s">
        <v>68</v>
      </c>
      <c r="F99" s="708"/>
      <c r="G99" s="709"/>
      <c r="H99" s="4"/>
      <c r="I99" s="707" t="s">
        <v>68</v>
      </c>
      <c r="J99" s="708"/>
      <c r="K99" s="709"/>
      <c r="L99" s="3"/>
      <c r="M99" s="200" t="s">
        <v>68</v>
      </c>
      <c r="N99" s="201"/>
      <c r="O99" s="202"/>
      <c r="Q99" s="707" t="s">
        <v>68</v>
      </c>
      <c r="R99" s="708"/>
      <c r="S99" s="709"/>
      <c r="U99" s="792" t="s">
        <v>68</v>
      </c>
      <c r="V99" s="793"/>
      <c r="W99" s="794"/>
      <c r="Y99" s="707" t="s">
        <v>68</v>
      </c>
      <c r="Z99" s="708"/>
      <c r="AA99" s="709"/>
      <c r="AC99" s="707" t="s">
        <v>111</v>
      </c>
      <c r="AD99" s="708"/>
      <c r="AE99" s="709"/>
      <c r="AG99" s="707" t="s">
        <v>68</v>
      </c>
      <c r="AH99" s="708"/>
      <c r="AI99" s="709"/>
    </row>
    <row r="100" spans="2:35" ht="16.5" thickBot="1" x14ac:dyDescent="0.3">
      <c r="B100" s="347" t="s">
        <v>41</v>
      </c>
      <c r="C100" s="348"/>
      <c r="E100" s="401" t="s">
        <v>68</v>
      </c>
      <c r="F100" s="402"/>
      <c r="G100" s="403"/>
      <c r="H100" s="4"/>
      <c r="I100" s="401" t="s">
        <v>68</v>
      </c>
      <c r="J100" s="402"/>
      <c r="K100" s="403"/>
      <c r="L100" s="3"/>
      <c r="M100" s="215" t="s">
        <v>68</v>
      </c>
      <c r="N100" s="216"/>
      <c r="O100" s="217"/>
      <c r="Q100" s="401" t="s">
        <v>68</v>
      </c>
      <c r="R100" s="402"/>
      <c r="S100" s="403"/>
      <c r="U100" s="797" t="s">
        <v>68</v>
      </c>
      <c r="V100" s="798"/>
      <c r="W100" s="799"/>
      <c r="Y100" s="401" t="s">
        <v>68</v>
      </c>
      <c r="Z100" s="402"/>
      <c r="AA100" s="403"/>
      <c r="AC100" s="401" t="s">
        <v>111</v>
      </c>
      <c r="AD100" s="402"/>
      <c r="AE100" s="403"/>
      <c r="AG100" s="401" t="s">
        <v>68</v>
      </c>
      <c r="AH100" s="402"/>
      <c r="AI100" s="403"/>
    </row>
    <row r="101" spans="2:35" ht="15.75" x14ac:dyDescent="0.25">
      <c r="B101" s="9"/>
      <c r="C101" s="9"/>
    </row>
    <row r="103" spans="2:35" ht="15.75" x14ac:dyDescent="0.25">
      <c r="B103" s="604" t="s">
        <v>2</v>
      </c>
      <c r="C103" s="604"/>
      <c r="D103" s="6"/>
      <c r="E103" s="675" t="s">
        <v>738</v>
      </c>
      <c r="F103" s="675"/>
      <c r="G103" s="675"/>
      <c r="H103" s="7"/>
      <c r="I103" s="675" t="s">
        <v>739</v>
      </c>
      <c r="J103" s="675"/>
      <c r="K103" s="675"/>
      <c r="L103" s="2"/>
      <c r="M103" s="676" t="s">
        <v>740</v>
      </c>
      <c r="N103" s="676"/>
      <c r="O103" s="676"/>
      <c r="Q103" s="675" t="s">
        <v>741</v>
      </c>
      <c r="R103" s="675"/>
      <c r="S103" s="675"/>
      <c r="U103" s="736" t="s">
        <v>742</v>
      </c>
      <c r="V103" s="736"/>
      <c r="W103" s="736"/>
      <c r="Y103" s="675" t="s">
        <v>743</v>
      </c>
      <c r="Z103" s="675"/>
      <c r="AA103" s="675"/>
      <c r="AC103" s="675" t="s">
        <v>744</v>
      </c>
      <c r="AD103" s="675"/>
      <c r="AE103" s="675"/>
      <c r="AG103" s="675" t="s">
        <v>747</v>
      </c>
      <c r="AH103" s="675"/>
      <c r="AI103" s="675"/>
    </row>
    <row r="104" spans="2:35" ht="15.75" thickBot="1" x14ac:dyDescent="0.3">
      <c r="B104" s="596"/>
      <c r="C104" s="596"/>
      <c r="D104" s="5"/>
      <c r="E104" s="5"/>
      <c r="I104" s="5"/>
      <c r="Q104" s="5"/>
      <c r="Y104" s="5"/>
      <c r="AC104" s="5"/>
      <c r="AG104" s="5"/>
    </row>
    <row r="105" spans="2:35" ht="15.75" x14ac:dyDescent="0.25">
      <c r="B105" s="423" t="s">
        <v>23</v>
      </c>
      <c r="C105" s="424"/>
      <c r="D105" s="5"/>
      <c r="E105" s="352" t="s">
        <v>68</v>
      </c>
      <c r="F105" s="353"/>
      <c r="G105" s="354"/>
      <c r="H105" s="4"/>
      <c r="I105" s="352" t="s">
        <v>68</v>
      </c>
      <c r="J105" s="353"/>
      <c r="K105" s="354"/>
      <c r="L105" s="3"/>
      <c r="M105" s="200" t="s">
        <v>68</v>
      </c>
      <c r="N105" s="201"/>
      <c r="O105" s="202"/>
      <c r="Q105" s="352" t="s">
        <v>68</v>
      </c>
      <c r="R105" s="353"/>
      <c r="S105" s="354"/>
      <c r="U105" s="792" t="s">
        <v>68</v>
      </c>
      <c r="V105" s="793"/>
      <c r="W105" s="794"/>
      <c r="Y105" s="352" t="s">
        <v>68</v>
      </c>
      <c r="Z105" s="353"/>
      <c r="AA105" s="354"/>
      <c r="AC105" s="352" t="s">
        <v>68</v>
      </c>
      <c r="AD105" s="353"/>
      <c r="AE105" s="354"/>
      <c r="AG105" s="352" t="s">
        <v>68</v>
      </c>
      <c r="AH105" s="353"/>
      <c r="AI105" s="354"/>
    </row>
    <row r="106" spans="2:35" ht="15.75" x14ac:dyDescent="0.25">
      <c r="B106" s="1047" t="s">
        <v>24</v>
      </c>
      <c r="C106" s="1048"/>
      <c r="D106" s="146"/>
      <c r="E106" s="1015" t="s">
        <v>763</v>
      </c>
      <c r="F106" s="1016"/>
      <c r="G106" s="1017"/>
      <c r="H106" s="147"/>
      <c r="I106" s="1015" t="s">
        <v>763</v>
      </c>
      <c r="J106" s="1016"/>
      <c r="K106" s="1017"/>
      <c r="L106" s="148"/>
      <c r="M106" s="1049" t="s">
        <v>763</v>
      </c>
      <c r="N106" s="1050"/>
      <c r="O106" s="1051"/>
      <c r="P106" s="145"/>
      <c r="Q106" s="1015" t="s">
        <v>763</v>
      </c>
      <c r="R106" s="1016"/>
      <c r="S106" s="1017"/>
      <c r="T106" s="145"/>
      <c r="U106" s="1052" t="s">
        <v>763</v>
      </c>
      <c r="V106" s="1053"/>
      <c r="W106" s="1054"/>
      <c r="X106" s="145"/>
      <c r="Y106" s="1015" t="s">
        <v>763</v>
      </c>
      <c r="Z106" s="1016"/>
      <c r="AA106" s="1017"/>
      <c r="AB106" s="145"/>
      <c r="AC106" s="1015" t="s">
        <v>763</v>
      </c>
      <c r="AD106" s="1016"/>
      <c r="AE106" s="1017"/>
      <c r="AF106" s="145"/>
      <c r="AG106" s="1015" t="s">
        <v>111</v>
      </c>
      <c r="AH106" s="1016"/>
      <c r="AI106" s="1017"/>
    </row>
    <row r="107" spans="2:35" ht="15.75" x14ac:dyDescent="0.25">
      <c r="B107" s="1047" t="s">
        <v>25</v>
      </c>
      <c r="C107" s="1048"/>
      <c r="D107" s="146"/>
      <c r="E107" s="1015" t="s">
        <v>763</v>
      </c>
      <c r="F107" s="1016"/>
      <c r="G107" s="1017"/>
      <c r="H107" s="147"/>
      <c r="I107" s="1015" t="s">
        <v>763</v>
      </c>
      <c r="J107" s="1016"/>
      <c r="K107" s="1017"/>
      <c r="L107" s="148"/>
      <c r="M107" s="1049" t="s">
        <v>763</v>
      </c>
      <c r="N107" s="1050"/>
      <c r="O107" s="1051"/>
      <c r="P107" s="145"/>
      <c r="Q107" s="1015" t="s">
        <v>763</v>
      </c>
      <c r="R107" s="1016"/>
      <c r="S107" s="1017"/>
      <c r="T107" s="145"/>
      <c r="U107" s="1052" t="s">
        <v>763</v>
      </c>
      <c r="V107" s="1053"/>
      <c r="W107" s="1054"/>
      <c r="X107" s="145"/>
      <c r="Y107" s="1015" t="s">
        <v>763</v>
      </c>
      <c r="Z107" s="1016"/>
      <c r="AA107" s="1017"/>
      <c r="AB107" s="145"/>
      <c r="AC107" s="1015" t="s">
        <v>763</v>
      </c>
      <c r="AD107" s="1016"/>
      <c r="AE107" s="1017"/>
      <c r="AF107" s="145"/>
      <c r="AG107" s="1015" t="s">
        <v>111</v>
      </c>
      <c r="AH107" s="1016"/>
      <c r="AI107" s="1017"/>
    </row>
    <row r="108" spans="2:35" ht="15.75" x14ac:dyDescent="0.25">
      <c r="B108" s="330" t="s">
        <v>26</v>
      </c>
      <c r="C108" s="331"/>
      <c r="D108" s="5"/>
      <c r="E108" s="253" t="s">
        <v>68</v>
      </c>
      <c r="F108" s="254"/>
      <c r="G108" s="255"/>
      <c r="H108" s="4"/>
      <c r="I108" s="253" t="s">
        <v>68</v>
      </c>
      <c r="J108" s="254"/>
      <c r="K108" s="255"/>
      <c r="L108" s="3"/>
      <c r="M108" s="226" t="s">
        <v>68</v>
      </c>
      <c r="N108" s="434"/>
      <c r="O108" s="435"/>
      <c r="Q108" s="253" t="s">
        <v>68</v>
      </c>
      <c r="R108" s="254"/>
      <c r="S108" s="255"/>
      <c r="U108" s="809" t="s">
        <v>68</v>
      </c>
      <c r="V108" s="810"/>
      <c r="W108" s="811"/>
      <c r="Y108" s="253" t="s">
        <v>68</v>
      </c>
      <c r="Z108" s="254"/>
      <c r="AA108" s="255"/>
      <c r="AC108" s="253" t="s">
        <v>68</v>
      </c>
      <c r="AD108" s="254"/>
      <c r="AE108" s="255"/>
      <c r="AG108" s="253" t="s">
        <v>68</v>
      </c>
      <c r="AH108" s="254"/>
      <c r="AI108" s="255"/>
    </row>
    <row r="109" spans="2:35" ht="15.75" x14ac:dyDescent="0.25">
      <c r="B109" s="330" t="s">
        <v>27</v>
      </c>
      <c r="C109" s="331"/>
      <c r="D109" s="5"/>
      <c r="E109" s="253" t="s">
        <v>68</v>
      </c>
      <c r="F109" s="254"/>
      <c r="G109" s="255"/>
      <c r="H109" s="4"/>
      <c r="I109" s="253" t="s">
        <v>68</v>
      </c>
      <c r="J109" s="254"/>
      <c r="K109" s="255"/>
      <c r="L109" s="3"/>
      <c r="M109" s="226" t="s">
        <v>68</v>
      </c>
      <c r="N109" s="434"/>
      <c r="O109" s="435"/>
      <c r="Q109" s="253" t="s">
        <v>68</v>
      </c>
      <c r="R109" s="254"/>
      <c r="S109" s="255"/>
      <c r="U109" s="809" t="s">
        <v>68</v>
      </c>
      <c r="V109" s="810"/>
      <c r="W109" s="811"/>
      <c r="Y109" s="253" t="s">
        <v>68</v>
      </c>
      <c r="Z109" s="254"/>
      <c r="AA109" s="255"/>
      <c r="AC109" s="253" t="s">
        <v>68</v>
      </c>
      <c r="AD109" s="254"/>
      <c r="AE109" s="255"/>
      <c r="AG109" s="253" t="s">
        <v>68</v>
      </c>
      <c r="AH109" s="254"/>
      <c r="AI109" s="255"/>
    </row>
    <row r="110" spans="2:35" ht="15.75" x14ac:dyDescent="0.25">
      <c r="B110" s="330" t="s">
        <v>28</v>
      </c>
      <c r="C110" s="331"/>
      <c r="D110" s="5"/>
      <c r="E110" s="253" t="s">
        <v>68</v>
      </c>
      <c r="F110" s="254"/>
      <c r="G110" s="255"/>
      <c r="H110" s="4"/>
      <c r="I110" s="253" t="s">
        <v>68</v>
      </c>
      <c r="J110" s="254"/>
      <c r="K110" s="255"/>
      <c r="L110" s="3"/>
      <c r="M110" s="226" t="s">
        <v>68</v>
      </c>
      <c r="N110" s="434"/>
      <c r="O110" s="435"/>
      <c r="Q110" s="253" t="s">
        <v>68</v>
      </c>
      <c r="R110" s="254"/>
      <c r="S110" s="255"/>
      <c r="U110" s="809" t="s">
        <v>68</v>
      </c>
      <c r="V110" s="810"/>
      <c r="W110" s="811"/>
      <c r="Y110" s="253" t="s">
        <v>68</v>
      </c>
      <c r="Z110" s="254"/>
      <c r="AA110" s="255"/>
      <c r="AC110" s="253" t="s">
        <v>68</v>
      </c>
      <c r="AD110" s="254"/>
      <c r="AE110" s="255"/>
      <c r="AG110" s="253" t="s">
        <v>68</v>
      </c>
      <c r="AH110" s="254"/>
      <c r="AI110" s="255"/>
    </row>
    <row r="111" spans="2:35" ht="15.75" x14ac:dyDescent="0.25">
      <c r="B111" s="330" t="s">
        <v>29</v>
      </c>
      <c r="C111" s="331"/>
      <c r="D111" s="5"/>
      <c r="E111" s="253" t="s">
        <v>68</v>
      </c>
      <c r="F111" s="254"/>
      <c r="G111" s="255"/>
      <c r="H111" s="4"/>
      <c r="I111" s="253" t="s">
        <v>68</v>
      </c>
      <c r="J111" s="254"/>
      <c r="K111" s="255"/>
      <c r="L111" s="3"/>
      <c r="M111" s="226" t="s">
        <v>68</v>
      </c>
      <c r="N111" s="434"/>
      <c r="O111" s="435"/>
      <c r="Q111" s="253" t="s">
        <v>68</v>
      </c>
      <c r="R111" s="254"/>
      <c r="S111" s="255"/>
      <c r="U111" s="809" t="s">
        <v>68</v>
      </c>
      <c r="V111" s="810"/>
      <c r="W111" s="811"/>
      <c r="Y111" s="253" t="s">
        <v>68</v>
      </c>
      <c r="Z111" s="254"/>
      <c r="AA111" s="255"/>
      <c r="AC111" s="253" t="s">
        <v>68</v>
      </c>
      <c r="AD111" s="254"/>
      <c r="AE111" s="255"/>
      <c r="AG111" s="253" t="s">
        <v>68</v>
      </c>
      <c r="AH111" s="254"/>
      <c r="AI111" s="255"/>
    </row>
    <row r="112" spans="2:35" ht="16.5" thickBot="1" x14ac:dyDescent="0.3">
      <c r="B112" s="347" t="s">
        <v>30</v>
      </c>
      <c r="C112" s="348"/>
      <c r="E112" s="212" t="s">
        <v>68</v>
      </c>
      <c r="F112" s="213"/>
      <c r="G112" s="214"/>
      <c r="H112" s="4"/>
      <c r="I112" s="212" t="s">
        <v>68</v>
      </c>
      <c r="J112" s="213"/>
      <c r="K112" s="214"/>
      <c r="L112" s="3"/>
      <c r="M112" s="215" t="s">
        <v>68</v>
      </c>
      <c r="N112" s="216"/>
      <c r="O112" s="217"/>
      <c r="Q112" s="212" t="s">
        <v>68</v>
      </c>
      <c r="R112" s="213"/>
      <c r="S112" s="214"/>
      <c r="U112" s="797" t="s">
        <v>68</v>
      </c>
      <c r="V112" s="798"/>
      <c r="W112" s="799"/>
      <c r="Y112" s="212" t="s">
        <v>68</v>
      </c>
      <c r="Z112" s="213"/>
      <c r="AA112" s="214"/>
      <c r="AC112" s="212" t="s">
        <v>68</v>
      </c>
      <c r="AD112" s="213"/>
      <c r="AE112" s="214"/>
      <c r="AG112" s="212" t="s">
        <v>68</v>
      </c>
      <c r="AH112" s="213"/>
      <c r="AI112" s="214"/>
    </row>
    <row r="115" spans="1:35" ht="15.75" x14ac:dyDescent="0.25">
      <c r="B115" s="623" t="s">
        <v>50</v>
      </c>
      <c r="C115" s="623"/>
      <c r="E115" s="661" t="s">
        <v>738</v>
      </c>
      <c r="F115" s="661"/>
      <c r="G115" s="661"/>
      <c r="H115" s="7"/>
      <c r="I115" s="661" t="s">
        <v>739</v>
      </c>
      <c r="J115" s="661"/>
      <c r="K115" s="661"/>
      <c r="L115" s="2"/>
      <c r="M115" s="662" t="s">
        <v>740</v>
      </c>
      <c r="N115" s="662"/>
      <c r="O115" s="662"/>
      <c r="Q115" s="661" t="s">
        <v>741</v>
      </c>
      <c r="R115" s="661"/>
      <c r="S115" s="661"/>
      <c r="U115" s="663" t="s">
        <v>742</v>
      </c>
      <c r="V115" s="663"/>
      <c r="W115" s="663"/>
      <c r="Y115" s="661" t="s">
        <v>743</v>
      </c>
      <c r="Z115" s="661"/>
      <c r="AA115" s="661"/>
      <c r="AC115" s="661" t="s">
        <v>744</v>
      </c>
      <c r="AD115" s="661"/>
      <c r="AE115" s="661"/>
      <c r="AG115" s="661" t="s">
        <v>747</v>
      </c>
      <c r="AH115" s="661"/>
      <c r="AI115" s="661"/>
    </row>
    <row r="116" spans="1:35" ht="16.5" thickBot="1" x14ac:dyDescent="0.3">
      <c r="B116" s="9"/>
      <c r="C116" s="9"/>
    </row>
    <row r="117" spans="1:35" ht="15.75" x14ac:dyDescent="0.25">
      <c r="B117" s="1035" t="s">
        <v>108</v>
      </c>
      <c r="C117" s="1036"/>
      <c r="D117" s="145"/>
      <c r="E117" s="1037" t="s">
        <v>763</v>
      </c>
      <c r="F117" s="1038"/>
      <c r="G117" s="1039"/>
      <c r="H117" s="147"/>
      <c r="I117" s="1040" t="s">
        <v>763</v>
      </c>
      <c r="J117" s="1038"/>
      <c r="K117" s="1039"/>
      <c r="L117" s="148"/>
      <c r="M117" s="1041" t="s">
        <v>763</v>
      </c>
      <c r="N117" s="1042"/>
      <c r="O117" s="1043"/>
      <c r="P117" s="145"/>
      <c r="Q117" s="1040" t="s">
        <v>763</v>
      </c>
      <c r="R117" s="1038"/>
      <c r="S117" s="1039"/>
      <c r="T117" s="145"/>
      <c r="U117" s="1044" t="s">
        <v>763</v>
      </c>
      <c r="V117" s="1045"/>
      <c r="W117" s="1046"/>
      <c r="X117" s="145"/>
      <c r="Y117" s="1040" t="s">
        <v>763</v>
      </c>
      <c r="Z117" s="1038"/>
      <c r="AA117" s="1039"/>
      <c r="AB117" s="145"/>
      <c r="AC117" s="1018" t="s">
        <v>111</v>
      </c>
      <c r="AD117" s="1019"/>
      <c r="AE117" s="1020"/>
      <c r="AF117" s="145"/>
      <c r="AG117" s="1018" t="s">
        <v>111</v>
      </c>
      <c r="AH117" s="1019"/>
      <c r="AI117" s="1020"/>
    </row>
    <row r="118" spans="1:35" ht="16.5" thickBot="1" x14ac:dyDescent="0.3">
      <c r="B118" s="1024" t="s">
        <v>108</v>
      </c>
      <c r="C118" s="1025"/>
      <c r="D118" s="145"/>
      <c r="E118" s="1026" t="s">
        <v>763</v>
      </c>
      <c r="F118" s="1027"/>
      <c r="G118" s="1028"/>
      <c r="H118" s="147"/>
      <c r="I118" s="1026" t="s">
        <v>763</v>
      </c>
      <c r="J118" s="1027"/>
      <c r="K118" s="1028"/>
      <c r="L118" s="148"/>
      <c r="M118" s="1029" t="s">
        <v>763</v>
      </c>
      <c r="N118" s="1030"/>
      <c r="O118" s="1031"/>
      <c r="P118" s="145"/>
      <c r="Q118" s="1026" t="s">
        <v>763</v>
      </c>
      <c r="R118" s="1027"/>
      <c r="S118" s="1028"/>
      <c r="T118" s="145"/>
      <c r="U118" s="1032" t="s">
        <v>763</v>
      </c>
      <c r="V118" s="1033"/>
      <c r="W118" s="1034"/>
      <c r="X118" s="145"/>
      <c r="Y118" s="1026" t="s">
        <v>763</v>
      </c>
      <c r="Z118" s="1027"/>
      <c r="AA118" s="1028"/>
      <c r="AC118" s="401" t="s">
        <v>111</v>
      </c>
      <c r="AD118" s="402"/>
      <c r="AE118" s="403"/>
      <c r="AG118" s="401" t="s">
        <v>111</v>
      </c>
      <c r="AH118" s="402"/>
      <c r="AI118" s="403"/>
    </row>
    <row r="120" spans="1:35" ht="15.75" x14ac:dyDescent="0.25">
      <c r="B120" s="601" t="s">
        <v>114</v>
      </c>
      <c r="C120" s="601"/>
      <c r="E120" s="632" t="s">
        <v>738</v>
      </c>
      <c r="F120" s="632"/>
      <c r="G120" s="632"/>
      <c r="H120" s="7"/>
      <c r="I120" s="632" t="s">
        <v>739</v>
      </c>
      <c r="J120" s="632"/>
      <c r="K120" s="632"/>
      <c r="L120" s="2"/>
      <c r="M120" s="633" t="s">
        <v>740</v>
      </c>
      <c r="N120" s="633"/>
      <c r="O120" s="633"/>
      <c r="Q120" s="632" t="s">
        <v>741</v>
      </c>
      <c r="R120" s="632"/>
      <c r="S120" s="632"/>
      <c r="U120" s="634" t="s">
        <v>742</v>
      </c>
      <c r="V120" s="634"/>
      <c r="W120" s="634"/>
      <c r="Y120" s="632" t="s">
        <v>743</v>
      </c>
      <c r="Z120" s="632"/>
      <c r="AA120" s="632"/>
      <c r="AC120" s="632" t="s">
        <v>744</v>
      </c>
      <c r="AD120" s="632"/>
      <c r="AE120" s="632"/>
      <c r="AG120" s="632" t="s">
        <v>747</v>
      </c>
      <c r="AH120" s="632"/>
      <c r="AI120" s="632"/>
    </row>
    <row r="121" spans="1:35" ht="16.5" thickBot="1" x14ac:dyDescent="0.3">
      <c r="B121" s="9"/>
      <c r="C121" s="9"/>
    </row>
    <row r="122" spans="1:35" ht="16.5" thickBot="1" x14ac:dyDescent="0.3">
      <c r="B122" s="1010" t="s">
        <v>114</v>
      </c>
      <c r="C122" s="1011"/>
      <c r="E122" s="986" t="s">
        <v>68</v>
      </c>
      <c r="F122" s="987"/>
      <c r="G122" s="988"/>
      <c r="H122" s="4"/>
      <c r="I122" s="637" t="s">
        <v>68</v>
      </c>
      <c r="J122" s="638"/>
      <c r="K122" s="639"/>
      <c r="L122" s="3"/>
      <c r="M122" s="1021" t="s">
        <v>68</v>
      </c>
      <c r="N122" s="1022"/>
      <c r="O122" s="1023"/>
      <c r="Q122" s="637" t="s">
        <v>68</v>
      </c>
      <c r="R122" s="638"/>
      <c r="S122" s="639"/>
      <c r="U122" s="902" t="s">
        <v>68</v>
      </c>
      <c r="V122" s="903"/>
      <c r="W122" s="904"/>
      <c r="Y122" s="637" t="s">
        <v>68</v>
      </c>
      <c r="Z122" s="638"/>
      <c r="AA122" s="639"/>
      <c r="AC122" s="637" t="s">
        <v>111</v>
      </c>
      <c r="AD122" s="638"/>
      <c r="AE122" s="639"/>
      <c r="AG122" s="637" t="s">
        <v>68</v>
      </c>
      <c r="AH122" s="638"/>
      <c r="AI122" s="639"/>
    </row>
    <row r="124" spans="1:35" ht="23.25" x14ac:dyDescent="0.25">
      <c r="A124" s="189" t="s">
        <v>757</v>
      </c>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row>
    <row r="126" spans="1:35" ht="15.75" x14ac:dyDescent="0.25">
      <c r="B126" s="595" t="s">
        <v>0</v>
      </c>
      <c r="C126" s="595"/>
      <c r="E126" s="681" t="s">
        <v>759</v>
      </c>
      <c r="F126" s="681"/>
      <c r="G126" s="681"/>
      <c r="I126" s="681" t="s">
        <v>758</v>
      </c>
      <c r="J126" s="681"/>
      <c r="K126" s="681"/>
      <c r="L126" s="681"/>
      <c r="M126" s="681"/>
      <c r="N126" s="681"/>
    </row>
    <row r="127" spans="1:35" ht="15.75" thickBot="1" x14ac:dyDescent="0.3">
      <c r="B127" s="596"/>
      <c r="C127" s="596"/>
      <c r="E127" s="5"/>
      <c r="I127" s="5"/>
    </row>
    <row r="128" spans="1:35" ht="15.75" x14ac:dyDescent="0.25">
      <c r="B128" s="389" t="s">
        <v>112</v>
      </c>
      <c r="C128" s="390"/>
      <c r="E128" s="352" t="s">
        <v>111</v>
      </c>
      <c r="F128" s="353"/>
      <c r="G128" s="354"/>
      <c r="I128" s="707" t="s">
        <v>111</v>
      </c>
      <c r="J128" s="708"/>
      <c r="K128" s="708"/>
      <c r="L128" s="708"/>
      <c r="M128" s="708"/>
      <c r="N128" s="709"/>
    </row>
    <row r="129" spans="2:14" ht="15.75" x14ac:dyDescent="0.25">
      <c r="B129" s="239" t="s">
        <v>4</v>
      </c>
      <c r="C129" s="240"/>
      <c r="E129" s="992" t="s">
        <v>784</v>
      </c>
      <c r="F129" s="993"/>
      <c r="G129" s="994"/>
      <c r="I129" s="363" t="s">
        <v>111</v>
      </c>
      <c r="J129" s="364"/>
      <c r="K129" s="364"/>
      <c r="L129" s="364"/>
      <c r="M129" s="364"/>
      <c r="N129" s="365"/>
    </row>
    <row r="130" spans="2:14" ht="15.75" x14ac:dyDescent="0.25">
      <c r="B130" s="239" t="s">
        <v>5</v>
      </c>
      <c r="C130" s="240"/>
      <c r="E130" s="1012" t="s">
        <v>111</v>
      </c>
      <c r="F130" s="1013"/>
      <c r="G130" s="1014"/>
      <c r="I130" s="989" t="s">
        <v>111</v>
      </c>
      <c r="J130" s="990"/>
      <c r="K130" s="990"/>
      <c r="L130" s="990"/>
      <c r="M130" s="990"/>
      <c r="N130" s="991"/>
    </row>
    <row r="131" spans="2:14" ht="15.75" x14ac:dyDescent="0.25">
      <c r="B131" s="239" t="s">
        <v>6</v>
      </c>
      <c r="C131" s="240"/>
      <c r="E131" s="332" t="s">
        <v>111</v>
      </c>
      <c r="F131" s="333"/>
      <c r="G131" s="334"/>
      <c r="I131" s="363" t="s">
        <v>111</v>
      </c>
      <c r="J131" s="364"/>
      <c r="K131" s="364"/>
      <c r="L131" s="364"/>
      <c r="M131" s="364"/>
      <c r="N131" s="365"/>
    </row>
    <row r="132" spans="2:14" ht="15.75" x14ac:dyDescent="0.25">
      <c r="B132" s="239" t="s">
        <v>7</v>
      </c>
      <c r="C132" s="240"/>
      <c r="E132" s="992" t="s">
        <v>783</v>
      </c>
      <c r="F132" s="993"/>
      <c r="G132" s="994"/>
      <c r="I132" s="363" t="s">
        <v>111</v>
      </c>
      <c r="J132" s="364"/>
      <c r="K132" s="364"/>
      <c r="L132" s="364"/>
      <c r="M132" s="364"/>
      <c r="N132" s="365"/>
    </row>
    <row r="133" spans="2:14" ht="15.75" x14ac:dyDescent="0.25">
      <c r="B133" s="239" t="s">
        <v>8</v>
      </c>
      <c r="C133" s="240"/>
      <c r="E133" s="332" t="s">
        <v>111</v>
      </c>
      <c r="F133" s="333"/>
      <c r="G133" s="334"/>
      <c r="I133" s="363" t="s">
        <v>111</v>
      </c>
      <c r="J133" s="364"/>
      <c r="K133" s="364"/>
      <c r="L133" s="364"/>
      <c r="M133" s="364"/>
      <c r="N133" s="365"/>
    </row>
    <row r="134" spans="2:14" ht="15.75" x14ac:dyDescent="0.25">
      <c r="B134" s="239" t="s">
        <v>9</v>
      </c>
      <c r="C134" s="240"/>
      <c r="E134" s="992" t="s">
        <v>777</v>
      </c>
      <c r="F134" s="993"/>
      <c r="G134" s="994"/>
      <c r="I134" s="363" t="s">
        <v>111</v>
      </c>
      <c r="J134" s="364"/>
      <c r="K134" s="364"/>
      <c r="L134" s="364"/>
      <c r="M134" s="364"/>
      <c r="N134" s="365"/>
    </row>
    <row r="135" spans="2:14" ht="15.75" x14ac:dyDescent="0.25">
      <c r="B135" s="239" t="s">
        <v>10</v>
      </c>
      <c r="C135" s="240"/>
      <c r="E135" s="332" t="s">
        <v>111</v>
      </c>
      <c r="F135" s="333"/>
      <c r="G135" s="334"/>
      <c r="I135" s="363" t="s">
        <v>111</v>
      </c>
      <c r="J135" s="364"/>
      <c r="K135" s="364"/>
      <c r="L135" s="364"/>
      <c r="M135" s="364"/>
      <c r="N135" s="365"/>
    </row>
    <row r="136" spans="2:14" ht="16.5" thickBot="1" x14ac:dyDescent="0.3">
      <c r="B136" s="416" t="s">
        <v>113</v>
      </c>
      <c r="C136" s="417"/>
      <c r="E136" s="700" t="s">
        <v>111</v>
      </c>
      <c r="F136" s="701"/>
      <c r="G136" s="702"/>
      <c r="I136" s="401" t="s">
        <v>111</v>
      </c>
      <c r="J136" s="402"/>
      <c r="K136" s="402"/>
      <c r="L136" s="402"/>
      <c r="M136" s="402"/>
      <c r="N136" s="403"/>
    </row>
    <row r="138" spans="2:14" ht="15.75" x14ac:dyDescent="0.25">
      <c r="B138" s="837" t="s">
        <v>1</v>
      </c>
      <c r="C138" s="837"/>
      <c r="E138" s="838" t="s">
        <v>759</v>
      </c>
      <c r="F138" s="838"/>
      <c r="G138" s="838"/>
      <c r="I138" s="838" t="s">
        <v>758</v>
      </c>
      <c r="J138" s="838"/>
      <c r="K138" s="838"/>
      <c r="L138" s="838"/>
      <c r="M138" s="838"/>
      <c r="N138" s="838"/>
    </row>
    <row r="139" spans="2:14" ht="15.75" thickBot="1" x14ac:dyDescent="0.3">
      <c r="B139" s="596"/>
      <c r="C139" s="596"/>
    </row>
    <row r="140" spans="2:14" ht="15.75" x14ac:dyDescent="0.25">
      <c r="B140" s="389" t="s">
        <v>13</v>
      </c>
      <c r="C140" s="390"/>
      <c r="E140" s="1004" t="s">
        <v>782</v>
      </c>
      <c r="F140" s="1005"/>
      <c r="G140" s="1006"/>
      <c r="I140" s="352"/>
      <c r="J140" s="353"/>
      <c r="K140" s="353"/>
      <c r="L140" s="353"/>
      <c r="M140" s="353"/>
      <c r="N140" s="354"/>
    </row>
    <row r="141" spans="2:14" ht="15.75" x14ac:dyDescent="0.25">
      <c r="B141" s="239" t="s">
        <v>14</v>
      </c>
      <c r="C141" s="240"/>
      <c r="E141" s="363" t="s">
        <v>111</v>
      </c>
      <c r="F141" s="364"/>
      <c r="G141" s="365"/>
      <c r="I141" s="253"/>
      <c r="J141" s="254"/>
      <c r="K141" s="254"/>
      <c r="L141" s="254"/>
      <c r="M141" s="254"/>
      <c r="N141" s="255"/>
    </row>
    <row r="142" spans="2:14" ht="15.75" x14ac:dyDescent="0.25">
      <c r="B142" s="239" t="s">
        <v>15</v>
      </c>
      <c r="C142" s="240"/>
      <c r="E142" s="363" t="s">
        <v>111</v>
      </c>
      <c r="F142" s="364"/>
      <c r="G142" s="365"/>
      <c r="I142" s="992" t="s">
        <v>781</v>
      </c>
      <c r="J142" s="993"/>
      <c r="K142" s="993"/>
      <c r="L142" s="993"/>
      <c r="M142" s="993"/>
      <c r="N142" s="994"/>
    </row>
    <row r="143" spans="2:14" ht="15.75" x14ac:dyDescent="0.25">
      <c r="B143" s="239" t="s">
        <v>16</v>
      </c>
      <c r="C143" s="240"/>
      <c r="E143" s="363" t="s">
        <v>111</v>
      </c>
      <c r="F143" s="364"/>
      <c r="G143" s="365"/>
      <c r="I143" s="253" t="s">
        <v>111</v>
      </c>
      <c r="J143" s="254"/>
      <c r="K143" s="254"/>
      <c r="L143" s="254"/>
      <c r="M143" s="254"/>
      <c r="N143" s="255"/>
    </row>
    <row r="144" spans="2:14" ht="15.75" x14ac:dyDescent="0.25">
      <c r="B144" s="239" t="s">
        <v>17</v>
      </c>
      <c r="C144" s="240"/>
      <c r="E144" s="363" t="s">
        <v>111</v>
      </c>
      <c r="F144" s="364"/>
      <c r="G144" s="365"/>
      <c r="I144" s="992" t="s">
        <v>111</v>
      </c>
      <c r="J144" s="993"/>
      <c r="K144" s="993"/>
      <c r="L144" s="993"/>
      <c r="M144" s="993"/>
      <c r="N144" s="994"/>
    </row>
    <row r="145" spans="2:14" ht="15.75" x14ac:dyDescent="0.25">
      <c r="B145" s="239" t="s">
        <v>18</v>
      </c>
      <c r="C145" s="240"/>
      <c r="E145" s="363" t="s">
        <v>111</v>
      </c>
      <c r="F145" s="364"/>
      <c r="G145" s="365"/>
      <c r="I145" s="992"/>
      <c r="J145" s="993"/>
      <c r="K145" s="993"/>
      <c r="L145" s="993"/>
      <c r="M145" s="993"/>
      <c r="N145" s="994"/>
    </row>
    <row r="146" spans="2:14" ht="15.75" x14ac:dyDescent="0.25">
      <c r="B146" s="239" t="s">
        <v>19</v>
      </c>
      <c r="C146" s="240"/>
      <c r="E146" s="363" t="s">
        <v>111</v>
      </c>
      <c r="F146" s="364"/>
      <c r="G146" s="365"/>
      <c r="I146" s="253" t="s">
        <v>111</v>
      </c>
      <c r="J146" s="254"/>
      <c r="K146" s="254"/>
      <c r="L146" s="254"/>
      <c r="M146" s="254"/>
      <c r="N146" s="255"/>
    </row>
    <row r="147" spans="2:14" ht="15.75" x14ac:dyDescent="0.25">
      <c r="B147" s="239" t="s">
        <v>20</v>
      </c>
      <c r="C147" s="240"/>
      <c r="E147" s="363" t="s">
        <v>111</v>
      </c>
      <c r="F147" s="364"/>
      <c r="G147" s="365"/>
      <c r="I147" s="992" t="s">
        <v>780</v>
      </c>
      <c r="J147" s="993"/>
      <c r="K147" s="993"/>
      <c r="L147" s="993"/>
      <c r="M147" s="993"/>
      <c r="N147" s="994"/>
    </row>
    <row r="148" spans="2:14" ht="15.75" x14ac:dyDescent="0.25">
      <c r="B148" s="239" t="s">
        <v>21</v>
      </c>
      <c r="C148" s="240"/>
      <c r="E148" s="363" t="s">
        <v>111</v>
      </c>
      <c r="F148" s="364"/>
      <c r="G148" s="365"/>
      <c r="I148" s="992" t="s">
        <v>779</v>
      </c>
      <c r="J148" s="993"/>
      <c r="K148" s="993"/>
      <c r="L148" s="993"/>
      <c r="M148" s="993"/>
      <c r="N148" s="994"/>
    </row>
    <row r="149" spans="2:14" ht="16.5" thickBot="1" x14ac:dyDescent="0.3">
      <c r="B149" s="416" t="s">
        <v>22</v>
      </c>
      <c r="C149" s="417"/>
      <c r="E149" s="401" t="s">
        <v>111</v>
      </c>
      <c r="F149" s="402"/>
      <c r="G149" s="403"/>
      <c r="I149" s="995" t="s">
        <v>111</v>
      </c>
      <c r="J149" s="996"/>
      <c r="K149" s="996"/>
      <c r="L149" s="996"/>
      <c r="M149" s="996"/>
      <c r="N149" s="997"/>
    </row>
    <row r="150" spans="2:14" ht="15.75" x14ac:dyDescent="0.25">
      <c r="B150" s="9"/>
      <c r="C150" s="9"/>
    </row>
    <row r="151" spans="2:14" ht="15.75" x14ac:dyDescent="0.25">
      <c r="B151" s="616" t="s">
        <v>39</v>
      </c>
      <c r="C151" s="616"/>
      <c r="E151" s="704" t="s">
        <v>759</v>
      </c>
      <c r="F151" s="704"/>
      <c r="G151" s="704"/>
      <c r="I151" s="704" t="s">
        <v>758</v>
      </c>
      <c r="J151" s="704"/>
      <c r="K151" s="704"/>
      <c r="L151" s="704"/>
      <c r="M151" s="704"/>
      <c r="N151" s="704"/>
    </row>
    <row r="152" spans="2:14" ht="16.5" thickBot="1" x14ac:dyDescent="0.3">
      <c r="B152" s="9"/>
      <c r="C152" s="9"/>
    </row>
    <row r="153" spans="2:14" ht="15.75" x14ac:dyDescent="0.25">
      <c r="B153" s="423" t="s">
        <v>40</v>
      </c>
      <c r="C153" s="424"/>
      <c r="E153" s="707" t="s">
        <v>111</v>
      </c>
      <c r="F153" s="708"/>
      <c r="G153" s="709"/>
      <c r="I153" s="707" t="s">
        <v>111</v>
      </c>
      <c r="J153" s="708"/>
      <c r="K153" s="708"/>
      <c r="L153" s="708"/>
      <c r="M153" s="708"/>
      <c r="N153" s="709"/>
    </row>
    <row r="154" spans="2:14" ht="16.5" thickBot="1" x14ac:dyDescent="0.3">
      <c r="B154" s="347" t="s">
        <v>41</v>
      </c>
      <c r="C154" s="348"/>
      <c r="E154" s="401" t="s">
        <v>111</v>
      </c>
      <c r="F154" s="402"/>
      <c r="G154" s="403"/>
      <c r="I154" s="998" t="s">
        <v>777</v>
      </c>
      <c r="J154" s="999"/>
      <c r="K154" s="999"/>
      <c r="L154" s="999"/>
      <c r="M154" s="999"/>
      <c r="N154" s="1000"/>
    </row>
    <row r="155" spans="2:14" ht="15.75" x14ac:dyDescent="0.25">
      <c r="B155" s="9"/>
      <c r="C155" s="9"/>
    </row>
    <row r="156" spans="2:14" ht="15.75" x14ac:dyDescent="0.25">
      <c r="B156" s="604" t="s">
        <v>2</v>
      </c>
      <c r="C156" s="604"/>
      <c r="E156" s="675" t="s">
        <v>759</v>
      </c>
      <c r="F156" s="675"/>
      <c r="G156" s="675"/>
      <c r="I156" s="675" t="s">
        <v>758</v>
      </c>
      <c r="J156" s="675"/>
      <c r="K156" s="675"/>
      <c r="L156" s="675"/>
      <c r="M156" s="675"/>
      <c r="N156" s="675"/>
    </row>
    <row r="157" spans="2:14" ht="15.75" thickBot="1" x14ac:dyDescent="0.3">
      <c r="B157" s="596"/>
      <c r="C157" s="596"/>
      <c r="E157" s="5"/>
      <c r="I157" s="5"/>
    </row>
    <row r="158" spans="2:14" ht="15.75" x14ac:dyDescent="0.25">
      <c r="B158" s="423" t="s">
        <v>23</v>
      </c>
      <c r="C158" s="424"/>
      <c r="E158" s="1004" t="s">
        <v>785</v>
      </c>
      <c r="F158" s="1005"/>
      <c r="G158" s="1006"/>
      <c r="I158" s="707" t="s">
        <v>111</v>
      </c>
      <c r="J158" s="708"/>
      <c r="K158" s="708"/>
      <c r="L158" s="708"/>
      <c r="M158" s="708"/>
      <c r="N158" s="709"/>
    </row>
    <row r="159" spans="2:14" ht="15.75" x14ac:dyDescent="0.25">
      <c r="B159" s="330" t="s">
        <v>24</v>
      </c>
      <c r="C159" s="331"/>
      <c r="E159" s="1007" t="s">
        <v>111</v>
      </c>
      <c r="F159" s="1008"/>
      <c r="G159" s="1009"/>
      <c r="I159" s="363" t="s">
        <v>111</v>
      </c>
      <c r="J159" s="364"/>
      <c r="K159" s="364"/>
      <c r="L159" s="364"/>
      <c r="M159" s="364"/>
      <c r="N159" s="365"/>
    </row>
    <row r="160" spans="2:14" ht="15.75" x14ac:dyDescent="0.25">
      <c r="B160" s="330" t="s">
        <v>25</v>
      </c>
      <c r="C160" s="331"/>
      <c r="E160" s="1007" t="s">
        <v>786</v>
      </c>
      <c r="F160" s="1008"/>
      <c r="G160" s="1009"/>
      <c r="I160" s="363" t="s">
        <v>111</v>
      </c>
      <c r="J160" s="364"/>
      <c r="K160" s="364"/>
      <c r="L160" s="364"/>
      <c r="M160" s="364"/>
      <c r="N160" s="365"/>
    </row>
    <row r="161" spans="2:14" ht="15.75" x14ac:dyDescent="0.25">
      <c r="B161" s="330" t="s">
        <v>26</v>
      </c>
      <c r="C161" s="331"/>
      <c r="E161" s="1007" t="s">
        <v>111</v>
      </c>
      <c r="F161" s="1008"/>
      <c r="G161" s="1009"/>
      <c r="I161" s="363" t="s">
        <v>111</v>
      </c>
      <c r="J161" s="364"/>
      <c r="K161" s="364"/>
      <c r="L161" s="364"/>
      <c r="M161" s="364"/>
      <c r="N161" s="365"/>
    </row>
    <row r="162" spans="2:14" ht="15.75" x14ac:dyDescent="0.25">
      <c r="B162" s="330" t="s">
        <v>27</v>
      </c>
      <c r="C162" s="331"/>
      <c r="E162" s="1007" t="s">
        <v>111</v>
      </c>
      <c r="F162" s="1008"/>
      <c r="G162" s="1009"/>
      <c r="I162" s="363" t="s">
        <v>111</v>
      </c>
      <c r="J162" s="364"/>
      <c r="K162" s="364"/>
      <c r="L162" s="364"/>
      <c r="M162" s="364"/>
      <c r="N162" s="365"/>
    </row>
    <row r="163" spans="2:14" ht="15.75" x14ac:dyDescent="0.25">
      <c r="B163" s="330" t="s">
        <v>28</v>
      </c>
      <c r="C163" s="331"/>
      <c r="E163" s="1007" t="s">
        <v>111</v>
      </c>
      <c r="F163" s="1008"/>
      <c r="G163" s="1009"/>
      <c r="I163" s="363" t="s">
        <v>111</v>
      </c>
      <c r="J163" s="364"/>
      <c r="K163" s="364"/>
      <c r="L163" s="364"/>
      <c r="M163" s="364"/>
      <c r="N163" s="365"/>
    </row>
    <row r="164" spans="2:14" ht="15.75" x14ac:dyDescent="0.25">
      <c r="B164" s="330" t="s">
        <v>29</v>
      </c>
      <c r="C164" s="331"/>
      <c r="E164" s="992" t="s">
        <v>111</v>
      </c>
      <c r="F164" s="993"/>
      <c r="G164" s="994"/>
      <c r="I164" s="363" t="s">
        <v>111</v>
      </c>
      <c r="J164" s="364"/>
      <c r="K164" s="364"/>
      <c r="L164" s="364"/>
      <c r="M164" s="364"/>
      <c r="N164" s="365"/>
    </row>
    <row r="165" spans="2:14" ht="16.5" thickBot="1" x14ac:dyDescent="0.3">
      <c r="B165" s="347" t="s">
        <v>30</v>
      </c>
      <c r="C165" s="348"/>
      <c r="E165" s="995" t="s">
        <v>760</v>
      </c>
      <c r="F165" s="996"/>
      <c r="G165" s="997"/>
      <c r="I165" s="401" t="s">
        <v>111</v>
      </c>
      <c r="J165" s="402"/>
      <c r="K165" s="402"/>
      <c r="L165" s="402"/>
      <c r="M165" s="402"/>
      <c r="N165" s="403"/>
    </row>
    <row r="167" spans="2:14" ht="15.75" x14ac:dyDescent="0.25">
      <c r="B167" s="623" t="s">
        <v>50</v>
      </c>
      <c r="C167" s="623"/>
      <c r="E167" s="661" t="s">
        <v>759</v>
      </c>
      <c r="F167" s="661"/>
      <c r="G167" s="661"/>
      <c r="I167" s="661" t="s">
        <v>758</v>
      </c>
      <c r="J167" s="661"/>
      <c r="K167" s="661"/>
      <c r="L167" s="661"/>
      <c r="M167" s="661"/>
      <c r="N167" s="661"/>
    </row>
    <row r="168" spans="2:14" ht="16.5" thickBot="1" x14ac:dyDescent="0.3">
      <c r="B168" s="9"/>
      <c r="C168" s="9"/>
    </row>
    <row r="169" spans="2:14" ht="15.75" x14ac:dyDescent="0.25">
      <c r="B169" s="423" t="s">
        <v>108</v>
      </c>
      <c r="C169" s="424"/>
      <c r="E169" s="1004" t="s">
        <v>777</v>
      </c>
      <c r="F169" s="1005"/>
      <c r="G169" s="1006"/>
      <c r="I169" s="707" t="s">
        <v>111</v>
      </c>
      <c r="J169" s="708"/>
      <c r="K169" s="708"/>
      <c r="L169" s="708"/>
      <c r="M169" s="708"/>
      <c r="N169" s="709"/>
    </row>
    <row r="170" spans="2:14" ht="16.5" thickBot="1" x14ac:dyDescent="0.3">
      <c r="B170" s="347" t="s">
        <v>109</v>
      </c>
      <c r="C170" s="348"/>
      <c r="E170" s="401" t="s">
        <v>111</v>
      </c>
      <c r="F170" s="402"/>
      <c r="G170" s="403"/>
      <c r="I170" s="401" t="s">
        <v>111</v>
      </c>
      <c r="J170" s="402"/>
      <c r="K170" s="402"/>
      <c r="L170" s="402"/>
      <c r="M170" s="402"/>
      <c r="N170" s="403"/>
    </row>
    <row r="172" spans="2:14" ht="15.75" x14ac:dyDescent="0.25">
      <c r="B172" s="601" t="s">
        <v>114</v>
      </c>
      <c r="C172" s="601"/>
      <c r="E172" s="632" t="s">
        <v>759</v>
      </c>
      <c r="F172" s="632"/>
      <c r="G172" s="632"/>
      <c r="I172" s="632" t="s">
        <v>758</v>
      </c>
      <c r="J172" s="632"/>
      <c r="K172" s="632"/>
      <c r="L172" s="632"/>
      <c r="M172" s="632"/>
      <c r="N172" s="632"/>
    </row>
    <row r="173" spans="2:14" ht="16.5" thickBot="1" x14ac:dyDescent="0.3">
      <c r="B173" s="9"/>
      <c r="C173" s="9"/>
    </row>
    <row r="174" spans="2:14" ht="16.5" thickBot="1" x14ac:dyDescent="0.3">
      <c r="B174" s="1010" t="s">
        <v>114</v>
      </c>
      <c r="C174" s="1011"/>
      <c r="E174" s="1001" t="s">
        <v>796</v>
      </c>
      <c r="F174" s="1002"/>
      <c r="G174" s="1003"/>
      <c r="I174" s="986" t="s">
        <v>111</v>
      </c>
      <c r="J174" s="987"/>
      <c r="K174" s="987"/>
      <c r="L174" s="987"/>
      <c r="M174" s="987"/>
      <c r="N174" s="988"/>
    </row>
    <row r="176" spans="2:14" ht="15.75" x14ac:dyDescent="0.25">
      <c r="B176" s="1095" t="s">
        <v>761</v>
      </c>
      <c r="C176" s="1095"/>
      <c r="E176" s="1096" t="s">
        <v>759</v>
      </c>
      <c r="F176" s="1096"/>
      <c r="G176" s="1096"/>
      <c r="I176" s="1096" t="s">
        <v>758</v>
      </c>
      <c r="J176" s="1096"/>
      <c r="K176" s="1096"/>
      <c r="L176" s="1096"/>
      <c r="M176" s="1096"/>
      <c r="N176" s="1096"/>
    </row>
    <row r="177" spans="2:14" ht="16.5" thickBot="1" x14ac:dyDescent="0.3">
      <c r="B177" s="9"/>
      <c r="C177" s="9"/>
    </row>
    <row r="178" spans="2:14" ht="15.75" thickBot="1" x14ac:dyDescent="0.3">
      <c r="B178" s="1097" t="s">
        <v>761</v>
      </c>
      <c r="C178" s="1098"/>
      <c r="E178" s="986" t="s">
        <v>111</v>
      </c>
      <c r="F178" s="987"/>
      <c r="G178" s="988"/>
      <c r="I178" s="1099" t="s">
        <v>760</v>
      </c>
      <c r="J178" s="1100"/>
      <c r="K178" s="1100"/>
      <c r="L178" s="1100"/>
      <c r="M178" s="1100"/>
      <c r="N178" s="1101"/>
    </row>
  </sheetData>
  <mergeCells count="788">
    <mergeCell ref="B176:C176"/>
    <mergeCell ref="E176:G176"/>
    <mergeCell ref="I176:N176"/>
    <mergeCell ref="B178:C178"/>
    <mergeCell ref="E178:G178"/>
    <mergeCell ref="I178:N178"/>
    <mergeCell ref="A124:AE124"/>
    <mergeCell ref="A7:AE7"/>
    <mergeCell ref="B16:C16"/>
    <mergeCell ref="E16:G16"/>
    <mergeCell ref="M16:O16"/>
    <mergeCell ref="U16:W16"/>
    <mergeCell ref="B11:C11"/>
    <mergeCell ref="E11:G11"/>
    <mergeCell ref="M11:O11"/>
    <mergeCell ref="U11:W11"/>
    <mergeCell ref="B12:C12"/>
    <mergeCell ref="B13:C13"/>
    <mergeCell ref="E13:G13"/>
    <mergeCell ref="M13:O13"/>
    <mergeCell ref="U13:W13"/>
    <mergeCell ref="B14:C14"/>
    <mergeCell ref="B15:C15"/>
    <mergeCell ref="E14:G14"/>
    <mergeCell ref="E15:G15"/>
    <mergeCell ref="M14:O14"/>
    <mergeCell ref="M15:O15"/>
    <mergeCell ref="U14:W14"/>
    <mergeCell ref="U15:W15"/>
    <mergeCell ref="I11:K11"/>
    <mergeCell ref="I13:K13"/>
    <mergeCell ref="B19:C19"/>
    <mergeCell ref="E19:G19"/>
    <mergeCell ref="M19:O19"/>
    <mergeCell ref="U19:W19"/>
    <mergeCell ref="Q11:S11"/>
    <mergeCell ref="Q13:S13"/>
    <mergeCell ref="Q14:S14"/>
    <mergeCell ref="Q15:S15"/>
    <mergeCell ref="Q16:S16"/>
    <mergeCell ref="I14:K14"/>
    <mergeCell ref="I15:K15"/>
    <mergeCell ref="I16:K16"/>
    <mergeCell ref="B21:C21"/>
    <mergeCell ref="E21:G21"/>
    <mergeCell ref="M21:O21"/>
    <mergeCell ref="U21:W21"/>
    <mergeCell ref="B17:C17"/>
    <mergeCell ref="E17:G17"/>
    <mergeCell ref="M17:O17"/>
    <mergeCell ref="U17:W17"/>
    <mergeCell ref="B18:C18"/>
    <mergeCell ref="E18:G18"/>
    <mergeCell ref="M18:O18"/>
    <mergeCell ref="U18:W18"/>
    <mergeCell ref="B20:C20"/>
    <mergeCell ref="E20:G20"/>
    <mergeCell ref="M20:O20"/>
    <mergeCell ref="U20:W20"/>
    <mergeCell ref="Q21:S21"/>
    <mergeCell ref="I17:K17"/>
    <mergeCell ref="I18:K18"/>
    <mergeCell ref="Q17:S17"/>
    <mergeCell ref="Q18:S18"/>
    <mergeCell ref="Q19:S19"/>
    <mergeCell ref="Q20:S20"/>
    <mergeCell ref="B24:C24"/>
    <mergeCell ref="E24:G24"/>
    <mergeCell ref="M24:O24"/>
    <mergeCell ref="U24:W24"/>
    <mergeCell ref="B25:C25"/>
    <mergeCell ref="B26:C26"/>
    <mergeCell ref="E26:G26"/>
    <mergeCell ref="M26:O26"/>
    <mergeCell ref="U26:W26"/>
    <mergeCell ref="I26:K26"/>
    <mergeCell ref="Q24:S24"/>
    <mergeCell ref="Q26:S26"/>
    <mergeCell ref="I24:K24"/>
    <mergeCell ref="B29:C29"/>
    <mergeCell ref="E29:G29"/>
    <mergeCell ref="M29:O29"/>
    <mergeCell ref="U29:W29"/>
    <mergeCell ref="B30:C30"/>
    <mergeCell ref="E30:G30"/>
    <mergeCell ref="M30:O30"/>
    <mergeCell ref="U30:W30"/>
    <mergeCell ref="B27:C27"/>
    <mergeCell ref="E27:G27"/>
    <mergeCell ref="M27:O27"/>
    <mergeCell ref="U27:W27"/>
    <mergeCell ref="B28:C28"/>
    <mergeCell ref="E28:G28"/>
    <mergeCell ref="M28:O28"/>
    <mergeCell ref="U28:W28"/>
    <mergeCell ref="I27:K27"/>
    <mergeCell ref="I28:K28"/>
    <mergeCell ref="I29:K29"/>
    <mergeCell ref="I30:K30"/>
    <mergeCell ref="Q27:S27"/>
    <mergeCell ref="Q28:S28"/>
    <mergeCell ref="Q29:S29"/>
    <mergeCell ref="Q30:S30"/>
    <mergeCell ref="B34:C34"/>
    <mergeCell ref="E34:G34"/>
    <mergeCell ref="M34:O34"/>
    <mergeCell ref="U34:W34"/>
    <mergeCell ref="B35:C35"/>
    <mergeCell ref="E35:G35"/>
    <mergeCell ref="M35:O35"/>
    <mergeCell ref="U35:W35"/>
    <mergeCell ref="B31:C31"/>
    <mergeCell ref="E31:G31"/>
    <mergeCell ref="M31:O31"/>
    <mergeCell ref="U31:W31"/>
    <mergeCell ref="B33:C33"/>
    <mergeCell ref="E33:G33"/>
    <mergeCell ref="M33:O33"/>
    <mergeCell ref="U33:W33"/>
    <mergeCell ref="I31:K31"/>
    <mergeCell ref="I33:K33"/>
    <mergeCell ref="I34:K34"/>
    <mergeCell ref="I35:K35"/>
    <mergeCell ref="Q31:S31"/>
    <mergeCell ref="Q33:S33"/>
    <mergeCell ref="Q34:S34"/>
    <mergeCell ref="Q35:S35"/>
    <mergeCell ref="B41:C41"/>
    <mergeCell ref="E41:G41"/>
    <mergeCell ref="M41:O41"/>
    <mergeCell ref="U41:W41"/>
    <mergeCell ref="B42:C42"/>
    <mergeCell ref="E42:G42"/>
    <mergeCell ref="M42:O42"/>
    <mergeCell ref="U42:W42"/>
    <mergeCell ref="B36:C36"/>
    <mergeCell ref="E36:G36"/>
    <mergeCell ref="M36:O36"/>
    <mergeCell ref="U36:W36"/>
    <mergeCell ref="B39:C39"/>
    <mergeCell ref="E39:G39"/>
    <mergeCell ref="M39:O39"/>
    <mergeCell ref="U39:W39"/>
    <mergeCell ref="I36:K36"/>
    <mergeCell ref="I39:K39"/>
    <mergeCell ref="I41:K41"/>
    <mergeCell ref="I42:K42"/>
    <mergeCell ref="Q36:S36"/>
    <mergeCell ref="Q39:S39"/>
    <mergeCell ref="Q41:S41"/>
    <mergeCell ref="Q42:S42"/>
    <mergeCell ref="B48:C48"/>
    <mergeCell ref="E48:G48"/>
    <mergeCell ref="M48:O48"/>
    <mergeCell ref="U48:W48"/>
    <mergeCell ref="B49:C49"/>
    <mergeCell ref="E49:G49"/>
    <mergeCell ref="M49:O49"/>
    <mergeCell ref="U49:W49"/>
    <mergeCell ref="B45:C45"/>
    <mergeCell ref="E45:G45"/>
    <mergeCell ref="M45:O45"/>
    <mergeCell ref="U45:W45"/>
    <mergeCell ref="B46:C46"/>
    <mergeCell ref="B47:C47"/>
    <mergeCell ref="E47:G47"/>
    <mergeCell ref="M47:O47"/>
    <mergeCell ref="U47:W47"/>
    <mergeCell ref="I45:K45"/>
    <mergeCell ref="I47:K47"/>
    <mergeCell ref="I48:K48"/>
    <mergeCell ref="I49:K49"/>
    <mergeCell ref="Q45:S45"/>
    <mergeCell ref="Q47:S47"/>
    <mergeCell ref="Q48:S48"/>
    <mergeCell ref="B52:C52"/>
    <mergeCell ref="E52:G52"/>
    <mergeCell ref="M52:O52"/>
    <mergeCell ref="U52:W52"/>
    <mergeCell ref="B53:C53"/>
    <mergeCell ref="E53:G53"/>
    <mergeCell ref="M53:O53"/>
    <mergeCell ref="U53:W53"/>
    <mergeCell ref="B50:C50"/>
    <mergeCell ref="E50:G50"/>
    <mergeCell ref="M50:O50"/>
    <mergeCell ref="U50:W50"/>
    <mergeCell ref="B51:C51"/>
    <mergeCell ref="E51:G51"/>
    <mergeCell ref="M51:O51"/>
    <mergeCell ref="U51:W51"/>
    <mergeCell ref="I50:K50"/>
    <mergeCell ref="I51:K51"/>
    <mergeCell ref="I52:K52"/>
    <mergeCell ref="I53:K53"/>
    <mergeCell ref="B54:C54"/>
    <mergeCell ref="E54:G54"/>
    <mergeCell ref="M54:O54"/>
    <mergeCell ref="U54:W54"/>
    <mergeCell ref="B57:C57"/>
    <mergeCell ref="E57:G57"/>
    <mergeCell ref="M57:O57"/>
    <mergeCell ref="U57:W57"/>
    <mergeCell ref="I54:K54"/>
    <mergeCell ref="I57:K57"/>
    <mergeCell ref="Q57:S57"/>
    <mergeCell ref="B62:C62"/>
    <mergeCell ref="E62:G62"/>
    <mergeCell ref="M62:O62"/>
    <mergeCell ref="U62:W62"/>
    <mergeCell ref="I62:K62"/>
    <mergeCell ref="Q62:S62"/>
    <mergeCell ref="B59:C59"/>
    <mergeCell ref="E59:G59"/>
    <mergeCell ref="M59:O59"/>
    <mergeCell ref="U59:W59"/>
    <mergeCell ref="B60:C60"/>
    <mergeCell ref="E60:G60"/>
    <mergeCell ref="M60:O60"/>
    <mergeCell ref="U60:W60"/>
    <mergeCell ref="I59:K59"/>
    <mergeCell ref="I60:K60"/>
    <mergeCell ref="Q59:S59"/>
    <mergeCell ref="Q60:S60"/>
    <mergeCell ref="Q49:S49"/>
    <mergeCell ref="Q50:S50"/>
    <mergeCell ref="Q51:S51"/>
    <mergeCell ref="Q52:S52"/>
    <mergeCell ref="Q53:S53"/>
    <mergeCell ref="Q54:S54"/>
    <mergeCell ref="I19:K19"/>
    <mergeCell ref="I20:K20"/>
    <mergeCell ref="I21:K21"/>
    <mergeCell ref="Y11:AA11"/>
    <mergeCell ref="Y13:AA13"/>
    <mergeCell ref="Y14:AA14"/>
    <mergeCell ref="Y15:AA15"/>
    <mergeCell ref="Y16:AA16"/>
    <mergeCell ref="Y17:AA17"/>
    <mergeCell ref="Y18:AA18"/>
    <mergeCell ref="Y19:AA19"/>
    <mergeCell ref="Y20:AA20"/>
    <mergeCell ref="Y21:AA21"/>
    <mergeCell ref="Y24:AA24"/>
    <mergeCell ref="Y26:AA26"/>
    <mergeCell ref="Y27:AA27"/>
    <mergeCell ref="Y28:AA28"/>
    <mergeCell ref="Y29:AA29"/>
    <mergeCell ref="Y30:AA30"/>
    <mergeCell ref="Y31:AA31"/>
    <mergeCell ref="Y33:AA33"/>
    <mergeCell ref="Y53:AA53"/>
    <mergeCell ref="Y54:AA54"/>
    <mergeCell ref="Y57:AA57"/>
    <mergeCell ref="Y59:AA59"/>
    <mergeCell ref="Y60:AA60"/>
    <mergeCell ref="Y34:AA34"/>
    <mergeCell ref="Y35:AA35"/>
    <mergeCell ref="Y36:AA36"/>
    <mergeCell ref="Y39:AA39"/>
    <mergeCell ref="Y41:AA41"/>
    <mergeCell ref="Y42:AA42"/>
    <mergeCell ref="Y45:AA45"/>
    <mergeCell ref="Y47:AA47"/>
    <mergeCell ref="Y48:AA48"/>
    <mergeCell ref="AC31:AE31"/>
    <mergeCell ref="AC33:AE33"/>
    <mergeCell ref="AC34:AE34"/>
    <mergeCell ref="AC35:AE35"/>
    <mergeCell ref="AC36:AE36"/>
    <mergeCell ref="Y49:AA49"/>
    <mergeCell ref="Y50:AA50"/>
    <mergeCell ref="Y51:AA51"/>
    <mergeCell ref="Y52:AA52"/>
    <mergeCell ref="AC52:AE52"/>
    <mergeCell ref="AC41:AE41"/>
    <mergeCell ref="AC42:AE42"/>
    <mergeCell ref="AC45:AE45"/>
    <mergeCell ref="AC47:AE47"/>
    <mergeCell ref="AC48:AE48"/>
    <mergeCell ref="AC49:AE49"/>
    <mergeCell ref="AC50:AE50"/>
    <mergeCell ref="AC51:AE51"/>
    <mergeCell ref="AC53:AE53"/>
    <mergeCell ref="AC54:AE54"/>
    <mergeCell ref="AC57:AE57"/>
    <mergeCell ref="AC59:AE59"/>
    <mergeCell ref="AC60:AE60"/>
    <mergeCell ref="AC62:AE62"/>
    <mergeCell ref="Y62:AA62"/>
    <mergeCell ref="AC11:AE11"/>
    <mergeCell ref="AC13:AE13"/>
    <mergeCell ref="AC14:AE14"/>
    <mergeCell ref="AC15:AE15"/>
    <mergeCell ref="AC16:AE16"/>
    <mergeCell ref="AC17:AE17"/>
    <mergeCell ref="AC18:AE18"/>
    <mergeCell ref="AC19:AE19"/>
    <mergeCell ref="AC20:AE20"/>
    <mergeCell ref="AC21:AE21"/>
    <mergeCell ref="AC24:AE24"/>
    <mergeCell ref="AC26:AE26"/>
    <mergeCell ref="AC27:AE27"/>
    <mergeCell ref="AC28:AE28"/>
    <mergeCell ref="AC29:AE29"/>
    <mergeCell ref="AC30:AE30"/>
    <mergeCell ref="AC39:AE39"/>
    <mergeCell ref="B64:C64"/>
    <mergeCell ref="B66:F66"/>
    <mergeCell ref="I64:K64"/>
    <mergeCell ref="E64:G64"/>
    <mergeCell ref="AC64:AE64"/>
    <mergeCell ref="Y64:AA64"/>
    <mergeCell ref="U64:W64"/>
    <mergeCell ref="Q64:S64"/>
    <mergeCell ref="M64:O64"/>
    <mergeCell ref="I66:K66"/>
    <mergeCell ref="B70:C70"/>
    <mergeCell ref="E70:G70"/>
    <mergeCell ref="I70:K70"/>
    <mergeCell ref="M70:O70"/>
    <mergeCell ref="Q70:S70"/>
    <mergeCell ref="U70:W70"/>
    <mergeCell ref="Y70:AA70"/>
    <mergeCell ref="AC70:AE70"/>
    <mergeCell ref="B71:C71"/>
    <mergeCell ref="B72:C72"/>
    <mergeCell ref="E72:G72"/>
    <mergeCell ref="I72:K72"/>
    <mergeCell ref="M72:O72"/>
    <mergeCell ref="Q72:S72"/>
    <mergeCell ref="U72:W72"/>
    <mergeCell ref="Y72:AA72"/>
    <mergeCell ref="AC72:AE72"/>
    <mergeCell ref="B73:C73"/>
    <mergeCell ref="E73:G73"/>
    <mergeCell ref="I73:K73"/>
    <mergeCell ref="M73:O73"/>
    <mergeCell ref="Q73:S73"/>
    <mergeCell ref="U73:W73"/>
    <mergeCell ref="Y73:AA73"/>
    <mergeCell ref="AC73:AE73"/>
    <mergeCell ref="B74:C74"/>
    <mergeCell ref="E74:G74"/>
    <mergeCell ref="I74:K74"/>
    <mergeCell ref="M74:O74"/>
    <mergeCell ref="Q74:S74"/>
    <mergeCell ref="U74:W74"/>
    <mergeCell ref="Y74:AA74"/>
    <mergeCell ref="AC74:AE74"/>
    <mergeCell ref="B75:C75"/>
    <mergeCell ref="E75:G75"/>
    <mergeCell ref="I75:K75"/>
    <mergeCell ref="M75:O75"/>
    <mergeCell ref="Q75:S75"/>
    <mergeCell ref="U75:W75"/>
    <mergeCell ref="Y75:AA75"/>
    <mergeCell ref="AC75:AE75"/>
    <mergeCell ref="B76:C76"/>
    <mergeCell ref="E76:G76"/>
    <mergeCell ref="I76:K76"/>
    <mergeCell ref="M76:O76"/>
    <mergeCell ref="Q76:S76"/>
    <mergeCell ref="U76:W76"/>
    <mergeCell ref="Y76:AA76"/>
    <mergeCell ref="AC76:AE76"/>
    <mergeCell ref="B77:C77"/>
    <mergeCell ref="E77:G77"/>
    <mergeCell ref="I77:K77"/>
    <mergeCell ref="M77:O77"/>
    <mergeCell ref="Q77:S77"/>
    <mergeCell ref="U77:W77"/>
    <mergeCell ref="Y77:AA77"/>
    <mergeCell ref="AC77:AE77"/>
    <mergeCell ref="B78:C78"/>
    <mergeCell ref="E78:G78"/>
    <mergeCell ref="I78:K78"/>
    <mergeCell ref="M78:O78"/>
    <mergeCell ref="Q78:S78"/>
    <mergeCell ref="U78:W78"/>
    <mergeCell ref="Y78:AA78"/>
    <mergeCell ref="AC78:AE78"/>
    <mergeCell ref="B79:C79"/>
    <mergeCell ref="E79:G79"/>
    <mergeCell ref="I79:K79"/>
    <mergeCell ref="M79:O79"/>
    <mergeCell ref="Q79:S79"/>
    <mergeCell ref="U79:W79"/>
    <mergeCell ref="Y79:AA79"/>
    <mergeCell ref="AC79:AE79"/>
    <mergeCell ref="B80:C80"/>
    <mergeCell ref="E80:G80"/>
    <mergeCell ref="I80:K80"/>
    <mergeCell ref="M80:O80"/>
    <mergeCell ref="Q80:S80"/>
    <mergeCell ref="U80:W80"/>
    <mergeCell ref="Y80:AA80"/>
    <mergeCell ref="AC80:AE80"/>
    <mergeCell ref="B83:C83"/>
    <mergeCell ref="E83:G83"/>
    <mergeCell ref="I83:K83"/>
    <mergeCell ref="M83:O83"/>
    <mergeCell ref="Q83:S83"/>
    <mergeCell ref="U83:W83"/>
    <mergeCell ref="Y83:AA83"/>
    <mergeCell ref="AC83:AE83"/>
    <mergeCell ref="B84:C84"/>
    <mergeCell ref="B85:C85"/>
    <mergeCell ref="E85:G85"/>
    <mergeCell ref="I85:K85"/>
    <mergeCell ref="M85:O85"/>
    <mergeCell ref="Q85:S85"/>
    <mergeCell ref="U85:W85"/>
    <mergeCell ref="Y85:AA85"/>
    <mergeCell ref="AC85:AE85"/>
    <mergeCell ref="B86:C86"/>
    <mergeCell ref="E86:G86"/>
    <mergeCell ref="I86:K86"/>
    <mergeCell ref="M86:O86"/>
    <mergeCell ref="Q86:S86"/>
    <mergeCell ref="U86:W86"/>
    <mergeCell ref="Y86:AA86"/>
    <mergeCell ref="AC86:AE86"/>
    <mergeCell ref="B87:C87"/>
    <mergeCell ref="E87:G87"/>
    <mergeCell ref="I87:K87"/>
    <mergeCell ref="M87:O87"/>
    <mergeCell ref="Q87:S87"/>
    <mergeCell ref="U87:W87"/>
    <mergeCell ref="Y87:AA87"/>
    <mergeCell ref="AC87:AE87"/>
    <mergeCell ref="B88:C88"/>
    <mergeCell ref="E88:G88"/>
    <mergeCell ref="I88:K88"/>
    <mergeCell ref="M88:O88"/>
    <mergeCell ref="Q88:S88"/>
    <mergeCell ref="U88:W88"/>
    <mergeCell ref="Y88:AA88"/>
    <mergeCell ref="AC88:AE88"/>
    <mergeCell ref="B89:C89"/>
    <mergeCell ref="E89:G89"/>
    <mergeCell ref="I89:K89"/>
    <mergeCell ref="M89:O89"/>
    <mergeCell ref="Q89:S89"/>
    <mergeCell ref="U89:W89"/>
    <mergeCell ref="Y89:AA89"/>
    <mergeCell ref="AC89:AE89"/>
    <mergeCell ref="B90:C90"/>
    <mergeCell ref="E90:G90"/>
    <mergeCell ref="I90:K90"/>
    <mergeCell ref="M90:O90"/>
    <mergeCell ref="Q90:S90"/>
    <mergeCell ref="U90:W90"/>
    <mergeCell ref="Y90:AA90"/>
    <mergeCell ref="AC90:AE90"/>
    <mergeCell ref="B91:C91"/>
    <mergeCell ref="E91:G91"/>
    <mergeCell ref="I91:K91"/>
    <mergeCell ref="M91:O91"/>
    <mergeCell ref="Q91:S91"/>
    <mergeCell ref="U91:W91"/>
    <mergeCell ref="Y91:AA91"/>
    <mergeCell ref="AC91:AE91"/>
    <mergeCell ref="B92:C92"/>
    <mergeCell ref="E92:G92"/>
    <mergeCell ref="I92:K92"/>
    <mergeCell ref="M92:O92"/>
    <mergeCell ref="Q92:S92"/>
    <mergeCell ref="U92:W92"/>
    <mergeCell ref="Y92:AA92"/>
    <mergeCell ref="AC92:AE92"/>
    <mergeCell ref="B93:C93"/>
    <mergeCell ref="E93:G93"/>
    <mergeCell ref="I93:K93"/>
    <mergeCell ref="M93:O93"/>
    <mergeCell ref="Q93:S93"/>
    <mergeCell ref="U93:W93"/>
    <mergeCell ref="Y93:AA93"/>
    <mergeCell ref="AC93:AE93"/>
    <mergeCell ref="B94:C94"/>
    <mergeCell ref="E94:G94"/>
    <mergeCell ref="I94:K94"/>
    <mergeCell ref="M94:O94"/>
    <mergeCell ref="Q94:S94"/>
    <mergeCell ref="U94:W94"/>
    <mergeCell ref="Y94:AA94"/>
    <mergeCell ref="AC94:AE94"/>
    <mergeCell ref="B97:C97"/>
    <mergeCell ref="E97:G97"/>
    <mergeCell ref="I97:K97"/>
    <mergeCell ref="M97:O97"/>
    <mergeCell ref="Q97:S97"/>
    <mergeCell ref="U97:W97"/>
    <mergeCell ref="Y97:AA97"/>
    <mergeCell ref="AC97:AE97"/>
    <mergeCell ref="B99:C99"/>
    <mergeCell ref="E99:G99"/>
    <mergeCell ref="I99:K99"/>
    <mergeCell ref="M99:O99"/>
    <mergeCell ref="Q99:S99"/>
    <mergeCell ref="U99:W99"/>
    <mergeCell ref="Y99:AA99"/>
    <mergeCell ref="AC99:AE99"/>
    <mergeCell ref="B100:C100"/>
    <mergeCell ref="E100:G100"/>
    <mergeCell ref="I100:K100"/>
    <mergeCell ref="M100:O100"/>
    <mergeCell ref="Q100:S100"/>
    <mergeCell ref="U100:W100"/>
    <mergeCell ref="Y100:AA100"/>
    <mergeCell ref="AC100:AE100"/>
    <mergeCell ref="B103:C103"/>
    <mergeCell ref="E103:G103"/>
    <mergeCell ref="I103:K103"/>
    <mergeCell ref="M103:O103"/>
    <mergeCell ref="Q103:S103"/>
    <mergeCell ref="U103:W103"/>
    <mergeCell ref="Y103:AA103"/>
    <mergeCell ref="AC103:AE103"/>
    <mergeCell ref="B104:C104"/>
    <mergeCell ref="B105:C105"/>
    <mergeCell ref="E105:G105"/>
    <mergeCell ref="I105:K105"/>
    <mergeCell ref="M105:O105"/>
    <mergeCell ref="Q105:S105"/>
    <mergeCell ref="U105:W105"/>
    <mergeCell ref="Y105:AA105"/>
    <mergeCell ref="AC105:AE105"/>
    <mergeCell ref="B106:C106"/>
    <mergeCell ref="E106:G106"/>
    <mergeCell ref="I106:K106"/>
    <mergeCell ref="M106:O106"/>
    <mergeCell ref="Q106:S106"/>
    <mergeCell ref="U106:W106"/>
    <mergeCell ref="Y106:AA106"/>
    <mergeCell ref="AC106:AE106"/>
    <mergeCell ref="B107:C107"/>
    <mergeCell ref="E107:G107"/>
    <mergeCell ref="I107:K107"/>
    <mergeCell ref="M107:O107"/>
    <mergeCell ref="Q107:S107"/>
    <mergeCell ref="U107:W107"/>
    <mergeCell ref="Y107:AA107"/>
    <mergeCell ref="AC107:AE107"/>
    <mergeCell ref="B108:C108"/>
    <mergeCell ref="E108:G108"/>
    <mergeCell ref="I108:K108"/>
    <mergeCell ref="M108:O108"/>
    <mergeCell ref="Q108:S108"/>
    <mergeCell ref="U108:W108"/>
    <mergeCell ref="Y108:AA108"/>
    <mergeCell ref="AC108:AE108"/>
    <mergeCell ref="B109:C109"/>
    <mergeCell ref="E109:G109"/>
    <mergeCell ref="I109:K109"/>
    <mergeCell ref="M109:O109"/>
    <mergeCell ref="Q109:S109"/>
    <mergeCell ref="U109:W109"/>
    <mergeCell ref="Y109:AA109"/>
    <mergeCell ref="AC109:AE109"/>
    <mergeCell ref="B110:C110"/>
    <mergeCell ref="E110:G110"/>
    <mergeCell ref="I110:K110"/>
    <mergeCell ref="M110:O110"/>
    <mergeCell ref="Q110:S110"/>
    <mergeCell ref="U110:W110"/>
    <mergeCell ref="Y110:AA110"/>
    <mergeCell ref="AC110:AE110"/>
    <mergeCell ref="B111:C111"/>
    <mergeCell ref="E111:G111"/>
    <mergeCell ref="I111:K111"/>
    <mergeCell ref="M111:O111"/>
    <mergeCell ref="Q111:S111"/>
    <mergeCell ref="U111:W111"/>
    <mergeCell ref="Y111:AA111"/>
    <mergeCell ref="AC111:AE111"/>
    <mergeCell ref="B112:C112"/>
    <mergeCell ref="E112:G112"/>
    <mergeCell ref="I112:K112"/>
    <mergeCell ref="M112:O112"/>
    <mergeCell ref="Q112:S112"/>
    <mergeCell ref="U112:W112"/>
    <mergeCell ref="Y112:AA112"/>
    <mergeCell ref="AC112:AE112"/>
    <mergeCell ref="AC120:AE120"/>
    <mergeCell ref="B115:C115"/>
    <mergeCell ref="E115:G115"/>
    <mergeCell ref="I115:K115"/>
    <mergeCell ref="M115:O115"/>
    <mergeCell ref="Q115:S115"/>
    <mergeCell ref="U115:W115"/>
    <mergeCell ref="Y115:AA115"/>
    <mergeCell ref="AC115:AE115"/>
    <mergeCell ref="B117:C117"/>
    <mergeCell ref="E117:G117"/>
    <mergeCell ref="I117:K117"/>
    <mergeCell ref="M117:O117"/>
    <mergeCell ref="Q117:S117"/>
    <mergeCell ref="U117:W117"/>
    <mergeCell ref="Y117:AA117"/>
    <mergeCell ref="AC117:AE117"/>
    <mergeCell ref="A68:AE68"/>
    <mergeCell ref="B122:C122"/>
    <mergeCell ref="E122:G122"/>
    <mergeCell ref="I122:K122"/>
    <mergeCell ref="M122:O122"/>
    <mergeCell ref="Q122:S122"/>
    <mergeCell ref="U122:W122"/>
    <mergeCell ref="Y122:AA122"/>
    <mergeCell ref="AC122:AE122"/>
    <mergeCell ref="B118:C118"/>
    <mergeCell ref="E118:G118"/>
    <mergeCell ref="I118:K118"/>
    <mergeCell ref="M118:O118"/>
    <mergeCell ref="Q118:S118"/>
    <mergeCell ref="U118:W118"/>
    <mergeCell ref="Y118:AA118"/>
    <mergeCell ref="AC118:AE118"/>
    <mergeCell ref="B120:C120"/>
    <mergeCell ref="E120:G120"/>
    <mergeCell ref="I120:K120"/>
    <mergeCell ref="M120:O120"/>
    <mergeCell ref="Q120:S120"/>
    <mergeCell ref="U120:W120"/>
    <mergeCell ref="Y120:AA120"/>
    <mergeCell ref="AG70:AI70"/>
    <mergeCell ref="AG72:AI72"/>
    <mergeCell ref="AG73:AI73"/>
    <mergeCell ref="AG74:AI74"/>
    <mergeCell ref="AG75:AI75"/>
    <mergeCell ref="AG76:AI76"/>
    <mergeCell ref="AG77:AI77"/>
    <mergeCell ref="AG78:AI78"/>
    <mergeCell ref="AG79:AI79"/>
    <mergeCell ref="AG80:AI80"/>
    <mergeCell ref="AG83:AI83"/>
    <mergeCell ref="AG85:AI85"/>
    <mergeCell ref="AG86:AI86"/>
    <mergeCell ref="AG87:AI87"/>
    <mergeCell ref="AG88:AI88"/>
    <mergeCell ref="AG89:AI89"/>
    <mergeCell ref="AG90:AI90"/>
    <mergeCell ref="AG91:AI91"/>
    <mergeCell ref="AG92:AI92"/>
    <mergeCell ref="AG93:AI93"/>
    <mergeCell ref="AG94:AI94"/>
    <mergeCell ref="AG97:AI97"/>
    <mergeCell ref="AG99:AI99"/>
    <mergeCell ref="AG100:AI100"/>
    <mergeCell ref="AG103:AI103"/>
    <mergeCell ref="AG105:AI105"/>
    <mergeCell ref="AG106:AI106"/>
    <mergeCell ref="AG120:AI120"/>
    <mergeCell ref="AG122:AI122"/>
    <mergeCell ref="AG107:AI107"/>
    <mergeCell ref="AG108:AI108"/>
    <mergeCell ref="AG109:AI109"/>
    <mergeCell ref="AG110:AI110"/>
    <mergeCell ref="AG111:AI111"/>
    <mergeCell ref="AG112:AI112"/>
    <mergeCell ref="AG115:AI115"/>
    <mergeCell ref="AG117:AI117"/>
    <mergeCell ref="AG118:AI118"/>
    <mergeCell ref="B126:C126"/>
    <mergeCell ref="B127:C127"/>
    <mergeCell ref="B128:C128"/>
    <mergeCell ref="B129:C129"/>
    <mergeCell ref="B130:C130"/>
    <mergeCell ref="B131:C131"/>
    <mergeCell ref="B132:C132"/>
    <mergeCell ref="B133:C133"/>
    <mergeCell ref="B134:C134"/>
    <mergeCell ref="B135:C135"/>
    <mergeCell ref="B136:C136"/>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1:C151"/>
    <mergeCell ref="B153:C153"/>
    <mergeCell ref="B154:C154"/>
    <mergeCell ref="B156:C156"/>
    <mergeCell ref="B157:C157"/>
    <mergeCell ref="B158:C158"/>
    <mergeCell ref="B159:C159"/>
    <mergeCell ref="B160:C160"/>
    <mergeCell ref="B161:C161"/>
    <mergeCell ref="B162:C162"/>
    <mergeCell ref="B163:C163"/>
    <mergeCell ref="B164:C164"/>
    <mergeCell ref="B165:C165"/>
    <mergeCell ref="B167:C167"/>
    <mergeCell ref="B169:C169"/>
    <mergeCell ref="B170:C170"/>
    <mergeCell ref="B172:C172"/>
    <mergeCell ref="B174:C174"/>
    <mergeCell ref="E126:G126"/>
    <mergeCell ref="E128:G128"/>
    <mergeCell ref="E129:G129"/>
    <mergeCell ref="E130:G130"/>
    <mergeCell ref="E131:G131"/>
    <mergeCell ref="E132:G132"/>
    <mergeCell ref="E133:G133"/>
    <mergeCell ref="E134:G134"/>
    <mergeCell ref="E135:G135"/>
    <mergeCell ref="E136:G136"/>
    <mergeCell ref="E138:G138"/>
    <mergeCell ref="E141:G141"/>
    <mergeCell ref="E142:G142"/>
    <mergeCell ref="E143:G143"/>
    <mergeCell ref="E144:G144"/>
    <mergeCell ref="E145:G145"/>
    <mergeCell ref="E146:G146"/>
    <mergeCell ref="E147:G147"/>
    <mergeCell ref="E148:G148"/>
    <mergeCell ref="E174:G174"/>
    <mergeCell ref="E140:G140"/>
    <mergeCell ref="E151:G151"/>
    <mergeCell ref="E156:G156"/>
    <mergeCell ref="E158:G158"/>
    <mergeCell ref="E159:G159"/>
    <mergeCell ref="E160:G160"/>
    <mergeCell ref="E161:G161"/>
    <mergeCell ref="E162:G162"/>
    <mergeCell ref="E163:G163"/>
    <mergeCell ref="E164:G164"/>
    <mergeCell ref="E165:G165"/>
    <mergeCell ref="E167:G167"/>
    <mergeCell ref="E169:G169"/>
    <mergeCell ref="E170:G170"/>
    <mergeCell ref="E172:G172"/>
    <mergeCell ref="E149:G149"/>
    <mergeCell ref="E153:G153"/>
    <mergeCell ref="E154:G154"/>
    <mergeCell ref="I170:N170"/>
    <mergeCell ref="I147:N147"/>
    <mergeCell ref="I148:N148"/>
    <mergeCell ref="I149:N149"/>
    <mergeCell ref="I153:N153"/>
    <mergeCell ref="I154:N154"/>
    <mergeCell ref="I158:N158"/>
    <mergeCell ref="I159:N159"/>
    <mergeCell ref="I146:N146"/>
    <mergeCell ref="I162:N162"/>
    <mergeCell ref="I163:N163"/>
    <mergeCell ref="I164:N164"/>
    <mergeCell ref="I165:N165"/>
    <mergeCell ref="I140:N140"/>
    <mergeCell ref="I141:N141"/>
    <mergeCell ref="I142:N142"/>
    <mergeCell ref="I143:N143"/>
    <mergeCell ref="I144:N144"/>
    <mergeCell ref="I145:N145"/>
    <mergeCell ref="I160:N160"/>
    <mergeCell ref="I161:N161"/>
    <mergeCell ref="I169:N169"/>
    <mergeCell ref="B32:C32"/>
    <mergeCell ref="E32:G32"/>
    <mergeCell ref="I32:K32"/>
    <mergeCell ref="M32:O32"/>
    <mergeCell ref="Q32:S32"/>
    <mergeCell ref="U32:W32"/>
    <mergeCell ref="Y32:AA32"/>
    <mergeCell ref="AC32:AE32"/>
    <mergeCell ref="I174:N174"/>
    <mergeCell ref="I126:N126"/>
    <mergeCell ref="I128:N128"/>
    <mergeCell ref="I129:N129"/>
    <mergeCell ref="I130:N130"/>
    <mergeCell ref="I131:N131"/>
    <mergeCell ref="I132:N132"/>
    <mergeCell ref="I133:N133"/>
    <mergeCell ref="I134:N134"/>
    <mergeCell ref="I135:N135"/>
    <mergeCell ref="I136:N136"/>
    <mergeCell ref="I138:N138"/>
    <mergeCell ref="I172:N172"/>
    <mergeCell ref="I167:N167"/>
    <mergeCell ref="I156:N156"/>
    <mergeCell ref="I151:N151"/>
  </mergeCells>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499984740745262"/>
  </sheetPr>
  <dimension ref="A1:BK107"/>
  <sheetViews>
    <sheetView workbookViewId="0">
      <pane ySplit="6" topLeftCell="A16" activePane="bottomLeft" state="frozen"/>
      <selection pane="bottomLeft" activeCell="B64" sqref="B64:C64"/>
    </sheetView>
  </sheetViews>
  <sheetFormatPr defaultColWidth="9.140625" defaultRowHeight="15" x14ac:dyDescent="0.25"/>
  <cols>
    <col min="1" max="1" width="1.7109375" style="1" customWidth="1"/>
    <col min="2" max="3" width="9.140625" style="1"/>
    <col min="4" max="4" width="1.7109375" style="1" customWidth="1"/>
    <col min="5" max="7" width="9.140625" style="1"/>
    <col min="8" max="8" width="1.7109375" style="1" customWidth="1"/>
    <col min="9" max="10" width="9.140625" style="1"/>
    <col min="11" max="11" width="12.140625" style="1" customWidth="1"/>
    <col min="12" max="12" width="1.7109375" style="1" customWidth="1"/>
    <col min="13" max="15" width="9.140625" style="1"/>
    <col min="16" max="16" width="1.7109375" style="1" customWidth="1"/>
    <col min="17" max="19" width="9.140625" style="1"/>
    <col min="20" max="20" width="1.7109375" style="1" customWidth="1"/>
    <col min="21" max="16384" width="9.140625" style="1"/>
  </cols>
  <sheetData>
    <row r="1" spans="1:23" s="150" customFormat="1" x14ac:dyDescent="0.25"/>
    <row r="2" spans="1:23" s="150" customFormat="1" x14ac:dyDescent="0.25"/>
    <row r="3" spans="1:23" s="150" customFormat="1" x14ac:dyDescent="0.25"/>
    <row r="4" spans="1:23" s="150" customFormat="1" x14ac:dyDescent="0.25"/>
    <row r="5" spans="1:23" s="150" customFormat="1" x14ac:dyDescent="0.25"/>
    <row r="6" spans="1:23" s="150" customFormat="1" x14ac:dyDescent="0.25"/>
    <row r="7" spans="1:23" s="150" customFormat="1" ht="21" customHeight="1" x14ac:dyDescent="0.25">
      <c r="A7" s="582" t="s">
        <v>846</v>
      </c>
      <c r="B7" s="582"/>
      <c r="C7" s="582"/>
      <c r="D7" s="582"/>
      <c r="E7" s="582"/>
      <c r="F7" s="582"/>
      <c r="G7" s="582"/>
      <c r="H7" s="582"/>
      <c r="I7" s="582"/>
      <c r="J7" s="582"/>
      <c r="K7" s="582"/>
      <c r="L7" s="582"/>
      <c r="M7" s="582"/>
      <c r="N7" s="582"/>
      <c r="O7" s="582"/>
      <c r="P7" s="582"/>
      <c r="Q7" s="582"/>
      <c r="R7" s="582"/>
      <c r="S7" s="582"/>
      <c r="T7" s="582"/>
      <c r="U7" s="582"/>
      <c r="V7" s="582"/>
      <c r="W7" s="582"/>
    </row>
    <row r="8" spans="1:23" s="150" customFormat="1" x14ac:dyDescent="0.25"/>
    <row r="9" spans="1:23" s="150" customFormat="1" x14ac:dyDescent="0.25"/>
    <row r="10" spans="1:23" s="150" customFormat="1" x14ac:dyDescent="0.25"/>
    <row r="11" spans="1:23" ht="15.75" x14ac:dyDescent="0.25">
      <c r="B11" s="595" t="s">
        <v>0</v>
      </c>
      <c r="C11" s="595"/>
      <c r="D11" s="6"/>
      <c r="E11" s="691" t="s">
        <v>541</v>
      </c>
      <c r="F11" s="691"/>
      <c r="G11" s="691"/>
      <c r="H11" s="7"/>
      <c r="I11" s="691" t="s">
        <v>541</v>
      </c>
      <c r="J11" s="691"/>
      <c r="K11" s="691"/>
      <c r="L11" s="2"/>
      <c r="M11" s="691" t="s">
        <v>541</v>
      </c>
      <c r="N11" s="691"/>
      <c r="O11" s="691"/>
      <c r="P11" s="4"/>
      <c r="Q11" s="691" t="s">
        <v>541</v>
      </c>
      <c r="R11" s="691"/>
      <c r="S11" s="691"/>
      <c r="U11" s="691" t="s">
        <v>541</v>
      </c>
      <c r="V11" s="691"/>
      <c r="W11" s="691"/>
    </row>
    <row r="12" spans="1:23" ht="15.75" thickBot="1" x14ac:dyDescent="0.3">
      <c r="B12" s="596"/>
      <c r="C12" s="596"/>
      <c r="D12" s="5"/>
    </row>
    <row r="13" spans="1:23" ht="15.75" x14ac:dyDescent="0.25">
      <c r="B13" s="389" t="s">
        <v>112</v>
      </c>
      <c r="C13" s="390"/>
      <c r="D13" s="5"/>
      <c r="E13" s="1108"/>
      <c r="F13" s="1109"/>
      <c r="G13" s="1110"/>
      <c r="H13" s="4"/>
      <c r="I13" s="1108"/>
      <c r="J13" s="1109"/>
      <c r="K13" s="1110"/>
      <c r="L13" s="3"/>
      <c r="M13" s="1108"/>
      <c r="N13" s="1109"/>
      <c r="O13" s="1110"/>
      <c r="P13" s="8"/>
      <c r="Q13" s="1108"/>
      <c r="R13" s="1109"/>
      <c r="S13" s="1110"/>
      <c r="U13" s="1108"/>
      <c r="V13" s="1109"/>
      <c r="W13" s="1110"/>
    </row>
    <row r="14" spans="1:23" ht="15.75" x14ac:dyDescent="0.25">
      <c r="B14" s="239" t="s">
        <v>4</v>
      </c>
      <c r="C14" s="240"/>
      <c r="D14" s="5"/>
      <c r="E14" s="1102"/>
      <c r="F14" s="1103"/>
      <c r="G14" s="1104"/>
      <c r="H14" s="4"/>
      <c r="I14" s="1102"/>
      <c r="J14" s="1103"/>
      <c r="K14" s="1104"/>
      <c r="L14" s="3"/>
      <c r="M14" s="1102"/>
      <c r="N14" s="1103"/>
      <c r="O14" s="1104"/>
      <c r="P14" s="8"/>
      <c r="Q14" s="1102"/>
      <c r="R14" s="1103"/>
      <c r="S14" s="1104"/>
      <c r="U14" s="1102"/>
      <c r="V14" s="1103"/>
      <c r="W14" s="1104"/>
    </row>
    <row r="15" spans="1:23" ht="15.75" x14ac:dyDescent="0.25">
      <c r="B15" s="239" t="s">
        <v>5</v>
      </c>
      <c r="C15" s="240"/>
      <c r="D15" s="5"/>
      <c r="E15" s="1102"/>
      <c r="F15" s="1103"/>
      <c r="G15" s="1104"/>
      <c r="H15" s="4"/>
      <c r="I15" s="1102"/>
      <c r="J15" s="1103"/>
      <c r="K15" s="1104"/>
      <c r="L15" s="3"/>
      <c r="M15" s="1102"/>
      <c r="N15" s="1103"/>
      <c r="O15" s="1104"/>
      <c r="P15" s="8"/>
      <c r="Q15" s="1102"/>
      <c r="R15" s="1103"/>
      <c r="S15" s="1104"/>
      <c r="U15" s="1102"/>
      <c r="V15" s="1103"/>
      <c r="W15" s="1104"/>
    </row>
    <row r="16" spans="1:23" ht="15.75" x14ac:dyDescent="0.25">
      <c r="B16" s="239" t="s">
        <v>6</v>
      </c>
      <c r="C16" s="240"/>
      <c r="D16" s="5"/>
      <c r="E16" s="1102"/>
      <c r="F16" s="1103"/>
      <c r="G16" s="1104"/>
      <c r="H16" s="4"/>
      <c r="I16" s="1102"/>
      <c r="J16" s="1103"/>
      <c r="K16" s="1104"/>
      <c r="L16" s="3"/>
      <c r="M16" s="1102"/>
      <c r="N16" s="1103"/>
      <c r="O16" s="1104"/>
      <c r="P16" s="8"/>
      <c r="Q16" s="1102"/>
      <c r="R16" s="1103"/>
      <c r="S16" s="1104"/>
      <c r="U16" s="1102"/>
      <c r="V16" s="1103"/>
      <c r="W16" s="1104"/>
    </row>
    <row r="17" spans="2:23" ht="15.75" x14ac:dyDescent="0.25">
      <c r="B17" s="239" t="s">
        <v>7</v>
      </c>
      <c r="C17" s="240"/>
      <c r="D17" s="5"/>
      <c r="E17" s="1102"/>
      <c r="F17" s="1103"/>
      <c r="G17" s="1104"/>
      <c r="H17" s="4"/>
      <c r="I17" s="1102"/>
      <c r="J17" s="1103"/>
      <c r="K17" s="1104"/>
      <c r="L17" s="3"/>
      <c r="M17" s="1102"/>
      <c r="N17" s="1103"/>
      <c r="O17" s="1104"/>
      <c r="P17" s="8"/>
      <c r="Q17" s="1102"/>
      <c r="R17" s="1103"/>
      <c r="S17" s="1104"/>
      <c r="U17" s="1102"/>
      <c r="V17" s="1103"/>
      <c r="W17" s="1104"/>
    </row>
    <row r="18" spans="2:23" ht="15.75" x14ac:dyDescent="0.25">
      <c r="B18" s="239" t="s">
        <v>8</v>
      </c>
      <c r="C18" s="240"/>
      <c r="D18" s="5"/>
      <c r="E18" s="1102"/>
      <c r="F18" s="1103"/>
      <c r="G18" s="1104"/>
      <c r="H18" s="4"/>
      <c r="I18" s="1102"/>
      <c r="J18" s="1103"/>
      <c r="K18" s="1104"/>
      <c r="L18" s="3"/>
      <c r="M18" s="1102"/>
      <c r="N18" s="1103"/>
      <c r="O18" s="1104"/>
      <c r="P18" s="8"/>
      <c r="Q18" s="1102"/>
      <c r="R18" s="1103"/>
      <c r="S18" s="1104"/>
      <c r="U18" s="1102"/>
      <c r="V18" s="1103"/>
      <c r="W18" s="1104"/>
    </row>
    <row r="19" spans="2:23" ht="15.75" x14ac:dyDescent="0.25">
      <c r="B19" s="239" t="s">
        <v>9</v>
      </c>
      <c r="C19" s="240"/>
      <c r="D19" s="5"/>
      <c r="E19" s="1102"/>
      <c r="F19" s="1103"/>
      <c r="G19" s="1104"/>
      <c r="H19" s="4"/>
      <c r="I19" s="1102"/>
      <c r="J19" s="1103"/>
      <c r="K19" s="1104"/>
      <c r="L19" s="3"/>
      <c r="M19" s="1102"/>
      <c r="N19" s="1103"/>
      <c r="O19" s="1104"/>
      <c r="P19" s="8"/>
      <c r="Q19" s="1102"/>
      <c r="R19" s="1103"/>
      <c r="S19" s="1104"/>
      <c r="U19" s="1102"/>
      <c r="V19" s="1103"/>
      <c r="W19" s="1104"/>
    </row>
    <row r="20" spans="2:23" ht="15.75" x14ac:dyDescent="0.25">
      <c r="B20" s="239" t="s">
        <v>10</v>
      </c>
      <c r="C20" s="240"/>
      <c r="D20" s="5"/>
      <c r="E20" s="1102"/>
      <c r="F20" s="1103"/>
      <c r="G20" s="1104"/>
      <c r="H20" s="4"/>
      <c r="I20" s="1102"/>
      <c r="J20" s="1103"/>
      <c r="K20" s="1104"/>
      <c r="L20" s="3"/>
      <c r="M20" s="1102"/>
      <c r="N20" s="1103"/>
      <c r="O20" s="1104"/>
      <c r="P20" s="8"/>
      <c r="Q20" s="1102"/>
      <c r="R20" s="1103"/>
      <c r="S20" s="1104"/>
      <c r="U20" s="1102"/>
      <c r="V20" s="1103"/>
      <c r="W20" s="1104"/>
    </row>
    <row r="21" spans="2:23" ht="16.5" thickBot="1" x14ac:dyDescent="0.3">
      <c r="B21" s="347" t="s">
        <v>113</v>
      </c>
      <c r="C21" s="348"/>
      <c r="D21" s="5"/>
      <c r="E21" s="1105"/>
      <c r="F21" s="1106"/>
      <c r="G21" s="1107"/>
      <c r="H21" s="4"/>
      <c r="I21" s="1105"/>
      <c r="J21" s="1106"/>
      <c r="K21" s="1107"/>
      <c r="L21" s="3"/>
      <c r="M21" s="1105"/>
      <c r="N21" s="1106"/>
      <c r="O21" s="1107"/>
      <c r="P21" s="8"/>
      <c r="Q21" s="1105"/>
      <c r="R21" s="1106"/>
      <c r="S21" s="1107"/>
      <c r="U21" s="1105"/>
      <c r="V21" s="1106"/>
      <c r="W21" s="1107"/>
    </row>
    <row r="24" spans="2:23" ht="15.75" x14ac:dyDescent="0.25">
      <c r="B24" s="837" t="s">
        <v>1</v>
      </c>
      <c r="C24" s="837"/>
      <c r="D24" s="6"/>
      <c r="E24" s="839" t="s">
        <v>541</v>
      </c>
      <c r="F24" s="839"/>
      <c r="G24" s="839"/>
      <c r="H24" s="7"/>
      <c r="I24" s="839" t="s">
        <v>541</v>
      </c>
      <c r="J24" s="839"/>
      <c r="K24" s="839"/>
      <c r="L24" s="2"/>
      <c r="M24" s="839" t="s">
        <v>541</v>
      </c>
      <c r="N24" s="839"/>
      <c r="O24" s="839"/>
      <c r="Q24" s="839" t="s">
        <v>541</v>
      </c>
      <c r="R24" s="839"/>
      <c r="S24" s="839"/>
      <c r="U24" s="839" t="s">
        <v>541</v>
      </c>
      <c r="V24" s="839"/>
      <c r="W24" s="839"/>
    </row>
    <row r="25" spans="2:23" ht="15.75" thickBot="1" x14ac:dyDescent="0.3">
      <c r="B25" s="596"/>
      <c r="C25" s="596"/>
      <c r="D25" s="5"/>
    </row>
    <row r="26" spans="2:23" ht="15.75" x14ac:dyDescent="0.25">
      <c r="B26" s="389" t="s">
        <v>13</v>
      </c>
      <c r="C26" s="390"/>
      <c r="D26" s="5"/>
      <c r="E26" s="1108"/>
      <c r="F26" s="1109"/>
      <c r="G26" s="1110"/>
      <c r="H26" s="4"/>
      <c r="I26" s="1108"/>
      <c r="J26" s="1109"/>
      <c r="K26" s="1110"/>
      <c r="L26" s="3"/>
      <c r="M26" s="1108"/>
      <c r="N26" s="1109"/>
      <c r="O26" s="1110"/>
      <c r="Q26" s="1108"/>
      <c r="R26" s="1109"/>
      <c r="S26" s="1110"/>
      <c r="U26" s="1108"/>
      <c r="V26" s="1109"/>
      <c r="W26" s="1110"/>
    </row>
    <row r="27" spans="2:23" ht="15.75" x14ac:dyDescent="0.25">
      <c r="B27" s="239" t="s">
        <v>14</v>
      </c>
      <c r="C27" s="240"/>
      <c r="D27" s="5"/>
      <c r="E27" s="1102"/>
      <c r="F27" s="1103"/>
      <c r="G27" s="1104"/>
      <c r="H27" s="4"/>
      <c r="I27" s="1102"/>
      <c r="J27" s="1103"/>
      <c r="K27" s="1104"/>
      <c r="L27" s="3"/>
      <c r="M27" s="1102"/>
      <c r="N27" s="1103"/>
      <c r="O27" s="1104"/>
      <c r="Q27" s="1102"/>
      <c r="R27" s="1103"/>
      <c r="S27" s="1104"/>
      <c r="U27" s="1102"/>
      <c r="V27" s="1103"/>
      <c r="W27" s="1104"/>
    </row>
    <row r="28" spans="2:23" ht="15.75" x14ac:dyDescent="0.25">
      <c r="B28" s="239" t="s">
        <v>15</v>
      </c>
      <c r="C28" s="240"/>
      <c r="D28" s="5"/>
      <c r="E28" s="1102"/>
      <c r="F28" s="1103"/>
      <c r="G28" s="1104"/>
      <c r="H28" s="4"/>
      <c r="I28" s="1102"/>
      <c r="J28" s="1103"/>
      <c r="K28" s="1104"/>
      <c r="L28" s="3"/>
      <c r="M28" s="1102"/>
      <c r="N28" s="1103"/>
      <c r="O28" s="1104"/>
      <c r="Q28" s="1102"/>
      <c r="R28" s="1103"/>
      <c r="S28" s="1104"/>
      <c r="U28" s="1102"/>
      <c r="V28" s="1103"/>
      <c r="W28" s="1104"/>
    </row>
    <row r="29" spans="2:23" ht="15.75" x14ac:dyDescent="0.25">
      <c r="B29" s="239" t="s">
        <v>16</v>
      </c>
      <c r="C29" s="240"/>
      <c r="D29" s="5"/>
      <c r="E29" s="1102"/>
      <c r="F29" s="1103"/>
      <c r="G29" s="1104"/>
      <c r="H29" s="4"/>
      <c r="I29" s="1102"/>
      <c r="J29" s="1103"/>
      <c r="K29" s="1104"/>
      <c r="L29" s="3"/>
      <c r="M29" s="1102"/>
      <c r="N29" s="1103"/>
      <c r="O29" s="1104"/>
      <c r="Q29" s="1102"/>
      <c r="R29" s="1103"/>
      <c r="S29" s="1104"/>
      <c r="U29" s="1102"/>
      <c r="V29" s="1103"/>
      <c r="W29" s="1104"/>
    </row>
    <row r="30" spans="2:23" ht="15.75" x14ac:dyDescent="0.25">
      <c r="B30" s="239" t="s">
        <v>17</v>
      </c>
      <c r="C30" s="240"/>
      <c r="D30" s="5"/>
      <c r="E30" s="1102"/>
      <c r="F30" s="1103"/>
      <c r="G30" s="1104"/>
      <c r="H30" s="4"/>
      <c r="I30" s="1102"/>
      <c r="J30" s="1103"/>
      <c r="K30" s="1104"/>
      <c r="L30" s="3"/>
      <c r="M30" s="1102"/>
      <c r="N30" s="1103"/>
      <c r="O30" s="1104"/>
      <c r="Q30" s="1102"/>
      <c r="R30" s="1103"/>
      <c r="S30" s="1104"/>
      <c r="U30" s="1102"/>
      <c r="V30" s="1103"/>
      <c r="W30" s="1104"/>
    </row>
    <row r="31" spans="2:23" ht="15.75" x14ac:dyDescent="0.25">
      <c r="B31" s="239" t="s">
        <v>18</v>
      </c>
      <c r="C31" s="240"/>
      <c r="D31" s="5"/>
      <c r="E31" s="1102"/>
      <c r="F31" s="1103"/>
      <c r="G31" s="1104"/>
      <c r="H31" s="4"/>
      <c r="I31" s="1102"/>
      <c r="J31" s="1103"/>
      <c r="K31" s="1104"/>
      <c r="L31" s="3"/>
      <c r="M31" s="1102"/>
      <c r="N31" s="1103"/>
      <c r="O31" s="1104"/>
      <c r="Q31" s="1102"/>
      <c r="R31" s="1103"/>
      <c r="S31" s="1104"/>
      <c r="U31" s="1102"/>
      <c r="V31" s="1103"/>
      <c r="W31" s="1104"/>
    </row>
    <row r="32" spans="2:23" ht="15.75" x14ac:dyDescent="0.25">
      <c r="B32" s="239" t="s">
        <v>98</v>
      </c>
      <c r="C32" s="240"/>
      <c r="D32" s="5"/>
      <c r="E32" s="1102"/>
      <c r="F32" s="1103"/>
      <c r="G32" s="1104"/>
      <c r="H32" s="4"/>
      <c r="I32" s="1102"/>
      <c r="J32" s="1103"/>
      <c r="K32" s="1104"/>
      <c r="L32" s="3"/>
      <c r="M32" s="1102"/>
      <c r="N32" s="1103"/>
      <c r="O32" s="1104"/>
      <c r="Q32" s="1102"/>
      <c r="R32" s="1103"/>
      <c r="S32" s="1104"/>
      <c r="U32" s="1102"/>
      <c r="V32" s="1103"/>
      <c r="W32" s="1104"/>
    </row>
    <row r="33" spans="2:23" ht="15.75" x14ac:dyDescent="0.25">
      <c r="B33" s="239" t="s">
        <v>19</v>
      </c>
      <c r="C33" s="240"/>
      <c r="D33" s="5"/>
      <c r="E33" s="1102"/>
      <c r="F33" s="1103"/>
      <c r="G33" s="1104"/>
      <c r="H33" s="4"/>
      <c r="I33" s="1102"/>
      <c r="J33" s="1103"/>
      <c r="K33" s="1104"/>
      <c r="L33" s="3"/>
      <c r="M33" s="1102"/>
      <c r="N33" s="1103"/>
      <c r="O33" s="1104"/>
      <c r="Q33" s="1102"/>
      <c r="R33" s="1103"/>
      <c r="S33" s="1104"/>
      <c r="U33" s="1102"/>
      <c r="V33" s="1103"/>
      <c r="W33" s="1104"/>
    </row>
    <row r="34" spans="2:23" ht="15.75" x14ac:dyDescent="0.25">
      <c r="B34" s="239" t="s">
        <v>20</v>
      </c>
      <c r="C34" s="240"/>
      <c r="D34" s="5"/>
      <c r="E34" s="1102"/>
      <c r="F34" s="1103"/>
      <c r="G34" s="1104"/>
      <c r="H34" s="4"/>
      <c r="I34" s="1102"/>
      <c r="J34" s="1103"/>
      <c r="K34" s="1104"/>
      <c r="L34" s="3"/>
      <c r="M34" s="1102"/>
      <c r="N34" s="1103"/>
      <c r="O34" s="1104"/>
      <c r="Q34" s="1102"/>
      <c r="R34" s="1103"/>
      <c r="S34" s="1104"/>
      <c r="U34" s="1102"/>
      <c r="V34" s="1103"/>
      <c r="W34" s="1104"/>
    </row>
    <row r="35" spans="2:23" ht="15.75" x14ac:dyDescent="0.25">
      <c r="B35" s="239" t="s">
        <v>21</v>
      </c>
      <c r="C35" s="240"/>
      <c r="E35" s="1102"/>
      <c r="F35" s="1103"/>
      <c r="G35" s="1104"/>
      <c r="I35" s="1102"/>
      <c r="J35" s="1103"/>
      <c r="K35" s="1104"/>
      <c r="M35" s="1102"/>
      <c r="N35" s="1103"/>
      <c r="O35" s="1104"/>
      <c r="Q35" s="1102"/>
      <c r="R35" s="1103"/>
      <c r="S35" s="1104"/>
      <c r="U35" s="1102"/>
      <c r="V35" s="1103"/>
      <c r="W35" s="1104"/>
    </row>
    <row r="36" spans="2:23" ht="16.5" thickBot="1" x14ac:dyDescent="0.3">
      <c r="B36" s="416" t="s">
        <v>22</v>
      </c>
      <c r="C36" s="417"/>
      <c r="E36" s="1105"/>
      <c r="F36" s="1106"/>
      <c r="G36" s="1107"/>
      <c r="I36" s="1105"/>
      <c r="J36" s="1106"/>
      <c r="K36" s="1107"/>
      <c r="M36" s="1105"/>
      <c r="N36" s="1106"/>
      <c r="O36" s="1107"/>
      <c r="Q36" s="1105"/>
      <c r="R36" s="1106"/>
      <c r="S36" s="1107"/>
      <c r="U36" s="1105"/>
      <c r="V36" s="1106"/>
      <c r="W36" s="1107"/>
    </row>
    <row r="37" spans="2:23" ht="15.75" x14ac:dyDescent="0.25">
      <c r="B37" s="9"/>
      <c r="C37" s="9"/>
    </row>
    <row r="38" spans="2:23" ht="15.75" x14ac:dyDescent="0.25">
      <c r="B38" s="9"/>
      <c r="C38" s="9"/>
    </row>
    <row r="39" spans="2:23" ht="15.75" x14ac:dyDescent="0.25">
      <c r="B39" s="616" t="s">
        <v>39</v>
      </c>
      <c r="C39" s="616"/>
      <c r="E39" s="705" t="s">
        <v>541</v>
      </c>
      <c r="F39" s="705"/>
      <c r="G39" s="705"/>
      <c r="H39" s="7"/>
      <c r="I39" s="705" t="s">
        <v>541</v>
      </c>
      <c r="J39" s="705"/>
      <c r="K39" s="705"/>
      <c r="L39" s="2"/>
      <c r="M39" s="705" t="s">
        <v>541</v>
      </c>
      <c r="N39" s="705"/>
      <c r="O39" s="705"/>
      <c r="Q39" s="705" t="s">
        <v>541</v>
      </c>
      <c r="R39" s="705"/>
      <c r="S39" s="705"/>
      <c r="U39" s="705" t="s">
        <v>541</v>
      </c>
      <c r="V39" s="705"/>
      <c r="W39" s="705"/>
    </row>
    <row r="40" spans="2:23" ht="16.5" thickBot="1" x14ac:dyDescent="0.3">
      <c r="B40" s="9"/>
      <c r="C40" s="9"/>
    </row>
    <row r="41" spans="2:23" ht="15.75" x14ac:dyDescent="0.25">
      <c r="B41" s="423" t="s">
        <v>40</v>
      </c>
      <c r="C41" s="424"/>
      <c r="E41" s="1108"/>
      <c r="F41" s="1109"/>
      <c r="G41" s="1110"/>
      <c r="H41" s="4"/>
      <c r="I41" s="1108"/>
      <c r="J41" s="1109"/>
      <c r="K41" s="1110"/>
      <c r="L41" s="3"/>
      <c r="M41" s="1108"/>
      <c r="N41" s="1109"/>
      <c r="O41" s="1110"/>
      <c r="Q41" s="1108"/>
      <c r="R41" s="1109"/>
      <c r="S41" s="1110"/>
      <c r="U41" s="1108"/>
      <c r="V41" s="1109"/>
      <c r="W41" s="1110"/>
    </row>
    <row r="42" spans="2:23" ht="16.5" thickBot="1" x14ac:dyDescent="0.3">
      <c r="B42" s="347" t="s">
        <v>41</v>
      </c>
      <c r="C42" s="348"/>
      <c r="E42" s="1105"/>
      <c r="F42" s="1106"/>
      <c r="G42" s="1107"/>
      <c r="H42" s="4"/>
      <c r="I42" s="1105"/>
      <c r="J42" s="1106"/>
      <c r="K42" s="1107"/>
      <c r="L42" s="3"/>
      <c r="M42" s="1105"/>
      <c r="N42" s="1106"/>
      <c r="O42" s="1107"/>
      <c r="Q42" s="1105"/>
      <c r="R42" s="1106"/>
      <c r="S42" s="1107"/>
      <c r="U42" s="1105"/>
      <c r="V42" s="1106"/>
      <c r="W42" s="1107"/>
    </row>
    <row r="43" spans="2:23" ht="15.75" x14ac:dyDescent="0.25">
      <c r="B43" s="9"/>
      <c r="C43" s="9"/>
    </row>
    <row r="45" spans="2:23" ht="15.75" x14ac:dyDescent="0.25">
      <c r="B45" s="604" t="s">
        <v>2</v>
      </c>
      <c r="C45" s="604"/>
      <c r="D45" s="6"/>
      <c r="E45" s="676" t="s">
        <v>541</v>
      </c>
      <c r="F45" s="676"/>
      <c r="G45" s="676"/>
      <c r="H45" s="7"/>
      <c r="I45" s="676" t="s">
        <v>541</v>
      </c>
      <c r="J45" s="676"/>
      <c r="K45" s="676"/>
      <c r="L45" s="2"/>
      <c r="M45" s="676" t="s">
        <v>541</v>
      </c>
      <c r="N45" s="676"/>
      <c r="O45" s="676"/>
      <c r="Q45" s="676" t="s">
        <v>541</v>
      </c>
      <c r="R45" s="676"/>
      <c r="S45" s="676"/>
      <c r="U45" s="676" t="s">
        <v>541</v>
      </c>
      <c r="V45" s="676"/>
      <c r="W45" s="676"/>
    </row>
    <row r="46" spans="2:23" ht="15.75" thickBot="1" x14ac:dyDescent="0.3">
      <c r="B46" s="596"/>
      <c r="C46" s="596"/>
      <c r="D46" s="5"/>
    </row>
    <row r="47" spans="2:23" ht="15.75" x14ac:dyDescent="0.25">
      <c r="B47" s="423" t="s">
        <v>23</v>
      </c>
      <c r="C47" s="424"/>
      <c r="D47" s="5"/>
      <c r="E47" s="1108"/>
      <c r="F47" s="1109"/>
      <c r="G47" s="1110"/>
      <c r="H47" s="4"/>
      <c r="I47" s="1108"/>
      <c r="J47" s="1109"/>
      <c r="K47" s="1110"/>
      <c r="L47" s="3"/>
      <c r="M47" s="1108"/>
      <c r="N47" s="1109"/>
      <c r="O47" s="1110"/>
      <c r="Q47" s="1108"/>
      <c r="R47" s="1109"/>
      <c r="S47" s="1110"/>
      <c r="U47" s="1108"/>
      <c r="V47" s="1109"/>
      <c r="W47" s="1110"/>
    </row>
    <row r="48" spans="2:23" ht="15.75" x14ac:dyDescent="0.25">
      <c r="B48" s="330" t="s">
        <v>24</v>
      </c>
      <c r="C48" s="331"/>
      <c r="D48" s="5"/>
      <c r="E48" s="1102"/>
      <c r="F48" s="1103"/>
      <c r="G48" s="1104"/>
      <c r="H48" s="4"/>
      <c r="I48" s="1102"/>
      <c r="J48" s="1103"/>
      <c r="K48" s="1104"/>
      <c r="L48" s="3"/>
      <c r="M48" s="1102"/>
      <c r="N48" s="1103"/>
      <c r="O48" s="1104"/>
      <c r="Q48" s="1102"/>
      <c r="R48" s="1103"/>
      <c r="S48" s="1104"/>
      <c r="U48" s="1102"/>
      <c r="V48" s="1103"/>
      <c r="W48" s="1104"/>
    </row>
    <row r="49" spans="2:63" ht="15.75" x14ac:dyDescent="0.25">
      <c r="B49" s="330" t="s">
        <v>25</v>
      </c>
      <c r="C49" s="331"/>
      <c r="D49" s="5"/>
      <c r="E49" s="1102"/>
      <c r="F49" s="1103"/>
      <c r="G49" s="1104"/>
      <c r="H49" s="4"/>
      <c r="I49" s="1102"/>
      <c r="J49" s="1103"/>
      <c r="K49" s="1104"/>
      <c r="L49" s="3"/>
      <c r="M49" s="1102"/>
      <c r="N49" s="1103"/>
      <c r="O49" s="1104"/>
      <c r="Q49" s="1102"/>
      <c r="R49" s="1103"/>
      <c r="S49" s="1104"/>
      <c r="U49" s="1102"/>
      <c r="V49" s="1103"/>
      <c r="W49" s="1104"/>
    </row>
    <row r="50" spans="2:63" ht="15.75" x14ac:dyDescent="0.25">
      <c r="B50" s="330" t="s">
        <v>26</v>
      </c>
      <c r="C50" s="331"/>
      <c r="D50" s="5"/>
      <c r="E50" s="1102"/>
      <c r="F50" s="1103"/>
      <c r="G50" s="1104"/>
      <c r="H50" s="4"/>
      <c r="I50" s="1102"/>
      <c r="J50" s="1103"/>
      <c r="K50" s="1104"/>
      <c r="L50" s="3"/>
      <c r="M50" s="1102"/>
      <c r="N50" s="1103"/>
      <c r="O50" s="1104"/>
      <c r="Q50" s="1102"/>
      <c r="R50" s="1103"/>
      <c r="S50" s="1104"/>
      <c r="U50" s="1102"/>
      <c r="V50" s="1103"/>
      <c r="W50" s="1104"/>
    </row>
    <row r="51" spans="2:63" ht="15.75" x14ac:dyDescent="0.25">
      <c r="B51" s="330" t="s">
        <v>27</v>
      </c>
      <c r="C51" s="331"/>
      <c r="D51" s="5"/>
      <c r="E51" s="1102"/>
      <c r="F51" s="1103"/>
      <c r="G51" s="1104"/>
      <c r="H51" s="4"/>
      <c r="I51" s="1102"/>
      <c r="J51" s="1103"/>
      <c r="K51" s="1104"/>
      <c r="L51" s="3"/>
      <c r="M51" s="1102"/>
      <c r="N51" s="1103"/>
      <c r="O51" s="1104"/>
      <c r="Q51" s="1102"/>
      <c r="R51" s="1103"/>
      <c r="S51" s="1104"/>
      <c r="U51" s="1102"/>
      <c r="V51" s="1103"/>
      <c r="W51" s="1104"/>
    </row>
    <row r="52" spans="2:63" ht="15.75" x14ac:dyDescent="0.25">
      <c r="B52" s="330" t="s">
        <v>28</v>
      </c>
      <c r="C52" s="331"/>
      <c r="D52" s="5"/>
      <c r="E52" s="1102"/>
      <c r="F52" s="1103"/>
      <c r="G52" s="1104"/>
      <c r="H52" s="4"/>
      <c r="I52" s="1102"/>
      <c r="J52" s="1103"/>
      <c r="K52" s="1104"/>
      <c r="L52" s="3"/>
      <c r="M52" s="1102"/>
      <c r="N52" s="1103"/>
      <c r="O52" s="1104"/>
      <c r="Q52" s="1102"/>
      <c r="R52" s="1103"/>
      <c r="S52" s="1104"/>
      <c r="U52" s="1102"/>
      <c r="V52" s="1103"/>
      <c r="W52" s="1104"/>
    </row>
    <row r="53" spans="2:63" ht="15.75" x14ac:dyDescent="0.25">
      <c r="B53" s="330" t="s">
        <v>29</v>
      </c>
      <c r="C53" s="331"/>
      <c r="D53" s="5"/>
      <c r="E53" s="1102"/>
      <c r="F53" s="1103"/>
      <c r="G53" s="1104"/>
      <c r="H53" s="4"/>
      <c r="I53" s="1102"/>
      <c r="J53" s="1103"/>
      <c r="K53" s="1104"/>
      <c r="L53" s="3"/>
      <c r="M53" s="1102"/>
      <c r="N53" s="1103"/>
      <c r="O53" s="1104"/>
      <c r="Q53" s="1102"/>
      <c r="R53" s="1103"/>
      <c r="S53" s="1104"/>
      <c r="U53" s="1102"/>
      <c r="V53" s="1103"/>
      <c r="W53" s="1104"/>
    </row>
    <row r="54" spans="2:63" ht="16.5" thickBot="1" x14ac:dyDescent="0.3">
      <c r="B54" s="347" t="s">
        <v>30</v>
      </c>
      <c r="C54" s="348"/>
      <c r="E54" s="1105"/>
      <c r="F54" s="1106"/>
      <c r="G54" s="1107"/>
      <c r="I54" s="1105"/>
      <c r="J54" s="1106"/>
      <c r="K54" s="1107"/>
      <c r="M54" s="1105"/>
      <c r="N54" s="1106"/>
      <c r="O54" s="1107"/>
      <c r="Q54" s="1105"/>
      <c r="R54" s="1106"/>
      <c r="S54" s="1107"/>
      <c r="U54" s="1105"/>
      <c r="V54" s="1106"/>
      <c r="W54" s="1107"/>
    </row>
    <row r="55" spans="2:63" ht="15.75" x14ac:dyDescent="0.25">
      <c r="BI55" s="692" t="s">
        <v>495</v>
      </c>
      <c r="BJ55" s="692"/>
      <c r="BK55" s="692"/>
    </row>
    <row r="56" spans="2:63" ht="15.75" thickBot="1" x14ac:dyDescent="0.3"/>
    <row r="57" spans="2:63" ht="15.75" x14ac:dyDescent="0.25">
      <c r="B57" s="623" t="s">
        <v>50</v>
      </c>
      <c r="C57" s="623"/>
      <c r="E57" s="662" t="s">
        <v>541</v>
      </c>
      <c r="F57" s="662"/>
      <c r="G57" s="662"/>
      <c r="H57" s="7"/>
      <c r="I57" s="662" t="s">
        <v>541</v>
      </c>
      <c r="J57" s="662"/>
      <c r="K57" s="662"/>
      <c r="L57" s="2"/>
      <c r="M57" s="662" t="s">
        <v>541</v>
      </c>
      <c r="N57" s="662"/>
      <c r="O57" s="662"/>
      <c r="Q57" s="662" t="s">
        <v>541</v>
      </c>
      <c r="R57" s="662"/>
      <c r="S57" s="662"/>
      <c r="U57" s="662" t="s">
        <v>541</v>
      </c>
      <c r="V57" s="662"/>
      <c r="W57" s="662"/>
      <c r="BI57" s="792"/>
      <c r="BJ57" s="793"/>
      <c r="BK57" s="794"/>
    </row>
    <row r="58" spans="2:63" ht="16.5" thickBot="1" x14ac:dyDescent="0.3">
      <c r="B58" s="9"/>
      <c r="C58" s="9"/>
      <c r="BI58" s="226"/>
      <c r="BJ58" s="434"/>
      <c r="BK58" s="435"/>
    </row>
    <row r="59" spans="2:63" ht="15.75" x14ac:dyDescent="0.25">
      <c r="B59" s="423" t="s">
        <v>108</v>
      </c>
      <c r="C59" s="424"/>
      <c r="E59" s="1108"/>
      <c r="F59" s="1109"/>
      <c r="G59" s="1110"/>
      <c r="H59" s="4"/>
      <c r="I59" s="1108"/>
      <c r="J59" s="1109"/>
      <c r="K59" s="1110"/>
      <c r="L59" s="3"/>
      <c r="M59" s="1108"/>
      <c r="N59" s="1109"/>
      <c r="O59" s="1110"/>
      <c r="Q59" s="1108"/>
      <c r="R59" s="1109"/>
      <c r="S59" s="1110"/>
      <c r="U59" s="1108"/>
      <c r="V59" s="1109"/>
      <c r="W59" s="1110"/>
      <c r="BI59" s="226"/>
      <c r="BJ59" s="434"/>
      <c r="BK59" s="435"/>
    </row>
    <row r="60" spans="2:63" ht="16.5" thickBot="1" x14ac:dyDescent="0.3">
      <c r="B60" s="347" t="s">
        <v>109</v>
      </c>
      <c r="C60" s="348"/>
      <c r="E60" s="1105"/>
      <c r="F60" s="1106"/>
      <c r="G60" s="1107"/>
      <c r="H60" s="4"/>
      <c r="I60" s="1105"/>
      <c r="J60" s="1106"/>
      <c r="K60" s="1107"/>
      <c r="L60" s="3"/>
      <c r="M60" s="1105"/>
      <c r="N60" s="1106"/>
      <c r="O60" s="1107"/>
      <c r="Q60" s="1105"/>
      <c r="R60" s="1106"/>
      <c r="S60" s="1107"/>
      <c r="U60" s="1105"/>
      <c r="V60" s="1106"/>
      <c r="W60" s="1107"/>
      <c r="BI60" s="809"/>
      <c r="BJ60" s="810"/>
      <c r="BK60" s="811"/>
    </row>
    <row r="61" spans="2:63" x14ac:dyDescent="0.25">
      <c r="BI61" s="809"/>
      <c r="BJ61" s="810"/>
      <c r="BK61" s="811"/>
    </row>
    <row r="62" spans="2:63" ht="15.75" x14ac:dyDescent="0.25">
      <c r="B62" s="601" t="s">
        <v>114</v>
      </c>
      <c r="C62" s="601"/>
      <c r="E62" s="633" t="s">
        <v>541</v>
      </c>
      <c r="F62" s="633"/>
      <c r="G62" s="633"/>
      <c r="H62" s="7"/>
      <c r="I62" s="633" t="s">
        <v>541</v>
      </c>
      <c r="J62" s="633"/>
      <c r="K62" s="633"/>
      <c r="L62" s="2"/>
      <c r="M62" s="633" t="s">
        <v>541</v>
      </c>
      <c r="N62" s="633"/>
      <c r="O62" s="633"/>
      <c r="Q62" s="633" t="s">
        <v>541</v>
      </c>
      <c r="R62" s="633"/>
      <c r="S62" s="633"/>
      <c r="U62" s="633" t="s">
        <v>541</v>
      </c>
      <c r="V62" s="633"/>
      <c r="W62" s="633"/>
      <c r="BI62" s="809"/>
      <c r="BJ62" s="810"/>
      <c r="BK62" s="811"/>
    </row>
    <row r="63" spans="2:63" ht="16.5" thickBot="1" x14ac:dyDescent="0.3">
      <c r="B63" s="9"/>
      <c r="C63" s="9"/>
      <c r="BI63" s="809"/>
      <c r="BJ63" s="810"/>
      <c r="BK63" s="811"/>
    </row>
    <row r="64" spans="2:63" ht="16.5" thickBot="1" x14ac:dyDescent="0.3">
      <c r="B64" s="1114" t="s">
        <v>114</v>
      </c>
      <c r="C64" s="1115"/>
      <c r="E64" s="1111"/>
      <c r="F64" s="1112"/>
      <c r="G64" s="1113"/>
      <c r="H64" s="4"/>
      <c r="I64" s="1111"/>
      <c r="J64" s="1112"/>
      <c r="K64" s="1113"/>
      <c r="L64" s="3"/>
      <c r="M64" s="1111"/>
      <c r="N64" s="1112"/>
      <c r="O64" s="1113"/>
      <c r="Q64" s="1111"/>
      <c r="R64" s="1112"/>
      <c r="S64" s="1113"/>
      <c r="U64" s="1111"/>
      <c r="V64" s="1112"/>
      <c r="W64" s="1113"/>
      <c r="BI64" s="809"/>
      <c r="BJ64" s="810"/>
      <c r="BK64" s="811"/>
    </row>
    <row r="65" spans="61:63" ht="15.75" thickBot="1" x14ac:dyDescent="0.3">
      <c r="BI65" s="797"/>
      <c r="BJ65" s="798"/>
      <c r="BK65" s="799"/>
    </row>
    <row r="68" spans="61:63" ht="15.75" x14ac:dyDescent="0.25">
      <c r="BI68" s="749" t="s">
        <v>495</v>
      </c>
      <c r="BJ68" s="749"/>
      <c r="BK68" s="749"/>
    </row>
    <row r="69" spans="61:63" ht="15.75" thickBot="1" x14ac:dyDescent="0.3"/>
    <row r="70" spans="61:63" x14ac:dyDescent="0.25">
      <c r="BI70" s="792"/>
      <c r="BJ70" s="793"/>
      <c r="BK70" s="794"/>
    </row>
    <row r="71" spans="61:63" x14ac:dyDescent="0.25">
      <c r="BI71" s="809"/>
      <c r="BJ71" s="810"/>
      <c r="BK71" s="811"/>
    </row>
    <row r="72" spans="61:63" x14ac:dyDescent="0.25">
      <c r="BI72" s="809"/>
      <c r="BJ72" s="810"/>
      <c r="BK72" s="811"/>
    </row>
    <row r="73" spans="61:63" x14ac:dyDescent="0.25">
      <c r="BI73" s="809"/>
      <c r="BJ73" s="810"/>
      <c r="BK73" s="811"/>
    </row>
    <row r="74" spans="61:63" x14ac:dyDescent="0.25">
      <c r="BI74" s="809"/>
      <c r="BJ74" s="810"/>
      <c r="BK74" s="811"/>
    </row>
    <row r="75" spans="61:63" x14ac:dyDescent="0.25">
      <c r="BI75" s="809"/>
      <c r="BJ75" s="810"/>
      <c r="BK75" s="811"/>
    </row>
    <row r="76" spans="61:63" x14ac:dyDescent="0.25">
      <c r="BI76" s="809"/>
      <c r="BJ76" s="810"/>
      <c r="BK76" s="811"/>
    </row>
    <row r="77" spans="61:63" x14ac:dyDescent="0.25">
      <c r="BI77" s="809"/>
      <c r="BJ77" s="810"/>
      <c r="BK77" s="811"/>
    </row>
    <row r="78" spans="61:63" x14ac:dyDescent="0.25">
      <c r="BI78" s="809"/>
      <c r="BJ78" s="810"/>
      <c r="BK78" s="811"/>
    </row>
    <row r="79" spans="61:63" ht="15.75" thickBot="1" x14ac:dyDescent="0.3">
      <c r="BI79" s="797"/>
      <c r="BJ79" s="798"/>
      <c r="BK79" s="799"/>
    </row>
    <row r="82" spans="61:63" ht="15.75" x14ac:dyDescent="0.25">
      <c r="BI82" s="706" t="s">
        <v>495</v>
      </c>
      <c r="BJ82" s="706"/>
      <c r="BK82" s="706"/>
    </row>
    <row r="83" spans="61:63" ht="15.75" thickBot="1" x14ac:dyDescent="0.3"/>
    <row r="84" spans="61:63" x14ac:dyDescent="0.25">
      <c r="BI84" s="792"/>
      <c r="BJ84" s="793"/>
      <c r="BK84" s="794"/>
    </row>
    <row r="85" spans="61:63" ht="15.75" thickBot="1" x14ac:dyDescent="0.3">
      <c r="BI85" s="797"/>
      <c r="BJ85" s="798"/>
      <c r="BK85" s="799"/>
    </row>
    <row r="88" spans="61:63" ht="15.75" x14ac:dyDescent="0.25">
      <c r="BI88" s="736" t="s">
        <v>495</v>
      </c>
      <c r="BJ88" s="736"/>
      <c r="BK88" s="736"/>
    </row>
    <row r="89" spans="61:63" ht="15.75" thickBot="1" x14ac:dyDescent="0.3"/>
    <row r="90" spans="61:63" x14ac:dyDescent="0.25">
      <c r="BI90" s="792"/>
      <c r="BJ90" s="793"/>
      <c r="BK90" s="794"/>
    </row>
    <row r="91" spans="61:63" x14ac:dyDescent="0.25">
      <c r="BI91" s="809"/>
      <c r="BJ91" s="810"/>
      <c r="BK91" s="811"/>
    </row>
    <row r="92" spans="61:63" x14ac:dyDescent="0.25">
      <c r="BI92" s="809"/>
      <c r="BJ92" s="810"/>
      <c r="BK92" s="811"/>
    </row>
    <row r="93" spans="61:63" x14ac:dyDescent="0.25">
      <c r="BI93" s="809"/>
      <c r="BJ93" s="810"/>
      <c r="BK93" s="811"/>
    </row>
    <row r="94" spans="61:63" x14ac:dyDescent="0.25">
      <c r="BI94" s="809"/>
      <c r="BJ94" s="810"/>
      <c r="BK94" s="811"/>
    </row>
    <row r="95" spans="61:63" x14ac:dyDescent="0.25">
      <c r="BI95" s="809"/>
      <c r="BJ95" s="810"/>
      <c r="BK95" s="811"/>
    </row>
    <row r="96" spans="61:63" x14ac:dyDescent="0.25">
      <c r="BI96" s="809"/>
      <c r="BJ96" s="810"/>
      <c r="BK96" s="811"/>
    </row>
    <row r="97" spans="61:63" ht="15.75" thickBot="1" x14ac:dyDescent="0.3">
      <c r="BI97" s="797"/>
      <c r="BJ97" s="798"/>
      <c r="BK97" s="799"/>
    </row>
    <row r="100" spans="61:63" ht="15.75" x14ac:dyDescent="0.25">
      <c r="BI100" s="663" t="s">
        <v>495</v>
      </c>
      <c r="BJ100" s="663"/>
      <c r="BK100" s="663"/>
    </row>
    <row r="101" spans="61:63" ht="15.75" thickBot="1" x14ac:dyDescent="0.3"/>
    <row r="102" spans="61:63" x14ac:dyDescent="0.25">
      <c r="BI102" s="792"/>
      <c r="BJ102" s="793"/>
      <c r="BK102" s="794"/>
    </row>
    <row r="103" spans="61:63" ht="15.75" thickBot="1" x14ac:dyDescent="0.3">
      <c r="BI103" s="797"/>
      <c r="BJ103" s="798"/>
      <c r="BK103" s="799"/>
    </row>
    <row r="105" spans="61:63" ht="15.75" x14ac:dyDescent="0.25">
      <c r="BI105" s="634" t="s">
        <v>495</v>
      </c>
      <c r="BJ105" s="634"/>
      <c r="BK105" s="634"/>
    </row>
    <row r="106" spans="61:63" ht="15.75" thickBot="1" x14ac:dyDescent="0.3"/>
    <row r="107" spans="61:63" ht="15.75" thickBot="1" x14ac:dyDescent="0.3">
      <c r="BI107" s="772"/>
      <c r="BJ107" s="773"/>
      <c r="BK107" s="774"/>
    </row>
  </sheetData>
  <mergeCells count="276">
    <mergeCell ref="B11:C11"/>
    <mergeCell ref="E11:G11"/>
    <mergeCell ref="I11:K11"/>
    <mergeCell ref="M11:O11"/>
    <mergeCell ref="E24:G24"/>
    <mergeCell ref="I24:K24"/>
    <mergeCell ref="A7:W7"/>
    <mergeCell ref="U11:W11"/>
    <mergeCell ref="U13:W13"/>
    <mergeCell ref="U14:W14"/>
    <mergeCell ref="U15:W15"/>
    <mergeCell ref="U16:W16"/>
    <mergeCell ref="U17:W17"/>
    <mergeCell ref="U18:W18"/>
    <mergeCell ref="U19:W19"/>
    <mergeCell ref="E17:G17"/>
    <mergeCell ref="B24:C24"/>
    <mergeCell ref="B17:C17"/>
    <mergeCell ref="I17:K17"/>
    <mergeCell ref="U21:W21"/>
    <mergeCell ref="U24:W24"/>
    <mergeCell ref="M20:O20"/>
    <mergeCell ref="I20:K20"/>
    <mergeCell ref="B21:C21"/>
    <mergeCell ref="U28:W28"/>
    <mergeCell ref="U29:W29"/>
    <mergeCell ref="U30:W30"/>
    <mergeCell ref="U31:W31"/>
    <mergeCell ref="U20:W20"/>
    <mergeCell ref="Q21:S21"/>
    <mergeCell ref="Q24:S24"/>
    <mergeCell ref="Q26:S26"/>
    <mergeCell ref="Q27:S27"/>
    <mergeCell ref="Q28:S28"/>
    <mergeCell ref="Q29:S29"/>
    <mergeCell ref="Q30:S30"/>
    <mergeCell ref="Q31:S31"/>
    <mergeCell ref="Q11:S11"/>
    <mergeCell ref="Q13:S13"/>
    <mergeCell ref="Q14:S14"/>
    <mergeCell ref="Q15:S15"/>
    <mergeCell ref="Q16:S16"/>
    <mergeCell ref="Q17:S17"/>
    <mergeCell ref="Q18:S18"/>
    <mergeCell ref="Q19:S19"/>
    <mergeCell ref="Q20:S20"/>
    <mergeCell ref="B12:C12"/>
    <mergeCell ref="B13:C13"/>
    <mergeCell ref="E13:G13"/>
    <mergeCell ref="I13:K13"/>
    <mergeCell ref="BI57:BK57"/>
    <mergeCell ref="B14:C14"/>
    <mergeCell ref="B15:C15"/>
    <mergeCell ref="E14:G14"/>
    <mergeCell ref="E15:G15"/>
    <mergeCell ref="I14:K14"/>
    <mergeCell ref="I15:K15"/>
    <mergeCell ref="B16:C16"/>
    <mergeCell ref="M13:O13"/>
    <mergeCell ref="M14:O14"/>
    <mergeCell ref="M15:O15"/>
    <mergeCell ref="M16:O16"/>
    <mergeCell ref="M17:O17"/>
    <mergeCell ref="M18:O18"/>
    <mergeCell ref="M19:O19"/>
    <mergeCell ref="E16:G16"/>
    <mergeCell ref="I16:K16"/>
    <mergeCell ref="M30:O30"/>
    <mergeCell ref="U26:W26"/>
    <mergeCell ref="U27:W27"/>
    <mergeCell ref="Q47:S47"/>
    <mergeCell ref="Q48:S48"/>
    <mergeCell ref="U34:W34"/>
    <mergeCell ref="U35:W35"/>
    <mergeCell ref="U36:W36"/>
    <mergeCell ref="U39:W39"/>
    <mergeCell ref="M34:O34"/>
    <mergeCell ref="M32:O32"/>
    <mergeCell ref="Q32:S32"/>
    <mergeCell ref="U32:W32"/>
    <mergeCell ref="M35:O35"/>
    <mergeCell ref="M36:O36"/>
    <mergeCell ref="M39:O39"/>
    <mergeCell ref="M41:O41"/>
    <mergeCell ref="M42:O42"/>
    <mergeCell ref="U41:W41"/>
    <mergeCell ref="U42:W42"/>
    <mergeCell ref="U45:W45"/>
    <mergeCell ref="U47:W47"/>
    <mergeCell ref="U33:W33"/>
    <mergeCell ref="Q33:S33"/>
    <mergeCell ref="Q34:S34"/>
    <mergeCell ref="Q35:S35"/>
    <mergeCell ref="Q36:S36"/>
    <mergeCell ref="Q39:S39"/>
    <mergeCell ref="Q41:S41"/>
    <mergeCell ref="Q42:S42"/>
    <mergeCell ref="Q45:S45"/>
    <mergeCell ref="B18:C18"/>
    <mergeCell ref="E18:G18"/>
    <mergeCell ref="I18:K18"/>
    <mergeCell ref="B19:C19"/>
    <mergeCell ref="E19:G19"/>
    <mergeCell ref="I19:K19"/>
    <mergeCell ref="E41:G41"/>
    <mergeCell ref="B32:C32"/>
    <mergeCell ref="E32:G32"/>
    <mergeCell ref="I32:K32"/>
    <mergeCell ref="B30:C30"/>
    <mergeCell ref="E30:G30"/>
    <mergeCell ref="I30:K30"/>
    <mergeCell ref="M21:O21"/>
    <mergeCell ref="M24:O24"/>
    <mergeCell ref="M26:O26"/>
    <mergeCell ref="M33:O33"/>
    <mergeCell ref="M31:O31"/>
    <mergeCell ref="B20:C20"/>
    <mergeCell ref="E20:G20"/>
    <mergeCell ref="BI72:BK72"/>
    <mergeCell ref="M27:O27"/>
    <mergeCell ref="M28:O28"/>
    <mergeCell ref="M29:O29"/>
    <mergeCell ref="B34:C34"/>
    <mergeCell ref="E34:G34"/>
    <mergeCell ref="I34:K34"/>
    <mergeCell ref="I45:K45"/>
    <mergeCell ref="B57:C57"/>
    <mergeCell ref="E57:G57"/>
    <mergeCell ref="I57:K57"/>
    <mergeCell ref="B50:C50"/>
    <mergeCell ref="BI70:BK70"/>
    <mergeCell ref="B35:C35"/>
    <mergeCell ref="E35:G35"/>
    <mergeCell ref="I35:K35"/>
    <mergeCell ref="B51:C51"/>
    <mergeCell ref="B41:C41"/>
    <mergeCell ref="B27:C27"/>
    <mergeCell ref="E27:G27"/>
    <mergeCell ref="I27:K27"/>
    <mergeCell ref="B46:C46"/>
    <mergeCell ref="B31:C31"/>
    <mergeCell ref="E31:G31"/>
    <mergeCell ref="I36:K36"/>
    <mergeCell ref="E21:G21"/>
    <mergeCell ref="I21:K21"/>
    <mergeCell ref="B29:C29"/>
    <mergeCell ref="E29:G29"/>
    <mergeCell ref="I29:K29"/>
    <mergeCell ref="B28:C28"/>
    <mergeCell ref="E28:G28"/>
    <mergeCell ref="I28:K28"/>
    <mergeCell ref="B25:C25"/>
    <mergeCell ref="B26:C26"/>
    <mergeCell ref="E26:G26"/>
    <mergeCell ref="I26:K26"/>
    <mergeCell ref="I31:K31"/>
    <mergeCell ref="E51:G51"/>
    <mergeCell ref="BI61:BK61"/>
    <mergeCell ref="B33:C33"/>
    <mergeCell ref="E33:G33"/>
    <mergeCell ref="I33:K33"/>
    <mergeCell ref="BI76:BK76"/>
    <mergeCell ref="M45:O45"/>
    <mergeCell ref="M47:O47"/>
    <mergeCell ref="M48:O48"/>
    <mergeCell ref="M49:O49"/>
    <mergeCell ref="M50:O50"/>
    <mergeCell ref="M51:O51"/>
    <mergeCell ref="M52:O52"/>
    <mergeCell ref="M53:O53"/>
    <mergeCell ref="I41:K41"/>
    <mergeCell ref="B45:C45"/>
    <mergeCell ref="E45:G45"/>
    <mergeCell ref="BI73:BK73"/>
    <mergeCell ref="B42:C42"/>
    <mergeCell ref="E42:G42"/>
    <mergeCell ref="I42:K42"/>
    <mergeCell ref="E50:G50"/>
    <mergeCell ref="B36:C36"/>
    <mergeCell ref="E36:G36"/>
    <mergeCell ref="BI62:BK62"/>
    <mergeCell ref="BI71:BK71"/>
    <mergeCell ref="B39:C39"/>
    <mergeCell ref="E39:G39"/>
    <mergeCell ref="I39:K39"/>
    <mergeCell ref="BI82:BK82"/>
    <mergeCell ref="M54:O54"/>
    <mergeCell ref="M57:O57"/>
    <mergeCell ref="M59:O59"/>
    <mergeCell ref="M60:O60"/>
    <mergeCell ref="M62:O62"/>
    <mergeCell ref="M64:O64"/>
    <mergeCell ref="Q49:S49"/>
    <mergeCell ref="Q50:S50"/>
    <mergeCell ref="Q51:S51"/>
    <mergeCell ref="Q52:S52"/>
    <mergeCell ref="I62:K62"/>
    <mergeCell ref="BI77:BK77"/>
    <mergeCell ref="B47:C47"/>
    <mergeCell ref="E47:G47"/>
    <mergeCell ref="I47:K47"/>
    <mergeCell ref="BI68:BK68"/>
    <mergeCell ref="U48:W48"/>
    <mergeCell ref="BI63:BK63"/>
    <mergeCell ref="U51:W51"/>
    <mergeCell ref="U49:W49"/>
    <mergeCell ref="BI74:BK74"/>
    <mergeCell ref="I50:K50"/>
    <mergeCell ref="U50:W50"/>
    <mergeCell ref="BI55:BK55"/>
    <mergeCell ref="BI105:BK105"/>
    <mergeCell ref="Q54:S54"/>
    <mergeCell ref="Q57:S57"/>
    <mergeCell ref="Q59:S59"/>
    <mergeCell ref="Q60:S60"/>
    <mergeCell ref="Q62:S62"/>
    <mergeCell ref="Q64:S64"/>
    <mergeCell ref="BI100:BK100"/>
    <mergeCell ref="BI79:BK79"/>
    <mergeCell ref="BI58:BK58"/>
    <mergeCell ref="BI59:BK59"/>
    <mergeCell ref="BI78:BK78"/>
    <mergeCell ref="BI75:BK75"/>
    <mergeCell ref="BI97:BK97"/>
    <mergeCell ref="BI84:BK84"/>
    <mergeCell ref="I54:K54"/>
    <mergeCell ref="BI85:BK85"/>
    <mergeCell ref="BI60:BK60"/>
    <mergeCell ref="BI107:BK107"/>
    <mergeCell ref="BI94:BK94"/>
    <mergeCell ref="B48:C48"/>
    <mergeCell ref="E48:G48"/>
    <mergeCell ref="I48:K48"/>
    <mergeCell ref="BI91:BK91"/>
    <mergeCell ref="B49:C49"/>
    <mergeCell ref="E49:G49"/>
    <mergeCell ref="I49:K49"/>
    <mergeCell ref="BI92:BK92"/>
    <mergeCell ref="B59:C59"/>
    <mergeCell ref="E59:G59"/>
    <mergeCell ref="I59:K59"/>
    <mergeCell ref="BI102:BK102"/>
    <mergeCell ref="B60:C60"/>
    <mergeCell ref="E60:G60"/>
    <mergeCell ref="I60:K60"/>
    <mergeCell ref="BI103:BK103"/>
    <mergeCell ref="B62:C62"/>
    <mergeCell ref="E62:G62"/>
    <mergeCell ref="I51:K51"/>
    <mergeCell ref="B54:C54"/>
    <mergeCell ref="E54:G54"/>
    <mergeCell ref="BI90:BK90"/>
    <mergeCell ref="B52:C52"/>
    <mergeCell ref="E52:G52"/>
    <mergeCell ref="I52:K52"/>
    <mergeCell ref="BI95:BK95"/>
    <mergeCell ref="B53:C53"/>
    <mergeCell ref="E53:G53"/>
    <mergeCell ref="I53:K53"/>
    <mergeCell ref="BI96:BK96"/>
    <mergeCell ref="BI93:BK93"/>
    <mergeCell ref="BI88:BK88"/>
    <mergeCell ref="U54:W54"/>
    <mergeCell ref="U57:W57"/>
    <mergeCell ref="U59:W59"/>
    <mergeCell ref="U60:W60"/>
    <mergeCell ref="U62:W62"/>
    <mergeCell ref="U64:W64"/>
    <mergeCell ref="E64:G64"/>
    <mergeCell ref="I64:K64"/>
    <mergeCell ref="Q53:S53"/>
    <mergeCell ref="U52:W52"/>
    <mergeCell ref="U53:W53"/>
    <mergeCell ref="B64:C64"/>
    <mergeCell ref="BI64:BK64"/>
    <mergeCell ref="BI65:BK65"/>
  </mergeCells>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499984740745262"/>
  </sheetPr>
  <dimension ref="B1:AA170"/>
  <sheetViews>
    <sheetView topLeftCell="B1" workbookViewId="0">
      <pane ySplit="6" topLeftCell="A7" activePane="bottomLeft" state="frozen"/>
      <selection pane="bottomLeft" activeCell="O1" sqref="O1"/>
    </sheetView>
  </sheetViews>
  <sheetFormatPr defaultColWidth="9.140625" defaultRowHeight="15" x14ac:dyDescent="0.25"/>
  <cols>
    <col min="1" max="1" width="1.7109375" style="1" customWidth="1"/>
    <col min="2" max="3" width="9.140625" style="1"/>
    <col min="4" max="4" width="1.7109375" style="1" customWidth="1"/>
    <col min="5" max="7" width="9.140625" style="1"/>
    <col min="8" max="8" width="1.7109375" style="1" customWidth="1"/>
    <col min="9" max="11" width="9.140625" style="1"/>
    <col min="12" max="12" width="1.7109375" style="1" customWidth="1"/>
    <col min="13" max="14" width="9.140625" style="1"/>
    <col min="15" max="15" width="12.140625" style="1" customWidth="1"/>
    <col min="16" max="16" width="1.7109375" style="1" customWidth="1"/>
    <col min="17" max="17" width="12" style="1" customWidth="1"/>
    <col min="18" max="19" width="9.140625" style="1"/>
    <col min="20" max="20" width="1.7109375" style="1" customWidth="1"/>
    <col min="21" max="23" width="9.140625" style="1"/>
    <col min="24" max="24" width="1.7109375" style="1" customWidth="1"/>
    <col min="25" max="16384" width="9.140625" style="1"/>
  </cols>
  <sheetData>
    <row r="1" spans="2:27" s="150" customFormat="1" x14ac:dyDescent="0.25"/>
    <row r="2" spans="2:27" s="150" customFormat="1" x14ac:dyDescent="0.25"/>
    <row r="3" spans="2:27" s="150" customFormat="1" x14ac:dyDescent="0.25"/>
    <row r="4" spans="2:27" s="150" customFormat="1" x14ac:dyDescent="0.25"/>
    <row r="5" spans="2:27" s="150" customFormat="1" x14ac:dyDescent="0.25"/>
    <row r="6" spans="2:27" s="150" customFormat="1" x14ac:dyDescent="0.25"/>
    <row r="7" spans="2:27" s="150" customFormat="1" x14ac:dyDescent="0.25"/>
    <row r="8" spans="2:27" s="150" customFormat="1" x14ac:dyDescent="0.25"/>
    <row r="9" spans="2:27" s="150" customFormat="1" x14ac:dyDescent="0.25"/>
    <row r="10" spans="2:27" ht="23.25" x14ac:dyDescent="0.25">
      <c r="B10" s="189" t="s">
        <v>456</v>
      </c>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c r="AA10" s="189"/>
    </row>
    <row r="12" spans="2:27" ht="15.75" x14ac:dyDescent="0.25">
      <c r="B12" s="595" t="s">
        <v>0</v>
      </c>
      <c r="C12" s="595"/>
      <c r="D12" s="6"/>
      <c r="E12" s="681" t="s">
        <v>51</v>
      </c>
      <c r="F12" s="681"/>
      <c r="G12" s="681"/>
      <c r="H12" s="7"/>
      <c r="I12" s="1173" t="s">
        <v>51</v>
      </c>
      <c r="J12" s="1173"/>
      <c r="K12" s="1173"/>
      <c r="L12" s="2"/>
      <c r="M12" s="692" t="s">
        <v>51</v>
      </c>
      <c r="N12" s="692"/>
      <c r="O12" s="692"/>
      <c r="P12" s="4"/>
      <c r="Q12" s="692" t="s">
        <v>51</v>
      </c>
      <c r="R12" s="692"/>
      <c r="S12" s="692"/>
      <c r="U12" s="692" t="s">
        <v>51</v>
      </c>
      <c r="V12" s="692"/>
      <c r="W12" s="692"/>
      <c r="Y12" s="692" t="s">
        <v>51</v>
      </c>
      <c r="Z12" s="692"/>
      <c r="AA12" s="692"/>
    </row>
    <row r="13" spans="2:27" ht="15.75" thickBot="1" x14ac:dyDescent="0.3">
      <c r="B13" s="596"/>
      <c r="C13" s="596"/>
      <c r="D13" s="5"/>
      <c r="E13" s="5"/>
    </row>
    <row r="14" spans="2:27" ht="15.75" x14ac:dyDescent="0.25">
      <c r="B14" s="1174" t="s">
        <v>112</v>
      </c>
      <c r="C14" s="1175"/>
      <c r="D14" s="131"/>
      <c r="E14" s="1158" t="s">
        <v>806</v>
      </c>
      <c r="F14" s="1159"/>
      <c r="G14" s="1160"/>
      <c r="H14" s="132"/>
      <c r="I14" s="1158" t="s">
        <v>371</v>
      </c>
      <c r="J14" s="1159"/>
      <c r="K14" s="1160"/>
      <c r="L14" s="3"/>
      <c r="M14" s="1158"/>
      <c r="N14" s="1159"/>
      <c r="O14" s="1160"/>
      <c r="P14" s="8"/>
      <c r="Q14" s="1158"/>
      <c r="R14" s="1159"/>
      <c r="S14" s="1160"/>
      <c r="U14" s="1158"/>
      <c r="V14" s="1159"/>
      <c r="W14" s="1160"/>
      <c r="Y14" s="1158"/>
      <c r="Z14" s="1159"/>
      <c r="AA14" s="1160"/>
    </row>
    <row r="15" spans="2:27" ht="15.75" x14ac:dyDescent="0.25">
      <c r="B15" s="239" t="s">
        <v>4</v>
      </c>
      <c r="C15" s="240"/>
      <c r="D15" s="5"/>
      <c r="E15" s="1142"/>
      <c r="F15" s="1143"/>
      <c r="G15" s="1144"/>
      <c r="H15" s="4"/>
      <c r="I15" s="1170"/>
      <c r="J15" s="1171"/>
      <c r="K15" s="1172"/>
      <c r="L15" s="3"/>
      <c r="M15" s="1142"/>
      <c r="N15" s="1143"/>
      <c r="O15" s="1144"/>
      <c r="P15" s="8"/>
      <c r="Q15" s="1142"/>
      <c r="R15" s="1143"/>
      <c r="S15" s="1144"/>
      <c r="U15" s="1142"/>
      <c r="V15" s="1143"/>
      <c r="W15" s="1144"/>
      <c r="Y15" s="1142"/>
      <c r="Z15" s="1143"/>
      <c r="AA15" s="1144"/>
    </row>
    <row r="16" spans="2:27" ht="15.75" x14ac:dyDescent="0.25">
      <c r="B16" s="1165" t="s">
        <v>5</v>
      </c>
      <c r="C16" s="1166"/>
      <c r="D16" s="131"/>
      <c r="E16" s="1142" t="s">
        <v>689</v>
      </c>
      <c r="F16" s="1143"/>
      <c r="G16" s="1144"/>
      <c r="H16" s="132"/>
      <c r="I16" s="1170" t="s">
        <v>231</v>
      </c>
      <c r="J16" s="1171"/>
      <c r="K16" s="1172"/>
      <c r="L16" s="3"/>
      <c r="M16" s="1142"/>
      <c r="N16" s="1143"/>
      <c r="O16" s="1144"/>
      <c r="P16" s="8"/>
      <c r="Q16" s="1142"/>
      <c r="R16" s="1143"/>
      <c r="S16" s="1144"/>
      <c r="U16" s="1142"/>
      <c r="V16" s="1143"/>
      <c r="W16" s="1144"/>
      <c r="Y16" s="1142"/>
      <c r="Z16" s="1143"/>
      <c r="AA16" s="1144"/>
    </row>
    <row r="17" spans="2:27" ht="15.75" x14ac:dyDescent="0.25">
      <c r="B17" s="239" t="s">
        <v>6</v>
      </c>
      <c r="C17" s="240"/>
      <c r="D17" s="5"/>
      <c r="E17" s="1139"/>
      <c r="F17" s="1140"/>
      <c r="G17" s="1141"/>
      <c r="H17" s="4"/>
      <c r="I17" s="1170"/>
      <c r="J17" s="1171"/>
      <c r="K17" s="1172"/>
      <c r="L17" s="3"/>
      <c r="M17" s="1116"/>
      <c r="N17" s="1117"/>
      <c r="O17" s="1118"/>
      <c r="P17" s="8"/>
      <c r="Q17" s="1116"/>
      <c r="R17" s="1117"/>
      <c r="S17" s="1118"/>
      <c r="U17" s="1116"/>
      <c r="V17" s="1117"/>
      <c r="W17" s="1118"/>
      <c r="Y17" s="1116"/>
      <c r="Z17" s="1117"/>
      <c r="AA17" s="1118"/>
    </row>
    <row r="18" spans="2:27" ht="15.75" x14ac:dyDescent="0.25">
      <c r="B18" s="239" t="s">
        <v>7</v>
      </c>
      <c r="C18" s="240"/>
      <c r="D18" s="5"/>
      <c r="E18" s="1139"/>
      <c r="F18" s="1140"/>
      <c r="G18" s="1141"/>
      <c r="H18" s="4"/>
      <c r="I18" s="1170"/>
      <c r="J18" s="1171"/>
      <c r="K18" s="1172"/>
      <c r="L18" s="3"/>
      <c r="M18" s="1116"/>
      <c r="N18" s="1117"/>
      <c r="O18" s="1118"/>
      <c r="P18" s="8"/>
      <c r="Q18" s="1116"/>
      <c r="R18" s="1117"/>
      <c r="S18" s="1118"/>
      <c r="U18" s="1116"/>
      <c r="V18" s="1117"/>
      <c r="W18" s="1118"/>
      <c r="Y18" s="1116"/>
      <c r="Z18" s="1117"/>
      <c r="AA18" s="1118"/>
    </row>
    <row r="19" spans="2:27" ht="15.75" x14ac:dyDescent="0.25">
      <c r="B19" s="239" t="s">
        <v>8</v>
      </c>
      <c r="C19" s="240"/>
      <c r="D19" s="5"/>
      <c r="E19" s="1139"/>
      <c r="F19" s="1140"/>
      <c r="G19" s="1141"/>
      <c r="H19" s="4"/>
      <c r="I19" s="1170"/>
      <c r="J19" s="1171"/>
      <c r="K19" s="1172"/>
      <c r="L19" s="3"/>
      <c r="M19" s="1116"/>
      <c r="N19" s="1117"/>
      <c r="O19" s="1118"/>
      <c r="P19" s="8"/>
      <c r="Q19" s="1116"/>
      <c r="R19" s="1117"/>
      <c r="S19" s="1118"/>
      <c r="U19" s="1116"/>
      <c r="V19" s="1117"/>
      <c r="W19" s="1118"/>
      <c r="Y19" s="1116"/>
      <c r="Z19" s="1117"/>
      <c r="AA19" s="1118"/>
    </row>
    <row r="20" spans="2:27" ht="15.75" x14ac:dyDescent="0.25">
      <c r="B20" s="239" t="s">
        <v>9</v>
      </c>
      <c r="C20" s="240"/>
      <c r="D20" s="5"/>
      <c r="E20" s="1139"/>
      <c r="F20" s="1140"/>
      <c r="G20" s="1141"/>
      <c r="H20" s="4"/>
      <c r="I20" s="1170"/>
      <c r="J20" s="1171"/>
      <c r="K20" s="1172"/>
      <c r="L20" s="3"/>
      <c r="M20" s="1116"/>
      <c r="N20" s="1117"/>
      <c r="O20" s="1118"/>
      <c r="P20" s="8"/>
      <c r="Q20" s="1116"/>
      <c r="R20" s="1117"/>
      <c r="S20" s="1118"/>
      <c r="U20" s="1116"/>
      <c r="V20" s="1117"/>
      <c r="W20" s="1118"/>
      <c r="Y20" s="1116"/>
      <c r="Z20" s="1117"/>
      <c r="AA20" s="1118"/>
    </row>
    <row r="21" spans="2:27" ht="15.75" x14ac:dyDescent="0.25">
      <c r="B21" s="239" t="s">
        <v>10</v>
      </c>
      <c r="C21" s="240"/>
      <c r="D21" s="5"/>
      <c r="E21" s="1142"/>
      <c r="F21" s="1143"/>
      <c r="G21" s="1144"/>
      <c r="H21" s="4"/>
      <c r="I21" s="1170"/>
      <c r="J21" s="1171"/>
      <c r="K21" s="1172"/>
      <c r="L21" s="3"/>
      <c r="M21" s="1116"/>
      <c r="N21" s="1117"/>
      <c r="O21" s="1118"/>
      <c r="P21" s="8"/>
      <c r="Q21" s="1116"/>
      <c r="R21" s="1117"/>
      <c r="S21" s="1118"/>
      <c r="U21" s="1116"/>
      <c r="V21" s="1117"/>
      <c r="W21" s="1118"/>
      <c r="Y21" s="1116"/>
      <c r="Z21" s="1117"/>
      <c r="AA21" s="1118"/>
    </row>
    <row r="22" spans="2:27" ht="16.5" thickBot="1" x14ac:dyDescent="0.3">
      <c r="B22" s="416" t="s">
        <v>113</v>
      </c>
      <c r="C22" s="417"/>
      <c r="D22" s="5"/>
      <c r="E22" s="1128"/>
      <c r="F22" s="1129"/>
      <c r="G22" s="1130"/>
      <c r="H22" s="4"/>
      <c r="I22" s="1167"/>
      <c r="J22" s="1168"/>
      <c r="K22" s="1169"/>
      <c r="L22" s="3"/>
      <c r="M22" s="1128"/>
      <c r="N22" s="1129"/>
      <c r="O22" s="1130"/>
      <c r="P22" s="8"/>
      <c r="Q22" s="1128"/>
      <c r="R22" s="1129"/>
      <c r="S22" s="1130"/>
      <c r="U22" s="1128"/>
      <c r="V22" s="1129"/>
      <c r="W22" s="1130"/>
      <c r="Y22" s="1128"/>
      <c r="Z22" s="1129"/>
      <c r="AA22" s="1130"/>
    </row>
    <row r="25" spans="2:27" ht="15.75" x14ac:dyDescent="0.25">
      <c r="B25" s="837" t="s">
        <v>1</v>
      </c>
      <c r="C25" s="837"/>
      <c r="D25" s="6"/>
      <c r="E25" s="838" t="s">
        <v>51</v>
      </c>
      <c r="F25" s="838"/>
      <c r="G25" s="838"/>
      <c r="H25" s="7"/>
      <c r="I25" s="839" t="s">
        <v>51</v>
      </c>
      <c r="J25" s="839"/>
      <c r="K25" s="839"/>
      <c r="L25" s="2"/>
      <c r="M25" s="749" t="s">
        <v>51</v>
      </c>
      <c r="N25" s="749"/>
      <c r="O25" s="749"/>
      <c r="Q25" s="749" t="s">
        <v>51</v>
      </c>
      <c r="R25" s="749"/>
      <c r="S25" s="749"/>
      <c r="U25" s="749" t="s">
        <v>51</v>
      </c>
      <c r="V25" s="749"/>
      <c r="W25" s="749"/>
      <c r="Y25" s="749" t="s">
        <v>51</v>
      </c>
      <c r="Z25" s="749"/>
      <c r="AA25" s="749"/>
    </row>
    <row r="26" spans="2:27" ht="15.75" thickBot="1" x14ac:dyDescent="0.3">
      <c r="B26" s="596"/>
      <c r="C26" s="596"/>
      <c r="D26" s="5"/>
      <c r="E26" s="5"/>
    </row>
    <row r="27" spans="2:27" ht="15.75" x14ac:dyDescent="0.25">
      <c r="B27" s="389" t="s">
        <v>13</v>
      </c>
      <c r="C27" s="390"/>
      <c r="D27" s="5"/>
      <c r="E27" s="1133"/>
      <c r="F27" s="1134"/>
      <c r="G27" s="1135"/>
      <c r="H27" s="4"/>
      <c r="I27" s="1136"/>
      <c r="J27" s="1137"/>
      <c r="K27" s="1138"/>
      <c r="L27" s="3"/>
      <c r="M27" s="1119"/>
      <c r="N27" s="1120"/>
      <c r="O27" s="1121"/>
      <c r="Q27" s="1119"/>
      <c r="R27" s="1120"/>
      <c r="S27" s="1121"/>
      <c r="U27" s="1119"/>
      <c r="V27" s="1120"/>
      <c r="W27" s="1121"/>
      <c r="Y27" s="1119"/>
      <c r="Z27" s="1120"/>
      <c r="AA27" s="1121"/>
    </row>
    <row r="28" spans="2:27" ht="15.75" x14ac:dyDescent="0.25">
      <c r="B28" s="239" t="s">
        <v>14</v>
      </c>
      <c r="C28" s="240"/>
      <c r="D28" s="5"/>
      <c r="E28" s="1162"/>
      <c r="F28" s="1163"/>
      <c r="G28" s="1164"/>
      <c r="H28" s="4"/>
      <c r="I28" s="1142"/>
      <c r="J28" s="1143"/>
      <c r="K28" s="1144"/>
      <c r="L28" s="3"/>
      <c r="M28" s="1116"/>
      <c r="N28" s="1117"/>
      <c r="O28" s="1118"/>
      <c r="Q28" s="1116"/>
      <c r="R28" s="1117"/>
      <c r="S28" s="1118"/>
      <c r="U28" s="1116"/>
      <c r="V28" s="1117"/>
      <c r="W28" s="1118"/>
      <c r="Y28" s="1116"/>
      <c r="Z28" s="1117"/>
      <c r="AA28" s="1118"/>
    </row>
    <row r="29" spans="2:27" ht="15.75" x14ac:dyDescent="0.25">
      <c r="B29" s="239" t="s">
        <v>15</v>
      </c>
      <c r="C29" s="240"/>
      <c r="D29" s="5"/>
      <c r="E29" s="1162"/>
      <c r="F29" s="1163"/>
      <c r="G29" s="1164"/>
      <c r="H29" s="4"/>
      <c r="I29" s="1142"/>
      <c r="J29" s="1143"/>
      <c r="K29" s="1144"/>
      <c r="L29" s="3"/>
      <c r="M29" s="1116"/>
      <c r="N29" s="1117"/>
      <c r="O29" s="1118"/>
      <c r="Q29" s="1116"/>
      <c r="R29" s="1117"/>
      <c r="S29" s="1118"/>
      <c r="U29" s="1116"/>
      <c r="V29" s="1117"/>
      <c r="W29" s="1118"/>
      <c r="Y29" s="1116"/>
      <c r="Z29" s="1117"/>
      <c r="AA29" s="1118"/>
    </row>
    <row r="30" spans="2:27" ht="15.75" x14ac:dyDescent="0.25">
      <c r="B30" s="239" t="s">
        <v>16</v>
      </c>
      <c r="C30" s="240"/>
      <c r="D30" s="5"/>
      <c r="E30" s="1162"/>
      <c r="F30" s="1163"/>
      <c r="G30" s="1164"/>
      <c r="H30" s="4"/>
      <c r="I30" s="1142"/>
      <c r="J30" s="1143"/>
      <c r="K30" s="1144"/>
      <c r="L30" s="3"/>
      <c r="M30" s="1116"/>
      <c r="N30" s="1117"/>
      <c r="O30" s="1118"/>
      <c r="Q30" s="1116"/>
      <c r="R30" s="1117"/>
      <c r="S30" s="1118"/>
      <c r="U30" s="1116"/>
      <c r="V30" s="1117"/>
      <c r="W30" s="1118"/>
      <c r="Y30" s="1116"/>
      <c r="Z30" s="1117"/>
      <c r="AA30" s="1118"/>
    </row>
    <row r="31" spans="2:27" ht="15.75" x14ac:dyDescent="0.25">
      <c r="B31" s="239" t="s">
        <v>17</v>
      </c>
      <c r="C31" s="240"/>
      <c r="D31" s="5"/>
      <c r="E31" s="1162"/>
      <c r="F31" s="1163"/>
      <c r="G31" s="1164"/>
      <c r="H31" s="4"/>
      <c r="I31" s="1142"/>
      <c r="J31" s="1143"/>
      <c r="K31" s="1144"/>
      <c r="L31" s="3"/>
      <c r="M31" s="1116"/>
      <c r="N31" s="1117"/>
      <c r="O31" s="1118"/>
      <c r="Q31" s="1116"/>
      <c r="R31" s="1117"/>
      <c r="S31" s="1118"/>
      <c r="U31" s="1116"/>
      <c r="V31" s="1117"/>
      <c r="W31" s="1118"/>
      <c r="Y31" s="1116"/>
      <c r="Z31" s="1117"/>
      <c r="AA31" s="1118"/>
    </row>
    <row r="32" spans="2:27" ht="15.75" x14ac:dyDescent="0.25">
      <c r="B32" s="1165" t="s">
        <v>18</v>
      </c>
      <c r="C32" s="1166"/>
      <c r="D32" s="131"/>
      <c r="E32" s="1162" t="s">
        <v>689</v>
      </c>
      <c r="F32" s="1163"/>
      <c r="G32" s="1164"/>
      <c r="H32" s="132"/>
      <c r="I32" s="1142" t="s">
        <v>842</v>
      </c>
      <c r="J32" s="1143"/>
      <c r="K32" s="1144"/>
      <c r="L32" s="126"/>
      <c r="M32" s="1116" t="s">
        <v>231</v>
      </c>
      <c r="N32" s="1117"/>
      <c r="O32" s="1118"/>
      <c r="P32" s="125"/>
      <c r="Q32" s="1116" t="s">
        <v>843</v>
      </c>
      <c r="R32" s="1117"/>
      <c r="S32" s="1118"/>
      <c r="U32" s="1116"/>
      <c r="V32" s="1117"/>
      <c r="W32" s="1118"/>
      <c r="Y32" s="1116"/>
      <c r="Z32" s="1117"/>
      <c r="AA32" s="1118"/>
    </row>
    <row r="33" spans="2:27" ht="15.75" x14ac:dyDescent="0.25">
      <c r="B33" s="1165" t="s">
        <v>98</v>
      </c>
      <c r="C33" s="1166"/>
      <c r="D33" s="131"/>
      <c r="E33" s="1162" t="s">
        <v>265</v>
      </c>
      <c r="F33" s="1163"/>
      <c r="G33" s="1164"/>
      <c r="H33" s="4"/>
      <c r="I33" s="1142"/>
      <c r="J33" s="1143"/>
      <c r="K33" s="1144"/>
      <c r="L33" s="3"/>
      <c r="M33" s="1116"/>
      <c r="N33" s="1117"/>
      <c r="O33" s="1118"/>
      <c r="Q33" s="1116"/>
      <c r="R33" s="1117"/>
      <c r="S33" s="1118"/>
      <c r="U33" s="1116"/>
      <c r="V33" s="1117"/>
      <c r="W33" s="1118"/>
      <c r="Y33" s="1116"/>
      <c r="Z33" s="1117"/>
      <c r="AA33" s="1118"/>
    </row>
    <row r="34" spans="2:27" ht="15.75" x14ac:dyDescent="0.25">
      <c r="B34" s="239" t="s">
        <v>19</v>
      </c>
      <c r="C34" s="240"/>
      <c r="D34" s="5"/>
      <c r="E34" s="1162"/>
      <c r="F34" s="1163"/>
      <c r="G34" s="1164"/>
      <c r="H34" s="4"/>
      <c r="I34" s="1142"/>
      <c r="J34" s="1143"/>
      <c r="K34" s="1144"/>
      <c r="L34" s="3"/>
      <c r="M34" s="1116"/>
      <c r="N34" s="1117"/>
      <c r="O34" s="1118"/>
      <c r="Q34" s="1116"/>
      <c r="R34" s="1117"/>
      <c r="S34" s="1118"/>
      <c r="U34" s="1116"/>
      <c r="V34" s="1117"/>
      <c r="W34" s="1118"/>
      <c r="Y34" s="1116"/>
      <c r="Z34" s="1117"/>
      <c r="AA34" s="1118"/>
    </row>
    <row r="35" spans="2:27" ht="15.75" x14ac:dyDescent="0.25">
      <c r="B35" s="239" t="s">
        <v>20</v>
      </c>
      <c r="C35" s="240"/>
      <c r="D35" s="5"/>
      <c r="E35" s="1162"/>
      <c r="F35" s="1163"/>
      <c r="G35" s="1164"/>
      <c r="H35" s="4"/>
      <c r="I35" s="1142"/>
      <c r="J35" s="1143"/>
      <c r="K35" s="1144"/>
      <c r="L35" s="3"/>
      <c r="M35" s="1116"/>
      <c r="N35" s="1117"/>
      <c r="O35" s="1118"/>
      <c r="Q35" s="1116"/>
      <c r="R35" s="1117"/>
      <c r="S35" s="1118"/>
      <c r="U35" s="1116"/>
      <c r="V35" s="1117"/>
      <c r="W35" s="1118"/>
      <c r="Y35" s="1116"/>
      <c r="Z35" s="1117"/>
      <c r="AA35" s="1118"/>
    </row>
    <row r="36" spans="2:27" ht="15.75" x14ac:dyDescent="0.25">
      <c r="B36" s="239" t="s">
        <v>21</v>
      </c>
      <c r="C36" s="240"/>
      <c r="E36" s="1162"/>
      <c r="F36" s="1163"/>
      <c r="G36" s="1164"/>
      <c r="I36" s="1142"/>
      <c r="J36" s="1143"/>
      <c r="K36" s="1144"/>
      <c r="M36" s="1116"/>
      <c r="N36" s="1117"/>
      <c r="O36" s="1118"/>
      <c r="Q36" s="1116"/>
      <c r="R36" s="1117"/>
      <c r="S36" s="1118"/>
      <c r="U36" s="1116"/>
      <c r="V36" s="1117"/>
      <c r="W36" s="1118"/>
      <c r="Y36" s="1116"/>
      <c r="Z36" s="1117"/>
      <c r="AA36" s="1118"/>
    </row>
    <row r="37" spans="2:27" ht="16.5" thickBot="1" x14ac:dyDescent="0.3">
      <c r="B37" s="416" t="s">
        <v>22</v>
      </c>
      <c r="C37" s="417"/>
      <c r="E37" s="1149"/>
      <c r="F37" s="1150"/>
      <c r="G37" s="1151"/>
      <c r="I37" s="1128"/>
      <c r="J37" s="1129"/>
      <c r="K37" s="1130"/>
      <c r="M37" s="1122"/>
      <c r="N37" s="1123"/>
      <c r="O37" s="1124"/>
      <c r="Q37" s="1122"/>
      <c r="R37" s="1123"/>
      <c r="S37" s="1124"/>
      <c r="U37" s="1122"/>
      <c r="V37" s="1123"/>
      <c r="W37" s="1124"/>
      <c r="Y37" s="1122"/>
      <c r="Z37" s="1123"/>
      <c r="AA37" s="1124"/>
    </row>
    <row r="38" spans="2:27" ht="15.75" x14ac:dyDescent="0.25">
      <c r="B38" s="9"/>
      <c r="C38" s="9"/>
    </row>
    <row r="39" spans="2:27" ht="15.75" x14ac:dyDescent="0.25">
      <c r="B39" s="9"/>
      <c r="C39" s="9"/>
    </row>
    <row r="40" spans="2:27" ht="15.75" x14ac:dyDescent="0.25">
      <c r="B40" s="616" t="s">
        <v>39</v>
      </c>
      <c r="C40" s="616"/>
      <c r="E40" s="704" t="s">
        <v>51</v>
      </c>
      <c r="F40" s="704"/>
      <c r="G40" s="704"/>
      <c r="H40" s="7"/>
      <c r="I40" s="705" t="s">
        <v>51</v>
      </c>
      <c r="J40" s="705"/>
      <c r="K40" s="705"/>
      <c r="L40" s="2"/>
      <c r="M40" s="1161" t="s">
        <v>51</v>
      </c>
      <c r="N40" s="1161"/>
      <c r="O40" s="1161"/>
      <c r="Q40" s="1161" t="s">
        <v>51</v>
      </c>
      <c r="R40" s="1161"/>
      <c r="S40" s="1161"/>
      <c r="U40" s="1161" t="s">
        <v>51</v>
      </c>
      <c r="V40" s="1161"/>
      <c r="W40" s="1161"/>
      <c r="Y40" s="1161" t="s">
        <v>51</v>
      </c>
      <c r="Z40" s="1161"/>
      <c r="AA40" s="1161"/>
    </row>
    <row r="41" spans="2:27" ht="16.5" thickBot="1" x14ac:dyDescent="0.3">
      <c r="B41" s="9"/>
      <c r="C41" s="9"/>
    </row>
    <row r="42" spans="2:27" ht="15.75" x14ac:dyDescent="0.25">
      <c r="B42" s="423" t="s">
        <v>40</v>
      </c>
      <c r="C42" s="424"/>
      <c r="E42" s="1133"/>
      <c r="F42" s="1134"/>
      <c r="G42" s="1135"/>
      <c r="H42" s="4"/>
      <c r="I42" s="1136"/>
      <c r="J42" s="1137"/>
      <c r="K42" s="1138"/>
      <c r="L42" s="3"/>
      <c r="M42" s="1119"/>
      <c r="N42" s="1120"/>
      <c r="O42" s="1121"/>
      <c r="Q42" s="1119"/>
      <c r="R42" s="1120"/>
      <c r="S42" s="1121"/>
      <c r="U42" s="1119"/>
      <c r="V42" s="1120"/>
      <c r="W42" s="1121"/>
      <c r="Y42" s="1119"/>
      <c r="Z42" s="1120"/>
      <c r="AA42" s="1121"/>
    </row>
    <row r="43" spans="2:27" ht="16.5" thickBot="1" x14ac:dyDescent="0.3">
      <c r="B43" s="920" t="s">
        <v>41</v>
      </c>
      <c r="C43" s="921"/>
      <c r="E43" s="1149"/>
      <c r="F43" s="1150"/>
      <c r="G43" s="1151"/>
      <c r="H43" s="132"/>
      <c r="I43" s="1128"/>
      <c r="J43" s="1129"/>
      <c r="K43" s="1130"/>
      <c r="L43" s="126"/>
      <c r="M43" s="1122"/>
      <c r="N43" s="1123"/>
      <c r="O43" s="1124"/>
      <c r="P43" s="125"/>
      <c r="Q43" s="1122"/>
      <c r="R43" s="1123"/>
      <c r="S43" s="1124"/>
      <c r="U43" s="1122"/>
      <c r="V43" s="1123"/>
      <c r="W43" s="1124"/>
      <c r="Y43" s="1122"/>
      <c r="Z43" s="1123"/>
      <c r="AA43" s="1124"/>
    </row>
    <row r="44" spans="2:27" ht="15.75" x14ac:dyDescent="0.25">
      <c r="B44" s="9"/>
      <c r="C44" s="9"/>
    </row>
    <row r="46" spans="2:27" ht="15.75" x14ac:dyDescent="0.25">
      <c r="B46" s="604" t="s">
        <v>2</v>
      </c>
      <c r="C46" s="604"/>
      <c r="D46" s="6"/>
      <c r="E46" s="675" t="s">
        <v>51</v>
      </c>
      <c r="F46" s="675"/>
      <c r="G46" s="675"/>
      <c r="H46" s="7"/>
      <c r="I46" s="676" t="s">
        <v>51</v>
      </c>
      <c r="J46" s="676"/>
      <c r="K46" s="676"/>
      <c r="L46" s="2"/>
      <c r="M46" s="736" t="s">
        <v>51</v>
      </c>
      <c r="N46" s="736"/>
      <c r="O46" s="736"/>
      <c r="Q46" s="736" t="s">
        <v>51</v>
      </c>
      <c r="R46" s="736"/>
      <c r="S46" s="736"/>
      <c r="U46" s="736" t="s">
        <v>51</v>
      </c>
      <c r="V46" s="736"/>
      <c r="W46" s="736"/>
      <c r="Y46" s="736" t="s">
        <v>51</v>
      </c>
      <c r="Z46" s="736"/>
      <c r="AA46" s="736"/>
    </row>
    <row r="47" spans="2:27" ht="15.75" thickBot="1" x14ac:dyDescent="0.3">
      <c r="B47" s="596"/>
      <c r="C47" s="596"/>
      <c r="D47" s="5"/>
      <c r="E47" s="5"/>
    </row>
    <row r="48" spans="2:27" ht="15.75" x14ac:dyDescent="0.25">
      <c r="B48" s="423" t="s">
        <v>23</v>
      </c>
      <c r="C48" s="424"/>
      <c r="D48" s="5"/>
      <c r="E48" s="1158"/>
      <c r="F48" s="1159"/>
      <c r="G48" s="1160"/>
      <c r="H48" s="4"/>
      <c r="I48" s="1136"/>
      <c r="J48" s="1137"/>
      <c r="K48" s="1138"/>
      <c r="L48" s="3"/>
      <c r="M48" s="1119"/>
      <c r="N48" s="1120"/>
      <c r="O48" s="1121"/>
      <c r="Q48" s="1119"/>
      <c r="R48" s="1120"/>
      <c r="S48" s="1121"/>
      <c r="U48" s="1119"/>
      <c r="V48" s="1120"/>
      <c r="W48" s="1121"/>
      <c r="Y48" s="1119"/>
      <c r="Z48" s="1120"/>
      <c r="AA48" s="1121"/>
    </row>
    <row r="49" spans="2:27" ht="15.75" x14ac:dyDescent="0.25">
      <c r="B49" s="330" t="s">
        <v>24</v>
      </c>
      <c r="C49" s="331"/>
      <c r="D49" s="5"/>
      <c r="E49" s="270" t="s">
        <v>844</v>
      </c>
      <c r="F49" s="271"/>
      <c r="G49" s="272"/>
      <c r="H49" s="133"/>
      <c r="I49" s="1152" t="s">
        <v>844</v>
      </c>
      <c r="J49" s="1153"/>
      <c r="K49" s="1154"/>
      <c r="L49" s="134"/>
      <c r="M49" s="1155" t="s">
        <v>844</v>
      </c>
      <c r="N49" s="1156"/>
      <c r="O49" s="1157"/>
      <c r="P49" s="135"/>
      <c r="Q49" s="1155" t="s">
        <v>844</v>
      </c>
      <c r="R49" s="1156"/>
      <c r="S49" s="1157"/>
      <c r="T49" s="135"/>
      <c r="U49" s="1155" t="s">
        <v>844</v>
      </c>
      <c r="V49" s="1156"/>
      <c r="W49" s="1157"/>
      <c r="X49" s="135"/>
      <c r="Y49" s="1155" t="s">
        <v>844</v>
      </c>
      <c r="Z49" s="1156"/>
      <c r="AA49" s="1157"/>
    </row>
    <row r="50" spans="2:27" ht="15.75" x14ac:dyDescent="0.25">
      <c r="B50" s="330" t="s">
        <v>25</v>
      </c>
      <c r="C50" s="331"/>
      <c r="D50" s="5"/>
      <c r="E50" s="270" t="s">
        <v>844</v>
      </c>
      <c r="F50" s="271"/>
      <c r="G50" s="272"/>
      <c r="H50" s="133"/>
      <c r="I50" s="1152" t="s">
        <v>844</v>
      </c>
      <c r="J50" s="1153"/>
      <c r="K50" s="1154"/>
      <c r="L50" s="134"/>
      <c r="M50" s="1155" t="s">
        <v>844</v>
      </c>
      <c r="N50" s="1156"/>
      <c r="O50" s="1157"/>
      <c r="P50" s="135"/>
      <c r="Q50" s="1155" t="s">
        <v>844</v>
      </c>
      <c r="R50" s="1156"/>
      <c r="S50" s="1157"/>
      <c r="T50" s="135"/>
      <c r="U50" s="1155" t="s">
        <v>844</v>
      </c>
      <c r="V50" s="1156"/>
      <c r="W50" s="1157"/>
      <c r="X50" s="135"/>
      <c r="Y50" s="1155" t="s">
        <v>844</v>
      </c>
      <c r="Z50" s="1156"/>
      <c r="AA50" s="1157"/>
    </row>
    <row r="51" spans="2:27" ht="15.75" x14ac:dyDescent="0.25">
      <c r="B51" s="1145" t="s">
        <v>26</v>
      </c>
      <c r="C51" s="1146"/>
      <c r="D51" s="131"/>
      <c r="E51" s="1139" t="s">
        <v>265</v>
      </c>
      <c r="F51" s="1140"/>
      <c r="G51" s="1141"/>
      <c r="H51" s="4"/>
      <c r="I51" s="1142"/>
      <c r="J51" s="1143"/>
      <c r="K51" s="1144"/>
      <c r="L51" s="3"/>
      <c r="M51" s="1116"/>
      <c r="N51" s="1117"/>
      <c r="O51" s="1118"/>
      <c r="Q51" s="1116"/>
      <c r="R51" s="1117"/>
      <c r="S51" s="1118"/>
      <c r="U51" s="1116"/>
      <c r="V51" s="1117"/>
      <c r="W51" s="1118"/>
      <c r="Y51" s="1116"/>
      <c r="Z51" s="1117"/>
      <c r="AA51" s="1118"/>
    </row>
    <row r="52" spans="2:27" ht="15.75" x14ac:dyDescent="0.25">
      <c r="B52" s="330" t="s">
        <v>27</v>
      </c>
      <c r="C52" s="331"/>
      <c r="D52" s="5"/>
      <c r="E52" s="1139"/>
      <c r="F52" s="1140"/>
      <c r="G52" s="1141"/>
      <c r="H52" s="4"/>
      <c r="I52" s="1142"/>
      <c r="J52" s="1143"/>
      <c r="K52" s="1144"/>
      <c r="L52" s="3"/>
      <c r="M52" s="1116"/>
      <c r="N52" s="1117"/>
      <c r="O52" s="1118"/>
      <c r="Q52" s="1116"/>
      <c r="R52" s="1117"/>
      <c r="S52" s="1118"/>
      <c r="U52" s="1116"/>
      <c r="V52" s="1117"/>
      <c r="W52" s="1118"/>
      <c r="Y52" s="1116"/>
      <c r="Z52" s="1117"/>
      <c r="AA52" s="1118"/>
    </row>
    <row r="53" spans="2:27" ht="15.75" x14ac:dyDescent="0.25">
      <c r="B53" s="330" t="s">
        <v>28</v>
      </c>
      <c r="C53" s="331"/>
      <c r="D53" s="5"/>
      <c r="E53" s="1139"/>
      <c r="F53" s="1140"/>
      <c r="G53" s="1141"/>
      <c r="H53" s="4"/>
      <c r="I53" s="1142"/>
      <c r="J53" s="1143"/>
      <c r="K53" s="1144"/>
      <c r="L53" s="3"/>
      <c r="M53" s="1116"/>
      <c r="N53" s="1117"/>
      <c r="O53" s="1118"/>
      <c r="Q53" s="1116"/>
      <c r="R53" s="1117"/>
      <c r="S53" s="1118"/>
      <c r="U53" s="1116"/>
      <c r="V53" s="1117"/>
      <c r="W53" s="1118"/>
      <c r="Y53" s="1116"/>
      <c r="Z53" s="1117"/>
      <c r="AA53" s="1118"/>
    </row>
    <row r="54" spans="2:27" ht="15.75" x14ac:dyDescent="0.25">
      <c r="B54" s="1145" t="s">
        <v>29</v>
      </c>
      <c r="C54" s="1146"/>
      <c r="D54" s="131"/>
      <c r="E54" s="1139" t="s">
        <v>265</v>
      </c>
      <c r="F54" s="1140"/>
      <c r="G54" s="1141"/>
      <c r="H54" s="4"/>
      <c r="I54" s="1142"/>
      <c r="J54" s="1143"/>
      <c r="K54" s="1144"/>
      <c r="L54" s="3"/>
      <c r="M54" s="1116"/>
      <c r="N54" s="1117"/>
      <c r="O54" s="1118"/>
      <c r="Q54" s="1116"/>
      <c r="R54" s="1117"/>
      <c r="S54" s="1118"/>
      <c r="U54" s="1116"/>
      <c r="V54" s="1117"/>
      <c r="W54" s="1118"/>
      <c r="Y54" s="1116"/>
      <c r="Z54" s="1117"/>
      <c r="AA54" s="1118"/>
    </row>
    <row r="55" spans="2:27" ht="16.5" thickBot="1" x14ac:dyDescent="0.3">
      <c r="B55" s="347" t="s">
        <v>30</v>
      </c>
      <c r="C55" s="348"/>
      <c r="E55" s="1125"/>
      <c r="F55" s="1126"/>
      <c r="G55" s="1127"/>
      <c r="I55" s="1128"/>
      <c r="J55" s="1129"/>
      <c r="K55" s="1130"/>
      <c r="M55" s="1122"/>
      <c r="N55" s="1123"/>
      <c r="O55" s="1124"/>
      <c r="Q55" s="1122"/>
      <c r="R55" s="1123"/>
      <c r="S55" s="1124"/>
      <c r="U55" s="1122"/>
      <c r="V55" s="1123"/>
      <c r="W55" s="1124"/>
      <c r="Y55" s="1122"/>
      <c r="Z55" s="1123"/>
      <c r="AA55" s="1124"/>
    </row>
    <row r="58" spans="2:27" ht="15.75" x14ac:dyDescent="0.25">
      <c r="B58" s="623" t="s">
        <v>50</v>
      </c>
      <c r="C58" s="623"/>
      <c r="E58" s="661" t="s">
        <v>51</v>
      </c>
      <c r="F58" s="661"/>
      <c r="G58" s="661"/>
      <c r="H58" s="7"/>
      <c r="I58" s="662" t="s">
        <v>51</v>
      </c>
      <c r="J58" s="662"/>
      <c r="K58" s="662"/>
      <c r="L58" s="2"/>
      <c r="M58" s="663" t="s">
        <v>51</v>
      </c>
      <c r="N58" s="663"/>
      <c r="O58" s="663"/>
      <c r="Q58" s="663" t="s">
        <v>51</v>
      </c>
      <c r="R58" s="663"/>
      <c r="S58" s="663"/>
      <c r="U58" s="663" t="s">
        <v>51</v>
      </c>
      <c r="V58" s="663"/>
      <c r="W58" s="663"/>
      <c r="Y58" s="663" t="s">
        <v>51</v>
      </c>
      <c r="Z58" s="663"/>
      <c r="AA58" s="663"/>
    </row>
    <row r="59" spans="2:27" ht="16.5" thickBot="1" x14ac:dyDescent="0.3">
      <c r="B59" s="9"/>
      <c r="C59" s="9"/>
    </row>
    <row r="60" spans="2:27" ht="15.75" x14ac:dyDescent="0.25">
      <c r="B60" s="423" t="s">
        <v>845</v>
      </c>
      <c r="C60" s="424"/>
      <c r="E60" s="1133"/>
      <c r="F60" s="1134"/>
      <c r="G60" s="1135"/>
      <c r="H60" s="4"/>
      <c r="I60" s="1136"/>
      <c r="J60" s="1137"/>
      <c r="K60" s="1138"/>
      <c r="L60" s="3"/>
      <c r="M60" s="1119"/>
      <c r="N60" s="1120"/>
      <c r="O60" s="1121"/>
      <c r="Q60" s="1119"/>
      <c r="R60" s="1120"/>
      <c r="S60" s="1121"/>
      <c r="U60" s="1119"/>
      <c r="V60" s="1120"/>
      <c r="W60" s="1121"/>
      <c r="Y60" s="1119"/>
      <c r="Z60" s="1120"/>
      <c r="AA60" s="1121"/>
    </row>
    <row r="61" spans="2:27" ht="16.5" thickBot="1" x14ac:dyDescent="0.3">
      <c r="B61" s="347" t="s">
        <v>912</v>
      </c>
      <c r="C61" s="348"/>
      <c r="E61" s="1149"/>
      <c r="F61" s="1150"/>
      <c r="G61" s="1151"/>
      <c r="H61" s="4"/>
      <c r="I61" s="1128"/>
      <c r="J61" s="1129"/>
      <c r="K61" s="1130"/>
      <c r="L61" s="3"/>
      <c r="M61" s="1122"/>
      <c r="N61" s="1123"/>
      <c r="O61" s="1124"/>
      <c r="Q61" s="1122"/>
      <c r="R61" s="1123"/>
      <c r="S61" s="1124"/>
      <c r="U61" s="1122"/>
      <c r="V61" s="1123"/>
      <c r="W61" s="1124"/>
      <c r="Y61" s="1122"/>
      <c r="Z61" s="1123"/>
      <c r="AA61" s="1124"/>
    </row>
    <row r="63" spans="2:27" ht="15.75" x14ac:dyDescent="0.25">
      <c r="B63" s="601" t="s">
        <v>114</v>
      </c>
      <c r="C63" s="601"/>
      <c r="E63" s="632" t="s">
        <v>51</v>
      </c>
      <c r="F63" s="632"/>
      <c r="G63" s="632"/>
      <c r="H63" s="7"/>
      <c r="I63" s="633" t="s">
        <v>51</v>
      </c>
      <c r="J63" s="633"/>
      <c r="K63" s="633"/>
      <c r="L63" s="2"/>
      <c r="M63" s="634" t="s">
        <v>51</v>
      </c>
      <c r="N63" s="634"/>
      <c r="O63" s="634"/>
      <c r="Q63" s="634" t="s">
        <v>51</v>
      </c>
      <c r="R63" s="634"/>
      <c r="S63" s="634"/>
      <c r="U63" s="634" t="s">
        <v>51</v>
      </c>
      <c r="V63" s="634"/>
      <c r="W63" s="634"/>
      <c r="Y63" s="634" t="s">
        <v>51</v>
      </c>
      <c r="Z63" s="634"/>
      <c r="AA63" s="634"/>
    </row>
    <row r="64" spans="2:27" ht="16.5" thickBot="1" x14ac:dyDescent="0.3">
      <c r="B64" s="9"/>
      <c r="C64" s="9"/>
    </row>
    <row r="65" spans="2:27" ht="15.75" x14ac:dyDescent="0.25">
      <c r="B65" s="1131" t="s">
        <v>114</v>
      </c>
      <c r="C65" s="1132"/>
      <c r="D65" s="125"/>
      <c r="E65" s="1133" t="s">
        <v>689</v>
      </c>
      <c r="F65" s="1134"/>
      <c r="G65" s="1135"/>
      <c r="H65" s="4"/>
      <c r="I65" s="1136"/>
      <c r="J65" s="1137"/>
      <c r="K65" s="1138"/>
      <c r="L65" s="3"/>
      <c r="M65" s="1119"/>
      <c r="N65" s="1120"/>
      <c r="O65" s="1121"/>
      <c r="Q65" s="1119"/>
      <c r="R65" s="1120"/>
      <c r="S65" s="1121"/>
      <c r="U65" s="1119"/>
      <c r="V65" s="1120"/>
      <c r="W65" s="1121"/>
      <c r="Y65" s="1119"/>
      <c r="Z65" s="1120"/>
      <c r="AA65" s="1121"/>
    </row>
    <row r="66" spans="2:27" ht="16.5" thickBot="1" x14ac:dyDescent="0.3">
      <c r="B66" s="1147" t="s">
        <v>453</v>
      </c>
      <c r="C66" s="1148"/>
      <c r="D66" s="125"/>
      <c r="E66" s="1149" t="s">
        <v>265</v>
      </c>
      <c r="F66" s="1150"/>
      <c r="G66" s="1151"/>
      <c r="H66" s="4"/>
      <c r="I66" s="1128"/>
      <c r="J66" s="1129"/>
      <c r="K66" s="1130"/>
      <c r="L66" s="3"/>
      <c r="M66" s="1122"/>
      <c r="N66" s="1123"/>
      <c r="O66" s="1124"/>
      <c r="Q66" s="1122"/>
      <c r="R66" s="1123"/>
      <c r="S66" s="1124"/>
      <c r="U66" s="1122"/>
      <c r="V66" s="1123"/>
      <c r="W66" s="1124"/>
      <c r="Y66" s="1122"/>
      <c r="Z66" s="1123"/>
      <c r="AA66" s="1124"/>
    </row>
    <row r="69" spans="2:27" ht="23.25" x14ac:dyDescent="0.25">
      <c r="B69" s="189" t="s">
        <v>803</v>
      </c>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c r="AA69" s="189"/>
    </row>
    <row r="70" spans="2:27" ht="15.75" thickBot="1" x14ac:dyDescent="0.3"/>
    <row r="71" spans="2:27" ht="16.5" thickBot="1" x14ac:dyDescent="0.3">
      <c r="B71" s="1186" t="s">
        <v>810</v>
      </c>
      <c r="C71" s="1187"/>
      <c r="D71" s="6"/>
      <c r="E71" s="1188" t="s">
        <v>586</v>
      </c>
      <c r="F71" s="1189"/>
      <c r="G71" s="1189"/>
      <c r="H71" s="1189"/>
      <c r="I71" s="1189"/>
      <c r="J71" s="1189"/>
      <c r="K71" s="1189"/>
      <c r="L71" s="1189"/>
      <c r="M71" s="1189"/>
      <c r="N71" s="1189"/>
      <c r="O71" s="1186" t="s">
        <v>184</v>
      </c>
      <c r="P71" s="1187"/>
      <c r="Q71" s="1321" t="s">
        <v>507</v>
      </c>
      <c r="R71" s="1187"/>
    </row>
    <row r="72" spans="2:27" ht="15.75" x14ac:dyDescent="0.25">
      <c r="B72" s="1184" t="s">
        <v>808</v>
      </c>
      <c r="C72" s="1185"/>
      <c r="D72" s="136"/>
      <c r="E72" s="1212" t="s">
        <v>809</v>
      </c>
      <c r="F72" s="1213"/>
      <c r="G72" s="1213"/>
      <c r="H72" s="1213"/>
      <c r="I72" s="1213"/>
      <c r="J72" s="1213"/>
      <c r="K72" s="1213"/>
      <c r="L72" s="1213"/>
      <c r="M72" s="1213"/>
      <c r="N72" s="1214"/>
      <c r="O72" s="1199">
        <v>44524</v>
      </c>
      <c r="P72" s="1200"/>
      <c r="Q72" s="1215"/>
      <c r="R72" s="1200"/>
    </row>
    <row r="73" spans="2:27" ht="15.75" x14ac:dyDescent="0.25">
      <c r="B73" s="1184" t="s">
        <v>808</v>
      </c>
      <c r="C73" s="1185"/>
      <c r="D73" s="136"/>
      <c r="E73" s="1212" t="s">
        <v>809</v>
      </c>
      <c r="F73" s="1213"/>
      <c r="G73" s="1213"/>
      <c r="H73" s="1213"/>
      <c r="I73" s="1213"/>
      <c r="J73" s="1213"/>
      <c r="K73" s="1213"/>
      <c r="L73" s="1213"/>
      <c r="M73" s="1213"/>
      <c r="N73" s="1214"/>
      <c r="O73" s="1199">
        <v>44524</v>
      </c>
      <c r="P73" s="1200"/>
      <c r="Q73" s="1194"/>
      <c r="R73" s="1193"/>
    </row>
    <row r="74" spans="2:27" ht="15.75" x14ac:dyDescent="0.25">
      <c r="B74" s="1184" t="s">
        <v>808</v>
      </c>
      <c r="C74" s="1185"/>
      <c r="D74" s="136"/>
      <c r="E74" s="825" t="s">
        <v>812</v>
      </c>
      <c r="F74" s="826"/>
      <c r="G74" s="826"/>
      <c r="H74" s="826"/>
      <c r="I74" s="826"/>
      <c r="J74" s="826"/>
      <c r="K74" s="826"/>
      <c r="L74" s="826"/>
      <c r="M74" s="826"/>
      <c r="N74" s="1198"/>
      <c r="O74" s="1199">
        <v>44524</v>
      </c>
      <c r="P74" s="1200"/>
      <c r="Q74" s="1194"/>
      <c r="R74" s="1193"/>
    </row>
    <row r="75" spans="2:27" ht="15.75" x14ac:dyDescent="0.25">
      <c r="B75" s="1184" t="s">
        <v>808</v>
      </c>
      <c r="C75" s="1185"/>
      <c r="D75" s="136"/>
      <c r="E75" s="825" t="s">
        <v>812</v>
      </c>
      <c r="F75" s="826"/>
      <c r="G75" s="826"/>
      <c r="H75" s="826"/>
      <c r="I75" s="826"/>
      <c r="J75" s="826"/>
      <c r="K75" s="826"/>
      <c r="L75" s="826"/>
      <c r="M75" s="826"/>
      <c r="N75" s="1198"/>
      <c r="O75" s="1199">
        <v>44524</v>
      </c>
      <c r="P75" s="1200"/>
      <c r="Q75" s="1194"/>
      <c r="R75" s="1193"/>
    </row>
    <row r="76" spans="2:27" ht="15.75" x14ac:dyDescent="0.25">
      <c r="B76" s="1184" t="s">
        <v>808</v>
      </c>
      <c r="C76" s="1185"/>
      <c r="D76" s="136"/>
      <c r="E76" s="825" t="s">
        <v>812</v>
      </c>
      <c r="F76" s="826"/>
      <c r="G76" s="826"/>
      <c r="H76" s="826"/>
      <c r="I76" s="826"/>
      <c r="J76" s="826"/>
      <c r="K76" s="826"/>
      <c r="L76" s="826"/>
      <c r="M76" s="826"/>
      <c r="N76" s="1198"/>
      <c r="O76" s="1199">
        <v>44524</v>
      </c>
      <c r="P76" s="1200"/>
      <c r="Q76" s="1194"/>
      <c r="R76" s="1193"/>
    </row>
    <row r="77" spans="2:27" ht="15.75" x14ac:dyDescent="0.25">
      <c r="B77" s="1184" t="s">
        <v>808</v>
      </c>
      <c r="C77" s="1185"/>
      <c r="D77" s="136"/>
      <c r="E77" s="825" t="s">
        <v>812</v>
      </c>
      <c r="F77" s="826"/>
      <c r="G77" s="826"/>
      <c r="H77" s="826"/>
      <c r="I77" s="826"/>
      <c r="J77" s="826"/>
      <c r="K77" s="826"/>
      <c r="L77" s="826"/>
      <c r="M77" s="826"/>
      <c r="N77" s="1198"/>
      <c r="O77" s="1199">
        <v>44524</v>
      </c>
      <c r="P77" s="1200"/>
      <c r="Q77" s="1194"/>
      <c r="R77" s="1193"/>
    </row>
    <row r="78" spans="2:27" ht="15.75" x14ac:dyDescent="0.25">
      <c r="B78" s="1184" t="s">
        <v>808</v>
      </c>
      <c r="C78" s="1185"/>
      <c r="D78" s="136"/>
      <c r="E78" s="825" t="s">
        <v>812</v>
      </c>
      <c r="F78" s="826"/>
      <c r="G78" s="826"/>
      <c r="H78" s="826"/>
      <c r="I78" s="826"/>
      <c r="J78" s="826"/>
      <c r="K78" s="826"/>
      <c r="L78" s="826"/>
      <c r="M78" s="826"/>
      <c r="N78" s="1198"/>
      <c r="O78" s="1199">
        <v>44524</v>
      </c>
      <c r="P78" s="1200"/>
      <c r="Q78" s="1194"/>
      <c r="R78" s="1193"/>
    </row>
    <row r="79" spans="2:27" ht="15.75" x14ac:dyDescent="0.25">
      <c r="B79" s="1184" t="s">
        <v>808</v>
      </c>
      <c r="C79" s="1185"/>
      <c r="D79" s="136"/>
      <c r="E79" s="825" t="s">
        <v>812</v>
      </c>
      <c r="F79" s="826"/>
      <c r="G79" s="826"/>
      <c r="H79" s="826"/>
      <c r="I79" s="826"/>
      <c r="J79" s="826"/>
      <c r="K79" s="826"/>
      <c r="L79" s="826"/>
      <c r="M79" s="826"/>
      <c r="N79" s="1198"/>
      <c r="O79" s="1199">
        <v>44524</v>
      </c>
      <c r="P79" s="1200"/>
      <c r="Q79" s="1194"/>
      <c r="R79" s="1193"/>
    </row>
    <row r="80" spans="2:27" ht="15.75" x14ac:dyDescent="0.25">
      <c r="B80" s="1184"/>
      <c r="C80" s="1185"/>
      <c r="D80" s="137"/>
      <c r="E80" s="825"/>
      <c r="F80" s="826"/>
      <c r="G80" s="826"/>
      <c r="H80" s="826"/>
      <c r="I80" s="826"/>
      <c r="J80" s="826"/>
      <c r="K80" s="826"/>
      <c r="L80" s="826"/>
      <c r="M80" s="826"/>
      <c r="N80" s="1198"/>
      <c r="O80" s="1199"/>
      <c r="P80" s="1200"/>
      <c r="Q80" s="1194"/>
      <c r="R80" s="1193"/>
    </row>
    <row r="81" spans="2:18" ht="15.75" x14ac:dyDescent="0.25">
      <c r="B81" s="953"/>
      <c r="C81" s="954"/>
      <c r="D81" s="136"/>
      <c r="E81" s="1216"/>
      <c r="F81" s="1217"/>
      <c r="G81" s="1217"/>
      <c r="H81" s="1217"/>
      <c r="I81" s="1217"/>
      <c r="J81" s="1217"/>
      <c r="K81" s="1217"/>
      <c r="L81" s="1217"/>
      <c r="M81" s="1217"/>
      <c r="N81" s="1218"/>
      <c r="O81" s="1192"/>
      <c r="P81" s="1193"/>
      <c r="Q81" s="1194"/>
      <c r="R81" s="1193"/>
    </row>
    <row r="82" spans="2:18" ht="15.75" x14ac:dyDescent="0.25">
      <c r="B82" s="239"/>
      <c r="C82" s="240"/>
      <c r="D82" s="5"/>
      <c r="E82" s="1195"/>
      <c r="F82" s="1196"/>
      <c r="G82" s="1196"/>
      <c r="H82" s="1196"/>
      <c r="I82" s="1196"/>
      <c r="J82" s="1196"/>
      <c r="K82" s="1196"/>
      <c r="L82" s="1196"/>
      <c r="M82" s="1196"/>
      <c r="N82" s="1197"/>
      <c r="O82" s="1201"/>
      <c r="P82" s="1202"/>
      <c r="Q82" s="1203"/>
      <c r="R82" s="1202"/>
    </row>
    <row r="83" spans="2:18" ht="15.75" x14ac:dyDescent="0.25">
      <c r="B83" s="239"/>
      <c r="C83" s="240"/>
      <c r="D83" s="5"/>
      <c r="E83" s="1195"/>
      <c r="F83" s="1196"/>
      <c r="G83" s="1196"/>
      <c r="H83" s="1196"/>
      <c r="I83" s="1196"/>
      <c r="J83" s="1196"/>
      <c r="K83" s="1196"/>
      <c r="L83" s="1196"/>
      <c r="M83" s="1196"/>
      <c r="N83" s="1197"/>
      <c r="O83" s="1201"/>
      <c r="P83" s="1202"/>
      <c r="Q83" s="1203"/>
      <c r="R83" s="1202"/>
    </row>
    <row r="84" spans="2:18" ht="15.75" x14ac:dyDescent="0.25">
      <c r="B84" s="239"/>
      <c r="C84" s="240"/>
      <c r="D84" s="5"/>
      <c r="E84" s="1195"/>
      <c r="F84" s="1196"/>
      <c r="G84" s="1196"/>
      <c r="H84" s="1196"/>
      <c r="I84" s="1196"/>
      <c r="J84" s="1196"/>
      <c r="K84" s="1196"/>
      <c r="L84" s="1196"/>
      <c r="M84" s="1196"/>
      <c r="N84" s="1197"/>
      <c r="O84" s="1201"/>
      <c r="P84" s="1202"/>
      <c r="Q84" s="1203"/>
      <c r="R84" s="1202"/>
    </row>
    <row r="85" spans="2:18" ht="15.75" x14ac:dyDescent="0.25">
      <c r="B85" s="239"/>
      <c r="C85" s="240"/>
      <c r="D85" s="5"/>
      <c r="E85" s="1195"/>
      <c r="F85" s="1196"/>
      <c r="G85" s="1196"/>
      <c r="H85" s="1196"/>
      <c r="I85" s="1196"/>
      <c r="J85" s="1196"/>
      <c r="K85" s="1196"/>
      <c r="L85" s="1196"/>
      <c r="M85" s="1196"/>
      <c r="N85" s="1197"/>
      <c r="O85" s="1201"/>
      <c r="P85" s="1202"/>
      <c r="Q85" s="1203"/>
      <c r="R85" s="1202"/>
    </row>
    <row r="86" spans="2:18" ht="15.75" x14ac:dyDescent="0.25">
      <c r="B86" s="1180"/>
      <c r="C86" s="1181"/>
      <c r="D86" s="5"/>
      <c r="E86" s="1308"/>
      <c r="F86" s="1309"/>
      <c r="G86" s="1309"/>
      <c r="H86" s="1309"/>
      <c r="I86" s="1309"/>
      <c r="J86" s="1309"/>
      <c r="K86" s="1309"/>
      <c r="L86" s="1309"/>
      <c r="M86" s="1309"/>
      <c r="N86" s="1310"/>
      <c r="O86" s="1282"/>
      <c r="P86" s="1283"/>
      <c r="Q86" s="1203"/>
      <c r="R86" s="1202"/>
    </row>
    <row r="87" spans="2:18" ht="15.75" x14ac:dyDescent="0.25">
      <c r="B87" s="239"/>
      <c r="C87" s="240"/>
      <c r="D87" s="5"/>
      <c r="E87" s="1195"/>
      <c r="F87" s="1196"/>
      <c r="G87" s="1196"/>
      <c r="H87" s="1196"/>
      <c r="I87" s="1196"/>
      <c r="J87" s="1196"/>
      <c r="K87" s="1196"/>
      <c r="L87" s="1196"/>
      <c r="M87" s="1196"/>
      <c r="N87" s="1197"/>
      <c r="O87" s="1201"/>
      <c r="P87" s="1202"/>
      <c r="Q87" s="1203"/>
      <c r="R87" s="1202"/>
    </row>
    <row r="88" spans="2:18" ht="15.75" x14ac:dyDescent="0.25">
      <c r="B88" s="239"/>
      <c r="C88" s="240"/>
      <c r="D88" s="5"/>
      <c r="E88" s="1195"/>
      <c r="F88" s="1196"/>
      <c r="G88" s="1196"/>
      <c r="H88" s="1196"/>
      <c r="I88" s="1196"/>
      <c r="J88" s="1196"/>
      <c r="K88" s="1196"/>
      <c r="L88" s="1196"/>
      <c r="M88" s="1196"/>
      <c r="N88" s="1197"/>
      <c r="O88" s="1201"/>
      <c r="P88" s="1202"/>
      <c r="Q88" s="1203"/>
      <c r="R88" s="1202"/>
    </row>
    <row r="89" spans="2:18" ht="15.75" x14ac:dyDescent="0.25">
      <c r="B89" s="239"/>
      <c r="C89" s="240"/>
      <c r="D89" s="5"/>
      <c r="E89" s="1195"/>
      <c r="F89" s="1196"/>
      <c r="G89" s="1196"/>
      <c r="H89" s="1196"/>
      <c r="I89" s="1196"/>
      <c r="J89" s="1196"/>
      <c r="K89" s="1196"/>
      <c r="L89" s="1196"/>
      <c r="M89" s="1196"/>
      <c r="N89" s="1197"/>
      <c r="O89" s="1201"/>
      <c r="P89" s="1202"/>
      <c r="Q89" s="1287"/>
      <c r="R89" s="1283"/>
    </row>
    <row r="90" spans="2:18" ht="15.75" x14ac:dyDescent="0.25">
      <c r="B90" s="239"/>
      <c r="C90" s="240"/>
      <c r="E90" s="1195"/>
      <c r="F90" s="1196"/>
      <c r="G90" s="1196"/>
      <c r="H90" s="1196"/>
      <c r="I90" s="1196"/>
      <c r="J90" s="1196"/>
      <c r="K90" s="1196"/>
      <c r="L90" s="1196"/>
      <c r="M90" s="1196"/>
      <c r="N90" s="1197"/>
      <c r="O90" s="1201"/>
      <c r="P90" s="1202"/>
      <c r="Q90" s="1296"/>
      <c r="R90" s="1297"/>
    </row>
    <row r="91" spans="2:18" ht="15.75" x14ac:dyDescent="0.25">
      <c r="B91" s="239"/>
      <c r="C91" s="240"/>
      <c r="E91" s="1195"/>
      <c r="F91" s="1196"/>
      <c r="G91" s="1196"/>
      <c r="H91" s="1196"/>
      <c r="I91" s="1196"/>
      <c r="J91" s="1196"/>
      <c r="K91" s="1196"/>
      <c r="L91" s="1196"/>
      <c r="M91" s="1196"/>
      <c r="N91" s="1197"/>
      <c r="O91" s="1201"/>
      <c r="P91" s="1202"/>
      <c r="Q91" s="1296"/>
      <c r="R91" s="1297"/>
    </row>
    <row r="92" spans="2:18" ht="15.75" x14ac:dyDescent="0.25">
      <c r="B92" s="239"/>
      <c r="C92" s="240"/>
      <c r="E92" s="1195"/>
      <c r="F92" s="1196"/>
      <c r="G92" s="1196"/>
      <c r="H92" s="1196"/>
      <c r="I92" s="1196"/>
      <c r="J92" s="1196"/>
      <c r="K92" s="1196"/>
      <c r="L92" s="1196"/>
      <c r="M92" s="1196"/>
      <c r="N92" s="1197"/>
      <c r="O92" s="1201"/>
      <c r="P92" s="1202"/>
      <c r="Q92" s="1296"/>
      <c r="R92" s="1297"/>
    </row>
    <row r="93" spans="2:18" ht="15.75" x14ac:dyDescent="0.25">
      <c r="B93" s="239"/>
      <c r="C93" s="240"/>
      <c r="E93" s="1311"/>
      <c r="F93" s="1312"/>
      <c r="G93" s="1312"/>
      <c r="H93" s="1312"/>
      <c r="I93" s="1312"/>
      <c r="J93" s="1312"/>
      <c r="K93" s="1312"/>
      <c r="L93" s="1312"/>
      <c r="M93" s="1312"/>
      <c r="N93" s="1313"/>
      <c r="O93" s="1201"/>
      <c r="P93" s="1202"/>
      <c r="Q93" s="1296"/>
      <c r="R93" s="1297"/>
    </row>
    <row r="94" spans="2:18" ht="15.75" x14ac:dyDescent="0.25">
      <c r="B94" s="239"/>
      <c r="C94" s="240"/>
      <c r="D94" s="5"/>
      <c r="E94" s="1195"/>
      <c r="F94" s="1196"/>
      <c r="G94" s="1196"/>
      <c r="H94" s="1196"/>
      <c r="I94" s="1196"/>
      <c r="J94" s="1196"/>
      <c r="K94" s="1196"/>
      <c r="L94" s="1196"/>
      <c r="M94" s="1196"/>
      <c r="N94" s="1197"/>
      <c r="O94" s="1201"/>
      <c r="P94" s="1202"/>
      <c r="Q94" s="1203"/>
      <c r="R94" s="1202"/>
    </row>
    <row r="95" spans="2:18" ht="15.75" x14ac:dyDescent="0.25">
      <c r="B95" s="1180"/>
      <c r="C95" s="1181"/>
      <c r="D95" s="5"/>
      <c r="E95" s="1308"/>
      <c r="F95" s="1309"/>
      <c r="G95" s="1309"/>
      <c r="H95" s="1309"/>
      <c r="I95" s="1309"/>
      <c r="J95" s="1309"/>
      <c r="K95" s="1309"/>
      <c r="L95" s="1309"/>
      <c r="M95" s="1309"/>
      <c r="N95" s="1310"/>
      <c r="O95" s="1282"/>
      <c r="P95" s="1283"/>
      <c r="Q95" s="1287"/>
      <c r="R95" s="1283"/>
    </row>
    <row r="96" spans="2:18" ht="15.75" x14ac:dyDescent="0.25">
      <c r="B96" s="1180"/>
      <c r="C96" s="1181"/>
      <c r="D96" s="5"/>
      <c r="E96" s="1308"/>
      <c r="F96" s="1309"/>
      <c r="G96" s="1309"/>
      <c r="H96" s="1309"/>
      <c r="I96" s="1309"/>
      <c r="J96" s="1309"/>
      <c r="K96" s="1309"/>
      <c r="L96" s="1309"/>
      <c r="M96" s="1309"/>
      <c r="N96" s="1310"/>
      <c r="O96" s="1282"/>
      <c r="P96" s="1283"/>
      <c r="Q96" s="1287"/>
      <c r="R96" s="1283"/>
    </row>
    <row r="97" spans="2:18" ht="15.75" x14ac:dyDescent="0.25">
      <c r="B97" s="239"/>
      <c r="C97" s="240"/>
      <c r="D97" s="5"/>
      <c r="E97" s="1195"/>
      <c r="F97" s="1196"/>
      <c r="G97" s="1196"/>
      <c r="H97" s="1196"/>
      <c r="I97" s="1196"/>
      <c r="J97" s="1196"/>
      <c r="K97" s="1196"/>
      <c r="L97" s="1196"/>
      <c r="M97" s="1196"/>
      <c r="N97" s="1197"/>
      <c r="O97" s="1201"/>
      <c r="P97" s="1202"/>
      <c r="Q97" s="1203"/>
      <c r="R97" s="1202"/>
    </row>
    <row r="98" spans="2:18" ht="15.75" x14ac:dyDescent="0.25">
      <c r="B98" s="239"/>
      <c r="C98" s="240"/>
      <c r="D98" s="5"/>
      <c r="E98" s="1195"/>
      <c r="F98" s="1196"/>
      <c r="G98" s="1196"/>
      <c r="H98" s="1196"/>
      <c r="I98" s="1196"/>
      <c r="J98" s="1196"/>
      <c r="K98" s="1196"/>
      <c r="L98" s="1196"/>
      <c r="M98" s="1196"/>
      <c r="N98" s="1197"/>
      <c r="O98" s="1201"/>
      <c r="P98" s="1202"/>
      <c r="Q98" s="1203"/>
      <c r="R98" s="1202"/>
    </row>
    <row r="99" spans="2:18" ht="15.75" x14ac:dyDescent="0.25">
      <c r="B99" s="239"/>
      <c r="C99" s="240"/>
      <c r="D99" s="5"/>
      <c r="E99" s="1195"/>
      <c r="F99" s="1196"/>
      <c r="G99" s="1196"/>
      <c r="H99" s="1196"/>
      <c r="I99" s="1196"/>
      <c r="J99" s="1196"/>
      <c r="K99" s="1196"/>
      <c r="L99" s="1196"/>
      <c r="M99" s="1196"/>
      <c r="N99" s="1197"/>
      <c r="O99" s="1201"/>
      <c r="P99" s="1202"/>
      <c r="Q99" s="1203"/>
      <c r="R99" s="1202"/>
    </row>
    <row r="100" spans="2:18" ht="15.75" x14ac:dyDescent="0.25">
      <c r="B100" s="239"/>
      <c r="C100" s="240"/>
      <c r="D100" s="5"/>
      <c r="E100" s="1195"/>
      <c r="F100" s="1196"/>
      <c r="G100" s="1196"/>
      <c r="H100" s="1196"/>
      <c r="I100" s="1196"/>
      <c r="J100" s="1196"/>
      <c r="K100" s="1196"/>
      <c r="L100" s="1196"/>
      <c r="M100" s="1196"/>
      <c r="N100" s="1197"/>
      <c r="O100" s="1201"/>
      <c r="P100" s="1202"/>
      <c r="Q100" s="1203"/>
      <c r="R100" s="1202"/>
    </row>
    <row r="101" spans="2:18" ht="15.75" x14ac:dyDescent="0.25">
      <c r="B101" s="239"/>
      <c r="C101" s="240"/>
      <c r="E101" s="1195"/>
      <c r="F101" s="1196"/>
      <c r="G101" s="1196"/>
      <c r="H101" s="1196"/>
      <c r="I101" s="1196"/>
      <c r="J101" s="1196"/>
      <c r="K101" s="1196"/>
      <c r="L101" s="1196"/>
      <c r="M101" s="1196"/>
      <c r="N101" s="1197"/>
      <c r="O101" s="1201"/>
      <c r="P101" s="1202"/>
      <c r="Q101" s="1203"/>
      <c r="R101" s="1202"/>
    </row>
    <row r="102" spans="2:18" ht="15.75" x14ac:dyDescent="0.25">
      <c r="B102" s="1180"/>
      <c r="C102" s="1181"/>
      <c r="E102" s="1308"/>
      <c r="F102" s="1309"/>
      <c r="G102" s="1309"/>
      <c r="H102" s="1309"/>
      <c r="I102" s="1309"/>
      <c r="J102" s="1309"/>
      <c r="K102" s="1309"/>
      <c r="L102" s="1309"/>
      <c r="M102" s="1309"/>
      <c r="N102" s="1310"/>
      <c r="O102" s="1314"/>
      <c r="P102" s="1315"/>
      <c r="Q102" s="1316"/>
      <c r="R102" s="1315"/>
    </row>
    <row r="103" spans="2:18" ht="15.75" x14ac:dyDescent="0.25">
      <c r="B103" s="1180"/>
      <c r="C103" s="1181"/>
      <c r="E103" s="1322"/>
      <c r="F103" s="1323"/>
      <c r="G103" s="1323"/>
      <c r="H103" s="1323"/>
      <c r="I103" s="1323"/>
      <c r="J103" s="1323"/>
      <c r="K103" s="1323"/>
      <c r="L103" s="1323"/>
      <c r="M103" s="1323"/>
      <c r="N103" s="1324"/>
      <c r="O103" s="1314"/>
      <c r="P103" s="1315"/>
      <c r="Q103" s="1316"/>
      <c r="R103" s="1315"/>
    </row>
    <row r="104" spans="2:18" ht="15.75" x14ac:dyDescent="0.25">
      <c r="B104" s="239"/>
      <c r="C104" s="240"/>
      <c r="E104" s="1195"/>
      <c r="F104" s="1196"/>
      <c r="G104" s="1196"/>
      <c r="H104" s="1196"/>
      <c r="I104" s="1196"/>
      <c r="J104" s="1196"/>
      <c r="K104" s="1196"/>
      <c r="L104" s="1196"/>
      <c r="M104" s="1196"/>
      <c r="N104" s="1197"/>
      <c r="O104" s="1201"/>
      <c r="P104" s="1202"/>
      <c r="Q104" s="1203"/>
      <c r="R104" s="1202"/>
    </row>
    <row r="105" spans="2:18" ht="15.75" x14ac:dyDescent="0.25">
      <c r="B105" s="239"/>
      <c r="C105" s="240"/>
      <c r="E105" s="1195"/>
      <c r="F105" s="1196"/>
      <c r="G105" s="1196"/>
      <c r="H105" s="1196"/>
      <c r="I105" s="1196"/>
      <c r="J105" s="1196"/>
      <c r="K105" s="1196"/>
      <c r="L105" s="1196"/>
      <c r="M105" s="1196"/>
      <c r="N105" s="1197"/>
      <c r="O105" s="1201"/>
      <c r="P105" s="1202"/>
      <c r="Q105" s="1203"/>
      <c r="R105" s="1202"/>
    </row>
    <row r="106" spans="2:18" ht="15.75" x14ac:dyDescent="0.25">
      <c r="B106" s="239"/>
      <c r="C106" s="240"/>
      <c r="E106" s="1195"/>
      <c r="F106" s="1196"/>
      <c r="G106" s="1196"/>
      <c r="H106" s="1196"/>
      <c r="I106" s="1196"/>
      <c r="J106" s="1196"/>
      <c r="K106" s="1196"/>
      <c r="L106" s="1196"/>
      <c r="M106" s="1196"/>
      <c r="N106" s="1197"/>
      <c r="O106" s="1201"/>
      <c r="P106" s="1202"/>
      <c r="Q106" s="1203"/>
      <c r="R106" s="1202"/>
    </row>
    <row r="107" spans="2:18" ht="15.75" x14ac:dyDescent="0.25">
      <c r="B107" s="239"/>
      <c r="C107" s="240"/>
      <c r="E107" s="1195"/>
      <c r="F107" s="1196"/>
      <c r="G107" s="1196"/>
      <c r="H107" s="1196"/>
      <c r="I107" s="1196"/>
      <c r="J107" s="1196"/>
      <c r="K107" s="1196"/>
      <c r="L107" s="1196"/>
      <c r="M107" s="1196"/>
      <c r="N107" s="1197"/>
      <c r="O107" s="1201"/>
      <c r="P107" s="1202"/>
      <c r="Q107" s="1203"/>
      <c r="R107" s="1202"/>
    </row>
    <row r="108" spans="2:18" ht="15.75" x14ac:dyDescent="0.25">
      <c r="B108" s="239"/>
      <c r="C108" s="240"/>
      <c r="E108" s="1195"/>
      <c r="F108" s="1196"/>
      <c r="G108" s="1196"/>
      <c r="H108" s="1196"/>
      <c r="I108" s="1196"/>
      <c r="J108" s="1196"/>
      <c r="K108" s="1196"/>
      <c r="L108" s="1196"/>
      <c r="M108" s="1196"/>
      <c r="N108" s="1197"/>
      <c r="O108" s="1201"/>
      <c r="P108" s="1202"/>
      <c r="Q108" s="1203"/>
      <c r="R108" s="1202"/>
    </row>
    <row r="109" spans="2:18" ht="15.75" x14ac:dyDescent="0.25">
      <c r="B109" s="239"/>
      <c r="C109" s="240"/>
      <c r="E109" s="1195"/>
      <c r="F109" s="1196"/>
      <c r="G109" s="1196"/>
      <c r="H109" s="1196"/>
      <c r="I109" s="1196"/>
      <c r="J109" s="1196"/>
      <c r="K109" s="1196"/>
      <c r="L109" s="1196"/>
      <c r="M109" s="1196"/>
      <c r="N109" s="1197"/>
      <c r="O109" s="1201"/>
      <c r="P109" s="1202"/>
      <c r="Q109" s="1203"/>
      <c r="R109" s="1202"/>
    </row>
    <row r="110" spans="2:18" ht="15.75" x14ac:dyDescent="0.25">
      <c r="B110" s="239"/>
      <c r="C110" s="240"/>
      <c r="E110" s="1195"/>
      <c r="F110" s="1196"/>
      <c r="G110" s="1196"/>
      <c r="H110" s="1196"/>
      <c r="I110" s="1196"/>
      <c r="J110" s="1196"/>
      <c r="K110" s="1196"/>
      <c r="L110" s="1196"/>
      <c r="M110" s="1196"/>
      <c r="N110" s="1197"/>
      <c r="O110" s="1201"/>
      <c r="P110" s="1202"/>
      <c r="Q110" s="1203"/>
      <c r="R110" s="1202"/>
    </row>
    <row r="111" spans="2:18" ht="15.75" x14ac:dyDescent="0.25">
      <c r="B111" s="239"/>
      <c r="C111" s="240"/>
      <c r="E111" s="1195"/>
      <c r="F111" s="1196"/>
      <c r="G111" s="1196"/>
      <c r="H111" s="1196"/>
      <c r="I111" s="1196"/>
      <c r="J111" s="1196"/>
      <c r="K111" s="1196"/>
      <c r="L111" s="1196"/>
      <c r="M111" s="1196"/>
      <c r="N111" s="1197"/>
      <c r="O111" s="1201"/>
      <c r="P111" s="1202"/>
      <c r="Q111" s="1203"/>
      <c r="R111" s="1202"/>
    </row>
    <row r="112" spans="2:18" ht="15.75" x14ac:dyDescent="0.25">
      <c r="B112" s="239"/>
      <c r="C112" s="240"/>
      <c r="E112" s="1195"/>
      <c r="F112" s="1196"/>
      <c r="G112" s="1196"/>
      <c r="H112" s="1196"/>
      <c r="I112" s="1196"/>
      <c r="J112" s="1196"/>
      <c r="K112" s="1196"/>
      <c r="L112" s="1196"/>
      <c r="M112" s="1196"/>
      <c r="N112" s="1197"/>
      <c r="O112" s="1201"/>
      <c r="P112" s="1202"/>
      <c r="Q112" s="1203"/>
      <c r="R112" s="1202"/>
    </row>
    <row r="113" spans="2:27" ht="16.5" thickBot="1" x14ac:dyDescent="0.3">
      <c r="B113" s="416"/>
      <c r="C113" s="417"/>
      <c r="E113" s="1317"/>
      <c r="F113" s="1318"/>
      <c r="G113" s="1318"/>
      <c r="H113" s="1318"/>
      <c r="I113" s="1318"/>
      <c r="J113" s="1318"/>
      <c r="K113" s="1318"/>
      <c r="L113" s="1318"/>
      <c r="M113" s="1318"/>
      <c r="N113" s="1319"/>
      <c r="O113" s="1247"/>
      <c r="P113" s="1248"/>
      <c r="Q113" s="1320"/>
      <c r="R113" s="1248"/>
    </row>
    <row r="116" spans="2:27" ht="23.25" x14ac:dyDescent="0.25">
      <c r="B116" s="189" t="s">
        <v>811</v>
      </c>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row>
    <row r="117" spans="2:27" ht="15.75" thickBot="1" x14ac:dyDescent="0.3"/>
    <row r="118" spans="2:27" ht="16.5" thickBot="1" x14ac:dyDescent="0.3">
      <c r="B118" s="1178" t="s">
        <v>0</v>
      </c>
      <c r="C118" s="1179"/>
      <c r="D118" s="6"/>
      <c r="E118" s="1188" t="s">
        <v>586</v>
      </c>
      <c r="F118" s="1189"/>
      <c r="G118" s="1189"/>
      <c r="H118" s="1189"/>
      <c r="I118" s="1189"/>
      <c r="J118" s="1189"/>
      <c r="K118" s="1189"/>
      <c r="L118" s="1189"/>
      <c r="M118" s="1189"/>
      <c r="N118" s="1259"/>
      <c r="O118" s="1178" t="s">
        <v>184</v>
      </c>
      <c r="P118" s="1179"/>
      <c r="Q118" s="1178" t="s">
        <v>807</v>
      </c>
      <c r="R118" s="1179"/>
    </row>
    <row r="119" spans="2:27" ht="15.75" x14ac:dyDescent="0.25">
      <c r="B119" s="389" t="s">
        <v>112</v>
      </c>
      <c r="C119" s="390"/>
      <c r="D119" s="5"/>
      <c r="E119" s="1260"/>
      <c r="F119" s="1261"/>
      <c r="G119" s="1261"/>
      <c r="H119" s="1261"/>
      <c r="I119" s="1261"/>
      <c r="J119" s="1261"/>
      <c r="K119" s="1261"/>
      <c r="L119" s="1261"/>
      <c r="M119" s="1261"/>
      <c r="N119" s="1262"/>
      <c r="O119" s="1257"/>
      <c r="P119" s="1258"/>
      <c r="Q119" s="1257"/>
      <c r="R119" s="1258"/>
    </row>
    <row r="120" spans="2:27" ht="15.75" x14ac:dyDescent="0.25">
      <c r="B120" s="239" t="s">
        <v>4</v>
      </c>
      <c r="C120" s="240"/>
      <c r="D120" s="5"/>
      <c r="E120" s="685"/>
      <c r="F120" s="686"/>
      <c r="G120" s="686"/>
      <c r="H120" s="686"/>
      <c r="I120" s="686"/>
      <c r="J120" s="686"/>
      <c r="K120" s="686"/>
      <c r="L120" s="686"/>
      <c r="M120" s="686"/>
      <c r="N120" s="687"/>
      <c r="O120" s="1201"/>
      <c r="P120" s="1202"/>
      <c r="Q120" s="1201"/>
      <c r="R120" s="1202"/>
    </row>
    <row r="121" spans="2:27" ht="15.75" x14ac:dyDescent="0.25">
      <c r="B121" s="239" t="s">
        <v>5</v>
      </c>
      <c r="C121" s="240"/>
      <c r="D121" s="5"/>
      <c r="E121" s="305" t="s">
        <v>812</v>
      </c>
      <c r="F121" s="306"/>
      <c r="G121" s="306"/>
      <c r="H121" s="306"/>
      <c r="I121" s="306"/>
      <c r="J121" s="306"/>
      <c r="K121" s="306"/>
      <c r="L121" s="306"/>
      <c r="M121" s="306"/>
      <c r="N121" s="1263"/>
      <c r="O121" s="1264">
        <v>44524</v>
      </c>
      <c r="P121" s="1265"/>
      <c r="Q121" s="1282"/>
      <c r="R121" s="1283"/>
    </row>
    <row r="122" spans="2:27" ht="15.75" x14ac:dyDescent="0.25">
      <c r="B122" s="239" t="s">
        <v>6</v>
      </c>
      <c r="C122" s="240"/>
      <c r="D122" s="5"/>
      <c r="E122" s="685"/>
      <c r="F122" s="686"/>
      <c r="G122" s="686"/>
      <c r="H122" s="686"/>
      <c r="I122" s="686"/>
      <c r="J122" s="686"/>
      <c r="K122" s="686"/>
      <c r="L122" s="686"/>
      <c r="M122" s="686"/>
      <c r="N122" s="687"/>
      <c r="O122" s="1201"/>
      <c r="P122" s="1202"/>
      <c r="Q122" s="1201"/>
      <c r="R122" s="1202"/>
    </row>
    <row r="123" spans="2:27" ht="15.75" x14ac:dyDescent="0.25">
      <c r="B123" s="239" t="s">
        <v>7</v>
      </c>
      <c r="C123" s="240"/>
      <c r="D123" s="5"/>
      <c r="E123" s="685"/>
      <c r="F123" s="686"/>
      <c r="G123" s="686"/>
      <c r="H123" s="686"/>
      <c r="I123" s="686"/>
      <c r="J123" s="686"/>
      <c r="K123" s="686"/>
      <c r="L123" s="686"/>
      <c r="M123" s="686"/>
      <c r="N123" s="687"/>
      <c r="O123" s="1201"/>
      <c r="P123" s="1202"/>
      <c r="Q123" s="1201"/>
      <c r="R123" s="1202"/>
    </row>
    <row r="124" spans="2:27" ht="15.75" x14ac:dyDescent="0.25">
      <c r="B124" s="239" t="s">
        <v>8</v>
      </c>
      <c r="C124" s="240"/>
      <c r="D124" s="5"/>
      <c r="E124" s="685"/>
      <c r="F124" s="686"/>
      <c r="G124" s="686"/>
      <c r="H124" s="686"/>
      <c r="I124" s="686"/>
      <c r="J124" s="686"/>
      <c r="K124" s="686"/>
      <c r="L124" s="686"/>
      <c r="M124" s="686"/>
      <c r="N124" s="687"/>
      <c r="O124" s="1201"/>
      <c r="P124" s="1202"/>
      <c r="Q124" s="1201"/>
      <c r="R124" s="1202"/>
    </row>
    <row r="125" spans="2:27" ht="15.75" x14ac:dyDescent="0.25">
      <c r="B125" s="239" t="s">
        <v>9</v>
      </c>
      <c r="C125" s="240"/>
      <c r="D125" s="5"/>
      <c r="E125" s="685"/>
      <c r="F125" s="686"/>
      <c r="G125" s="686"/>
      <c r="H125" s="686"/>
      <c r="I125" s="686"/>
      <c r="J125" s="686"/>
      <c r="K125" s="686"/>
      <c r="L125" s="686"/>
      <c r="M125" s="686"/>
      <c r="N125" s="687"/>
      <c r="O125" s="1201"/>
      <c r="P125" s="1202"/>
      <c r="Q125" s="1201"/>
      <c r="R125" s="1202"/>
    </row>
    <row r="126" spans="2:27" ht="15.75" x14ac:dyDescent="0.25">
      <c r="B126" s="239" t="s">
        <v>10</v>
      </c>
      <c r="C126" s="240"/>
      <c r="D126" s="5"/>
      <c r="E126" s="685"/>
      <c r="F126" s="686"/>
      <c r="G126" s="686"/>
      <c r="H126" s="686"/>
      <c r="I126" s="686"/>
      <c r="J126" s="686"/>
      <c r="K126" s="686"/>
      <c r="L126" s="686"/>
      <c r="M126" s="686"/>
      <c r="N126" s="687"/>
      <c r="O126" s="1201"/>
      <c r="P126" s="1202"/>
      <c r="Q126" s="1201"/>
      <c r="R126" s="1202"/>
    </row>
    <row r="127" spans="2:27" ht="16.5" thickBot="1" x14ac:dyDescent="0.3">
      <c r="B127" s="1176" t="s">
        <v>113</v>
      </c>
      <c r="C127" s="1177"/>
      <c r="D127" s="127"/>
      <c r="E127" s="1242"/>
      <c r="F127" s="1243"/>
      <c r="G127" s="1243"/>
      <c r="H127" s="1243"/>
      <c r="I127" s="1243"/>
      <c r="J127" s="1243"/>
      <c r="K127" s="1243"/>
      <c r="L127" s="1243"/>
      <c r="M127" s="1243"/>
      <c r="N127" s="1244"/>
      <c r="O127" s="1245"/>
      <c r="P127" s="1246"/>
      <c r="Q127" s="1245"/>
      <c r="R127" s="1246"/>
    </row>
    <row r="128" spans="2:27" ht="15.75" thickBot="1" x14ac:dyDescent="0.3"/>
    <row r="129" spans="2:18" ht="16.5" thickBot="1" x14ac:dyDescent="0.3">
      <c r="B129" s="368" t="s">
        <v>1</v>
      </c>
      <c r="C129" s="369"/>
      <c r="D129" s="6"/>
      <c r="E129" s="1249" t="s">
        <v>586</v>
      </c>
      <c r="F129" s="1250"/>
      <c r="G129" s="1250"/>
      <c r="H129" s="1250"/>
      <c r="I129" s="1250"/>
      <c r="J129" s="1250"/>
      <c r="K129" s="1250"/>
      <c r="L129" s="1250"/>
      <c r="M129" s="1250"/>
      <c r="N129" s="1250"/>
      <c r="O129" s="1255" t="s">
        <v>184</v>
      </c>
      <c r="P129" s="1256"/>
      <c r="Q129" s="1284" t="s">
        <v>807</v>
      </c>
      <c r="R129" s="1285"/>
    </row>
    <row r="130" spans="2:18" ht="15.75" x14ac:dyDescent="0.25">
      <c r="B130" s="251" t="s">
        <v>13</v>
      </c>
      <c r="C130" s="252"/>
      <c r="D130" s="5"/>
      <c r="E130" s="1251"/>
      <c r="F130" s="1252"/>
      <c r="G130" s="1252"/>
      <c r="H130" s="1252"/>
      <c r="I130" s="1252"/>
      <c r="J130" s="1252"/>
      <c r="K130" s="1252"/>
      <c r="L130" s="1252"/>
      <c r="M130" s="1252"/>
      <c r="N130" s="1252"/>
      <c r="O130" s="1257"/>
      <c r="P130" s="1258"/>
      <c r="Q130" s="1286"/>
      <c r="R130" s="1258"/>
    </row>
    <row r="131" spans="2:18" ht="15.75" x14ac:dyDescent="0.25">
      <c r="B131" s="239" t="s">
        <v>14</v>
      </c>
      <c r="C131" s="240"/>
      <c r="D131" s="5"/>
      <c r="E131" s="1204"/>
      <c r="F131" s="1205"/>
      <c r="G131" s="1205"/>
      <c r="H131" s="1205"/>
      <c r="I131" s="1205"/>
      <c r="J131" s="1205"/>
      <c r="K131" s="1205"/>
      <c r="L131" s="1205"/>
      <c r="M131" s="1205"/>
      <c r="N131" s="1205"/>
      <c r="O131" s="1201"/>
      <c r="P131" s="1202"/>
      <c r="Q131" s="1203"/>
      <c r="R131" s="1202"/>
    </row>
    <row r="132" spans="2:18" ht="15.75" x14ac:dyDescent="0.25">
      <c r="B132" s="239" t="s">
        <v>15</v>
      </c>
      <c r="C132" s="240"/>
      <c r="D132" s="5"/>
      <c r="E132" s="1204"/>
      <c r="F132" s="1205"/>
      <c r="G132" s="1205"/>
      <c r="H132" s="1205"/>
      <c r="I132" s="1205"/>
      <c r="J132" s="1205"/>
      <c r="K132" s="1205"/>
      <c r="L132" s="1205"/>
      <c r="M132" s="1205"/>
      <c r="N132" s="1205"/>
      <c r="O132" s="1201"/>
      <c r="P132" s="1202"/>
      <c r="Q132" s="1203"/>
      <c r="R132" s="1202"/>
    </row>
    <row r="133" spans="2:18" ht="15.75" x14ac:dyDescent="0.25">
      <c r="B133" s="239" t="s">
        <v>16</v>
      </c>
      <c r="C133" s="240"/>
      <c r="D133" s="5"/>
      <c r="E133" s="1204"/>
      <c r="F133" s="1205"/>
      <c r="G133" s="1205"/>
      <c r="H133" s="1205"/>
      <c r="I133" s="1205"/>
      <c r="J133" s="1205"/>
      <c r="K133" s="1205"/>
      <c r="L133" s="1205"/>
      <c r="M133" s="1205"/>
      <c r="N133" s="1205"/>
      <c r="O133" s="1201"/>
      <c r="P133" s="1202"/>
      <c r="Q133" s="1203"/>
      <c r="R133" s="1202"/>
    </row>
    <row r="134" spans="2:18" ht="15.75" x14ac:dyDescent="0.25">
      <c r="B134" s="261" t="s">
        <v>17</v>
      </c>
      <c r="C134" s="262"/>
      <c r="D134" s="5"/>
      <c r="E134" s="1204"/>
      <c r="F134" s="1205"/>
      <c r="G134" s="1205"/>
      <c r="H134" s="1205"/>
      <c r="I134" s="1205"/>
      <c r="J134" s="1205"/>
      <c r="K134" s="1205"/>
      <c r="L134" s="1205"/>
      <c r="M134" s="1205"/>
      <c r="N134" s="1205"/>
      <c r="O134" s="1201"/>
      <c r="P134" s="1202"/>
      <c r="Q134" s="1203"/>
      <c r="R134" s="1202"/>
    </row>
    <row r="135" spans="2:18" ht="15.75" x14ac:dyDescent="0.25">
      <c r="B135" s="1180" t="s">
        <v>18</v>
      </c>
      <c r="C135" s="1181"/>
      <c r="D135" s="5"/>
      <c r="E135" s="1253"/>
      <c r="F135" s="1254"/>
      <c r="G135" s="1254"/>
      <c r="H135" s="1254"/>
      <c r="I135" s="1254"/>
      <c r="J135" s="1254"/>
      <c r="K135" s="1254"/>
      <c r="L135" s="1254"/>
      <c r="M135" s="1254"/>
      <c r="N135" s="1254"/>
      <c r="O135" s="1282"/>
      <c r="P135" s="1283"/>
      <c r="Q135" s="1203"/>
      <c r="R135" s="1202"/>
    </row>
    <row r="136" spans="2:18" ht="15.75" x14ac:dyDescent="0.25">
      <c r="B136" s="261" t="s">
        <v>98</v>
      </c>
      <c r="C136" s="262"/>
      <c r="D136" s="5"/>
      <c r="E136" s="1204"/>
      <c r="F136" s="1205"/>
      <c r="G136" s="1205"/>
      <c r="H136" s="1205"/>
      <c r="I136" s="1205"/>
      <c r="J136" s="1205"/>
      <c r="K136" s="1205"/>
      <c r="L136" s="1205"/>
      <c r="M136" s="1205"/>
      <c r="N136" s="1205"/>
      <c r="O136" s="1201"/>
      <c r="P136" s="1202"/>
      <c r="Q136" s="1203"/>
      <c r="R136" s="1202"/>
    </row>
    <row r="137" spans="2:18" ht="15.75" x14ac:dyDescent="0.25">
      <c r="B137" s="261" t="s">
        <v>19</v>
      </c>
      <c r="C137" s="262"/>
      <c r="D137" s="5"/>
      <c r="E137" s="1204"/>
      <c r="F137" s="1205"/>
      <c r="G137" s="1205"/>
      <c r="H137" s="1205"/>
      <c r="I137" s="1205"/>
      <c r="J137" s="1205"/>
      <c r="K137" s="1205"/>
      <c r="L137" s="1205"/>
      <c r="M137" s="1205"/>
      <c r="N137" s="1205"/>
      <c r="O137" s="1201"/>
      <c r="P137" s="1202"/>
      <c r="Q137" s="1203"/>
      <c r="R137" s="1202"/>
    </row>
    <row r="138" spans="2:18" ht="15.75" x14ac:dyDescent="0.25">
      <c r="B138" s="239" t="s">
        <v>20</v>
      </c>
      <c r="C138" s="240"/>
      <c r="D138" s="5"/>
      <c r="E138" s="1204"/>
      <c r="F138" s="1205"/>
      <c r="G138" s="1205"/>
      <c r="H138" s="1205"/>
      <c r="I138" s="1205"/>
      <c r="J138" s="1205"/>
      <c r="K138" s="1205"/>
      <c r="L138" s="1205"/>
      <c r="M138" s="1205"/>
      <c r="N138" s="1205"/>
      <c r="O138" s="1201"/>
      <c r="P138" s="1202"/>
      <c r="Q138" s="1287"/>
      <c r="R138" s="1283"/>
    </row>
    <row r="139" spans="2:18" ht="15.75" x14ac:dyDescent="0.25">
      <c r="B139" s="239" t="s">
        <v>21</v>
      </c>
      <c r="C139" s="240"/>
      <c r="E139" s="1204"/>
      <c r="F139" s="1205"/>
      <c r="G139" s="1205"/>
      <c r="H139" s="1205"/>
      <c r="I139" s="1205"/>
      <c r="J139" s="1205"/>
      <c r="K139" s="1205"/>
      <c r="L139" s="1205"/>
      <c r="M139" s="1205"/>
      <c r="N139" s="1205"/>
      <c r="O139" s="1201"/>
      <c r="P139" s="1202"/>
      <c r="Q139" s="1296"/>
      <c r="R139" s="1297"/>
    </row>
    <row r="140" spans="2:18" ht="16.5" thickBot="1" x14ac:dyDescent="0.3">
      <c r="B140" s="416" t="s">
        <v>22</v>
      </c>
      <c r="C140" s="417"/>
      <c r="E140" s="1207"/>
      <c r="F140" s="1208"/>
      <c r="G140" s="1208"/>
      <c r="H140" s="1208"/>
      <c r="I140" s="1208"/>
      <c r="J140" s="1208"/>
      <c r="K140" s="1208"/>
      <c r="L140" s="1208"/>
      <c r="M140" s="1208"/>
      <c r="N140" s="1208"/>
      <c r="O140" s="1247"/>
      <c r="P140" s="1248"/>
      <c r="Q140" s="1298"/>
      <c r="R140" s="1299"/>
    </row>
    <row r="141" spans="2:18" ht="16.5" thickBot="1" x14ac:dyDescent="0.3">
      <c r="B141" s="9"/>
      <c r="C141" s="9"/>
    </row>
    <row r="142" spans="2:18" ht="16.5" thickBot="1" x14ac:dyDescent="0.3">
      <c r="B142" s="1182" t="s">
        <v>39</v>
      </c>
      <c r="C142" s="1183"/>
      <c r="E142" s="1270" t="s">
        <v>586</v>
      </c>
      <c r="F142" s="1271"/>
      <c r="G142" s="1271"/>
      <c r="H142" s="1271"/>
      <c r="I142" s="1271"/>
      <c r="J142" s="1271"/>
      <c r="K142" s="1271"/>
      <c r="L142" s="1271"/>
      <c r="M142" s="1271"/>
      <c r="N142" s="1272"/>
      <c r="O142" s="1300" t="s">
        <v>184</v>
      </c>
      <c r="P142" s="1301"/>
      <c r="Q142" s="1292" t="s">
        <v>807</v>
      </c>
      <c r="R142" s="1293"/>
    </row>
    <row r="143" spans="2:18" ht="15.75" x14ac:dyDescent="0.25">
      <c r="B143" s="241" t="s">
        <v>40</v>
      </c>
      <c r="C143" s="242"/>
      <c r="E143" s="1235"/>
      <c r="F143" s="1236"/>
      <c r="G143" s="1236"/>
      <c r="H143" s="1236"/>
      <c r="I143" s="1236"/>
      <c r="J143" s="1236"/>
      <c r="K143" s="1236"/>
      <c r="L143" s="1236"/>
      <c r="M143" s="1236"/>
      <c r="N143" s="1237"/>
      <c r="O143" s="1210"/>
      <c r="P143" s="1302"/>
      <c r="Q143" s="1304"/>
      <c r="R143" s="1305"/>
    </row>
    <row r="144" spans="2:18" ht="16.5" thickBot="1" x14ac:dyDescent="0.3">
      <c r="B144" s="347" t="s">
        <v>41</v>
      </c>
      <c r="C144" s="348"/>
      <c r="E144" s="1273"/>
      <c r="F144" s="1274"/>
      <c r="G144" s="1274"/>
      <c r="H144" s="1274"/>
      <c r="I144" s="1274"/>
      <c r="J144" s="1274"/>
      <c r="K144" s="1274"/>
      <c r="L144" s="1274"/>
      <c r="M144" s="1274"/>
      <c r="N144" s="1275"/>
      <c r="O144" s="1221"/>
      <c r="P144" s="1303"/>
      <c r="Q144" s="1306"/>
      <c r="R144" s="1307"/>
    </row>
    <row r="145" spans="2:18" ht="16.5" thickBot="1" x14ac:dyDescent="0.3">
      <c r="B145" s="9"/>
      <c r="C145" s="9"/>
    </row>
    <row r="146" spans="2:18" ht="16.5" thickBot="1" x14ac:dyDescent="0.3">
      <c r="B146" s="432" t="s">
        <v>2</v>
      </c>
      <c r="C146" s="433"/>
      <c r="D146" s="6"/>
      <c r="E146" s="1276" t="s">
        <v>586</v>
      </c>
      <c r="F146" s="1277"/>
      <c r="G146" s="1277"/>
      <c r="H146" s="1277"/>
      <c r="I146" s="1277"/>
      <c r="J146" s="1277"/>
      <c r="K146" s="1277"/>
      <c r="L146" s="1277"/>
      <c r="M146" s="1277"/>
      <c r="N146" s="1278"/>
      <c r="O146" s="1266" t="s">
        <v>184</v>
      </c>
      <c r="P146" s="1267"/>
      <c r="Q146" s="1266" t="s">
        <v>807</v>
      </c>
      <c r="R146" s="1267"/>
    </row>
    <row r="147" spans="2:18" ht="15.75" x14ac:dyDescent="0.25">
      <c r="B147" s="423" t="s">
        <v>23</v>
      </c>
      <c r="C147" s="424"/>
      <c r="D147" s="5"/>
      <c r="E147" s="1235"/>
      <c r="F147" s="1236"/>
      <c r="G147" s="1236"/>
      <c r="H147" s="1236"/>
      <c r="I147" s="1236"/>
      <c r="J147" s="1236"/>
      <c r="K147" s="1236"/>
      <c r="L147" s="1236"/>
      <c r="M147" s="1236"/>
      <c r="N147" s="1237"/>
      <c r="O147" s="1268"/>
      <c r="P147" s="1269"/>
      <c r="Q147" s="1268"/>
      <c r="R147" s="1269"/>
    </row>
    <row r="148" spans="2:18" ht="15.75" x14ac:dyDescent="0.25">
      <c r="B148" s="926" t="s">
        <v>24</v>
      </c>
      <c r="C148" s="927"/>
      <c r="D148" s="5"/>
      <c r="E148" s="1253"/>
      <c r="F148" s="1254"/>
      <c r="G148" s="1254"/>
      <c r="H148" s="1254"/>
      <c r="I148" s="1254"/>
      <c r="J148" s="1254"/>
      <c r="K148" s="1254"/>
      <c r="L148" s="1254"/>
      <c r="M148" s="1254"/>
      <c r="N148" s="1279"/>
      <c r="O148" s="1294"/>
      <c r="P148" s="1295"/>
      <c r="Q148" s="1294"/>
      <c r="R148" s="1295"/>
    </row>
    <row r="149" spans="2:18" ht="15.75" x14ac:dyDescent="0.25">
      <c r="B149" s="926" t="s">
        <v>25</v>
      </c>
      <c r="C149" s="927"/>
      <c r="D149" s="5"/>
      <c r="E149" s="1253"/>
      <c r="F149" s="1254"/>
      <c r="G149" s="1254"/>
      <c r="H149" s="1254"/>
      <c r="I149" s="1254"/>
      <c r="J149" s="1254"/>
      <c r="K149" s="1254"/>
      <c r="L149" s="1254"/>
      <c r="M149" s="1254"/>
      <c r="N149" s="1279"/>
      <c r="O149" s="1294"/>
      <c r="P149" s="1295"/>
      <c r="Q149" s="1294"/>
      <c r="R149" s="1295"/>
    </row>
    <row r="150" spans="2:18" ht="15.75" x14ac:dyDescent="0.25">
      <c r="B150" s="330" t="s">
        <v>26</v>
      </c>
      <c r="C150" s="331"/>
      <c r="D150" s="5"/>
      <c r="E150" s="1204"/>
      <c r="F150" s="1205"/>
      <c r="G150" s="1205"/>
      <c r="H150" s="1205"/>
      <c r="I150" s="1205"/>
      <c r="J150" s="1205"/>
      <c r="K150" s="1205"/>
      <c r="L150" s="1205"/>
      <c r="M150" s="1205"/>
      <c r="N150" s="1206"/>
      <c r="O150" s="1219"/>
      <c r="P150" s="1220"/>
      <c r="Q150" s="1219"/>
      <c r="R150" s="1220"/>
    </row>
    <row r="151" spans="2:18" ht="15.75" x14ac:dyDescent="0.25">
      <c r="B151" s="330" t="s">
        <v>27</v>
      </c>
      <c r="C151" s="331"/>
      <c r="D151" s="5"/>
      <c r="E151" s="1204"/>
      <c r="F151" s="1205"/>
      <c r="G151" s="1205"/>
      <c r="H151" s="1205"/>
      <c r="I151" s="1205"/>
      <c r="J151" s="1205"/>
      <c r="K151" s="1205"/>
      <c r="L151" s="1205"/>
      <c r="M151" s="1205"/>
      <c r="N151" s="1206"/>
      <c r="O151" s="1219"/>
      <c r="P151" s="1220"/>
      <c r="Q151" s="1219"/>
      <c r="R151" s="1220"/>
    </row>
    <row r="152" spans="2:18" ht="15.75" x14ac:dyDescent="0.25">
      <c r="B152" s="330" t="s">
        <v>28</v>
      </c>
      <c r="C152" s="331"/>
      <c r="D152" s="5"/>
      <c r="E152" s="1204"/>
      <c r="F152" s="1205"/>
      <c r="G152" s="1205"/>
      <c r="H152" s="1205"/>
      <c r="I152" s="1205"/>
      <c r="J152" s="1205"/>
      <c r="K152" s="1205"/>
      <c r="L152" s="1205"/>
      <c r="M152" s="1205"/>
      <c r="N152" s="1206"/>
      <c r="O152" s="1219"/>
      <c r="P152" s="1220"/>
      <c r="Q152" s="1219"/>
      <c r="R152" s="1220"/>
    </row>
    <row r="153" spans="2:18" ht="15.75" x14ac:dyDescent="0.25">
      <c r="B153" s="330" t="s">
        <v>29</v>
      </c>
      <c r="C153" s="331"/>
      <c r="D153" s="5"/>
      <c r="E153" s="1204"/>
      <c r="F153" s="1205"/>
      <c r="G153" s="1205"/>
      <c r="H153" s="1205"/>
      <c r="I153" s="1205"/>
      <c r="J153" s="1205"/>
      <c r="K153" s="1205"/>
      <c r="L153" s="1205"/>
      <c r="M153" s="1205"/>
      <c r="N153" s="1206"/>
      <c r="O153" s="1219"/>
      <c r="P153" s="1220"/>
      <c r="Q153" s="1219"/>
      <c r="R153" s="1220"/>
    </row>
    <row r="154" spans="2:18" ht="16.5" thickBot="1" x14ac:dyDescent="0.3">
      <c r="B154" s="347" t="s">
        <v>30</v>
      </c>
      <c r="C154" s="348"/>
      <c r="E154" s="1207"/>
      <c r="F154" s="1208"/>
      <c r="G154" s="1208"/>
      <c r="H154" s="1208"/>
      <c r="I154" s="1208"/>
      <c r="J154" s="1208"/>
      <c r="K154" s="1208"/>
      <c r="L154" s="1208"/>
      <c r="M154" s="1208"/>
      <c r="N154" s="1209"/>
      <c r="O154" s="1221"/>
      <c r="P154" s="1222"/>
      <c r="Q154" s="1221"/>
      <c r="R154" s="1222"/>
    </row>
    <row r="155" spans="2:18" ht="15.75" thickBot="1" x14ac:dyDescent="0.3"/>
    <row r="156" spans="2:18" ht="16.5" thickBot="1" x14ac:dyDescent="0.3">
      <c r="B156" s="276" t="s">
        <v>50</v>
      </c>
      <c r="C156" s="277"/>
      <c r="E156" s="1223" t="s">
        <v>586</v>
      </c>
      <c r="F156" s="1224"/>
      <c r="G156" s="1224"/>
      <c r="H156" s="1224"/>
      <c r="I156" s="1224"/>
      <c r="J156" s="1224"/>
      <c r="K156" s="1224"/>
      <c r="L156" s="1224"/>
      <c r="M156" s="1224"/>
      <c r="N156" s="1225"/>
      <c r="O156" s="1288" t="s">
        <v>184</v>
      </c>
      <c r="P156" s="1289"/>
      <c r="Q156" s="1288" t="s">
        <v>807</v>
      </c>
      <c r="R156" s="1289"/>
    </row>
    <row r="157" spans="2:18" ht="15.75" x14ac:dyDescent="0.25">
      <c r="B157" s="1190" t="s">
        <v>108</v>
      </c>
      <c r="C157" s="1191"/>
      <c r="E157" s="1226"/>
      <c r="F157" s="1227"/>
      <c r="G157" s="1227"/>
      <c r="H157" s="1227"/>
      <c r="I157" s="1227"/>
      <c r="J157" s="1227"/>
      <c r="K157" s="1227"/>
      <c r="L157" s="1227"/>
      <c r="M157" s="1227"/>
      <c r="N157" s="1228"/>
      <c r="O157" s="1290"/>
      <c r="P157" s="1291"/>
      <c r="Q157" s="1290"/>
      <c r="R157" s="1291"/>
    </row>
    <row r="158" spans="2:18" ht="16.5" thickBot="1" x14ac:dyDescent="0.3">
      <c r="B158" s="920" t="s">
        <v>109</v>
      </c>
      <c r="C158" s="921"/>
      <c r="E158" s="1229"/>
      <c r="F158" s="1230"/>
      <c r="G158" s="1230"/>
      <c r="H158" s="1230"/>
      <c r="I158" s="1230"/>
      <c r="J158" s="1230"/>
      <c r="K158" s="1230"/>
      <c r="L158" s="1230"/>
      <c r="M158" s="1230"/>
      <c r="N158" s="1231"/>
      <c r="O158" s="1238"/>
      <c r="P158" s="1239"/>
      <c r="Q158" s="1238"/>
      <c r="R158" s="1239"/>
    </row>
    <row r="159" spans="2:18" ht="15.75" thickBot="1" x14ac:dyDescent="0.3"/>
    <row r="160" spans="2:18" ht="16.5" thickBot="1" x14ac:dyDescent="0.3">
      <c r="B160" s="237" t="s">
        <v>114</v>
      </c>
      <c r="C160" s="238"/>
      <c r="E160" s="1232" t="s">
        <v>586</v>
      </c>
      <c r="F160" s="1233"/>
      <c r="G160" s="1233"/>
      <c r="H160" s="1233"/>
      <c r="I160" s="1233"/>
      <c r="J160" s="1233"/>
      <c r="K160" s="1233"/>
      <c r="L160" s="1233"/>
      <c r="M160" s="1233"/>
      <c r="N160" s="1234"/>
      <c r="O160" s="1240" t="s">
        <v>184</v>
      </c>
      <c r="P160" s="1241"/>
      <c r="Q160" s="1240" t="s">
        <v>807</v>
      </c>
      <c r="R160" s="1241"/>
    </row>
    <row r="161" spans="2:18" ht="15.75" x14ac:dyDescent="0.25">
      <c r="B161" s="241"/>
      <c r="C161" s="242"/>
      <c r="E161" s="1235"/>
      <c r="F161" s="1236"/>
      <c r="G161" s="1236"/>
      <c r="H161" s="1236"/>
      <c r="I161" s="1236"/>
      <c r="J161" s="1236"/>
      <c r="K161" s="1236"/>
      <c r="L161" s="1236"/>
      <c r="M161" s="1236"/>
      <c r="N161" s="1237"/>
      <c r="O161" s="1210"/>
      <c r="P161" s="1211"/>
      <c r="Q161" s="1210"/>
      <c r="R161" s="1211"/>
    </row>
    <row r="162" spans="2:18" ht="15.75" x14ac:dyDescent="0.25">
      <c r="B162" s="241"/>
      <c r="C162" s="242"/>
      <c r="E162" s="1204"/>
      <c r="F162" s="1205"/>
      <c r="G162" s="1205"/>
      <c r="H162" s="1205"/>
      <c r="I162" s="1205"/>
      <c r="J162" s="1205"/>
      <c r="K162" s="1205"/>
      <c r="L162" s="1205"/>
      <c r="M162" s="1205"/>
      <c r="N162" s="1206"/>
      <c r="O162" s="1210"/>
      <c r="P162" s="1211"/>
      <c r="Q162" s="1210"/>
      <c r="R162" s="1211"/>
    </row>
    <row r="163" spans="2:18" ht="15.75" x14ac:dyDescent="0.25">
      <c r="B163" s="241"/>
      <c r="C163" s="242"/>
      <c r="E163" s="1204"/>
      <c r="F163" s="1205"/>
      <c r="G163" s="1205"/>
      <c r="H163" s="1205"/>
      <c r="I163" s="1205"/>
      <c r="J163" s="1205"/>
      <c r="K163" s="1205"/>
      <c r="L163" s="1205"/>
      <c r="M163" s="1205"/>
      <c r="N163" s="1206"/>
      <c r="O163" s="1210"/>
      <c r="P163" s="1211"/>
      <c r="Q163" s="1210"/>
      <c r="R163" s="1211"/>
    </row>
    <row r="164" spans="2:18" ht="15.75" x14ac:dyDescent="0.25">
      <c r="B164" s="241"/>
      <c r="C164" s="242"/>
      <c r="E164" s="1204"/>
      <c r="F164" s="1205"/>
      <c r="G164" s="1205"/>
      <c r="H164" s="1205"/>
      <c r="I164" s="1205"/>
      <c r="J164" s="1205"/>
      <c r="K164" s="1205"/>
      <c r="L164" s="1205"/>
      <c r="M164" s="1205"/>
      <c r="N164" s="1206"/>
      <c r="O164" s="1210"/>
      <c r="P164" s="1211"/>
      <c r="Q164" s="1210"/>
      <c r="R164" s="1211"/>
    </row>
    <row r="165" spans="2:18" ht="15.75" x14ac:dyDescent="0.25">
      <c r="B165" s="241"/>
      <c r="C165" s="242"/>
      <c r="E165" s="1204"/>
      <c r="F165" s="1205"/>
      <c r="G165" s="1205"/>
      <c r="H165" s="1205"/>
      <c r="I165" s="1205"/>
      <c r="J165" s="1205"/>
      <c r="K165" s="1205"/>
      <c r="L165" s="1205"/>
      <c r="M165" s="1205"/>
      <c r="N165" s="1206"/>
      <c r="O165" s="1210"/>
      <c r="P165" s="1211"/>
      <c r="Q165" s="1210"/>
      <c r="R165" s="1211"/>
    </row>
    <row r="166" spans="2:18" ht="15.75" x14ac:dyDescent="0.25">
      <c r="B166" s="241"/>
      <c r="C166" s="242"/>
      <c r="E166" s="1204"/>
      <c r="F166" s="1205"/>
      <c r="G166" s="1205"/>
      <c r="H166" s="1205"/>
      <c r="I166" s="1205"/>
      <c r="J166" s="1205"/>
      <c r="K166" s="1205"/>
      <c r="L166" s="1205"/>
      <c r="M166" s="1205"/>
      <c r="N166" s="1206"/>
      <c r="O166" s="1210"/>
      <c r="P166" s="1211"/>
      <c r="Q166" s="1210"/>
      <c r="R166" s="1211"/>
    </row>
    <row r="167" spans="2:18" ht="15.75" x14ac:dyDescent="0.25">
      <c r="B167" s="241"/>
      <c r="C167" s="242"/>
      <c r="E167" s="1204"/>
      <c r="F167" s="1205"/>
      <c r="G167" s="1205"/>
      <c r="H167" s="1205"/>
      <c r="I167" s="1205"/>
      <c r="J167" s="1205"/>
      <c r="K167" s="1205"/>
      <c r="L167" s="1205"/>
      <c r="M167" s="1205"/>
      <c r="N167" s="1206"/>
      <c r="O167" s="1210"/>
      <c r="P167" s="1211"/>
      <c r="Q167" s="1210"/>
      <c r="R167" s="1211"/>
    </row>
    <row r="168" spans="2:18" ht="15.75" x14ac:dyDescent="0.25">
      <c r="B168" s="241"/>
      <c r="C168" s="242"/>
      <c r="E168" s="1204"/>
      <c r="F168" s="1205"/>
      <c r="G168" s="1205"/>
      <c r="H168" s="1205"/>
      <c r="I168" s="1205"/>
      <c r="J168" s="1205"/>
      <c r="K168" s="1205"/>
      <c r="L168" s="1205"/>
      <c r="M168" s="1205"/>
      <c r="N168" s="1206"/>
      <c r="O168" s="1210"/>
      <c r="P168" s="1211"/>
      <c r="Q168" s="1210"/>
      <c r="R168" s="1211"/>
    </row>
    <row r="169" spans="2:18" ht="15.75" x14ac:dyDescent="0.25">
      <c r="B169" s="241"/>
      <c r="C169" s="242"/>
      <c r="E169" s="1204"/>
      <c r="F169" s="1205"/>
      <c r="G169" s="1205"/>
      <c r="H169" s="1205"/>
      <c r="I169" s="1205"/>
      <c r="J169" s="1205"/>
      <c r="K169" s="1205"/>
      <c r="L169" s="1205"/>
      <c r="M169" s="1205"/>
      <c r="N169" s="1206"/>
      <c r="O169" s="1210"/>
      <c r="P169" s="1211"/>
      <c r="Q169" s="1210"/>
      <c r="R169" s="1211"/>
    </row>
    <row r="170" spans="2:18" ht="16.5" thickBot="1" x14ac:dyDescent="0.3">
      <c r="B170" s="243"/>
      <c r="C170" s="244"/>
      <c r="E170" s="1207"/>
      <c r="F170" s="1208"/>
      <c r="G170" s="1208"/>
      <c r="H170" s="1208"/>
      <c r="I170" s="1208"/>
      <c r="J170" s="1208"/>
      <c r="K170" s="1208"/>
      <c r="L170" s="1208"/>
      <c r="M170" s="1208"/>
      <c r="N170" s="1209"/>
      <c r="O170" s="1280"/>
      <c r="P170" s="1281"/>
      <c r="Q170" s="1280"/>
      <c r="R170" s="1281"/>
    </row>
  </sheetData>
  <mergeCells count="650">
    <mergeCell ref="O71:P71"/>
    <mergeCell ref="Q71:R71"/>
    <mergeCell ref="B111:C111"/>
    <mergeCell ref="E111:N111"/>
    <mergeCell ref="O111:P111"/>
    <mergeCell ref="Q111:R111"/>
    <mergeCell ref="B112:C112"/>
    <mergeCell ref="E112:N112"/>
    <mergeCell ref="O112:P112"/>
    <mergeCell ref="Q112:R112"/>
    <mergeCell ref="B105:C105"/>
    <mergeCell ref="E105:N105"/>
    <mergeCell ref="O105:P105"/>
    <mergeCell ref="Q105:R105"/>
    <mergeCell ref="B106:C106"/>
    <mergeCell ref="E106:N106"/>
    <mergeCell ref="O106:P106"/>
    <mergeCell ref="Q106:R106"/>
    <mergeCell ref="B107:C107"/>
    <mergeCell ref="E107:N107"/>
    <mergeCell ref="O107:P107"/>
    <mergeCell ref="Q107:R107"/>
    <mergeCell ref="B103:C103"/>
    <mergeCell ref="E103:N103"/>
    <mergeCell ref="B113:C113"/>
    <mergeCell ref="E113:N113"/>
    <mergeCell ref="O113:P113"/>
    <mergeCell ref="Q113:R113"/>
    <mergeCell ref="B108:C108"/>
    <mergeCell ref="E108:N108"/>
    <mergeCell ref="O108:P108"/>
    <mergeCell ref="Q108:R108"/>
    <mergeCell ref="B109:C109"/>
    <mergeCell ref="E109:N109"/>
    <mergeCell ref="O109:P109"/>
    <mergeCell ref="Q109:R109"/>
    <mergeCell ref="B110:C110"/>
    <mergeCell ref="E110:N110"/>
    <mergeCell ref="O110:P110"/>
    <mergeCell ref="Q110:R110"/>
    <mergeCell ref="O103:P103"/>
    <mergeCell ref="Q103:R103"/>
    <mergeCell ref="B104:C104"/>
    <mergeCell ref="E104:N104"/>
    <mergeCell ref="O104:P104"/>
    <mergeCell ref="Q104:R104"/>
    <mergeCell ref="B101:C101"/>
    <mergeCell ref="E101:N101"/>
    <mergeCell ref="O101:P101"/>
    <mergeCell ref="Q101:R101"/>
    <mergeCell ref="B102:C102"/>
    <mergeCell ref="E102:N102"/>
    <mergeCell ref="O102:P102"/>
    <mergeCell ref="Q102:R102"/>
    <mergeCell ref="B98:C98"/>
    <mergeCell ref="E98:N98"/>
    <mergeCell ref="O98:P98"/>
    <mergeCell ref="Q98:R98"/>
    <mergeCell ref="B99:C99"/>
    <mergeCell ref="E99:N99"/>
    <mergeCell ref="O99:P99"/>
    <mergeCell ref="Q99:R99"/>
    <mergeCell ref="B100:C100"/>
    <mergeCell ref="E100:N100"/>
    <mergeCell ref="O100:P100"/>
    <mergeCell ref="Q100:R100"/>
    <mergeCell ref="B95:C95"/>
    <mergeCell ref="E95:N95"/>
    <mergeCell ref="O95:P95"/>
    <mergeCell ref="Q95:R95"/>
    <mergeCell ref="B96:C96"/>
    <mergeCell ref="E96:N96"/>
    <mergeCell ref="O96:P96"/>
    <mergeCell ref="Q96:R96"/>
    <mergeCell ref="B97:C97"/>
    <mergeCell ref="E97:N97"/>
    <mergeCell ref="O97:P97"/>
    <mergeCell ref="Q97:R97"/>
    <mergeCell ref="B94:C94"/>
    <mergeCell ref="E94:N94"/>
    <mergeCell ref="O94:P94"/>
    <mergeCell ref="Q94:R94"/>
    <mergeCell ref="B91:C91"/>
    <mergeCell ref="E91:N91"/>
    <mergeCell ref="O91:P91"/>
    <mergeCell ref="Q91:R91"/>
    <mergeCell ref="B92:C92"/>
    <mergeCell ref="E92:N92"/>
    <mergeCell ref="O92:P92"/>
    <mergeCell ref="Q92:R92"/>
    <mergeCell ref="B89:C89"/>
    <mergeCell ref="E89:N89"/>
    <mergeCell ref="O89:P89"/>
    <mergeCell ref="Q89:R89"/>
    <mergeCell ref="B90:C90"/>
    <mergeCell ref="E90:N90"/>
    <mergeCell ref="O90:P90"/>
    <mergeCell ref="Q90:R90"/>
    <mergeCell ref="B93:C93"/>
    <mergeCell ref="E93:N93"/>
    <mergeCell ref="O93:P93"/>
    <mergeCell ref="Q93:R93"/>
    <mergeCell ref="B86:C86"/>
    <mergeCell ref="E86:N86"/>
    <mergeCell ref="O86:P86"/>
    <mergeCell ref="Q86:R86"/>
    <mergeCell ref="B87:C87"/>
    <mergeCell ref="E87:N87"/>
    <mergeCell ref="O87:P87"/>
    <mergeCell ref="Q87:R87"/>
    <mergeCell ref="B88:C88"/>
    <mergeCell ref="E88:N88"/>
    <mergeCell ref="O88:P88"/>
    <mergeCell ref="Q88:R88"/>
    <mergeCell ref="B83:C83"/>
    <mergeCell ref="E83:N83"/>
    <mergeCell ref="O83:P83"/>
    <mergeCell ref="Q83:R83"/>
    <mergeCell ref="B84:C84"/>
    <mergeCell ref="E84:N84"/>
    <mergeCell ref="O84:P84"/>
    <mergeCell ref="Q84:R84"/>
    <mergeCell ref="B85:C85"/>
    <mergeCell ref="E85:N85"/>
    <mergeCell ref="O85:P85"/>
    <mergeCell ref="Q85:R85"/>
    <mergeCell ref="Q165:R165"/>
    <mergeCell ref="Q166:R166"/>
    <mergeCell ref="Q167:R167"/>
    <mergeCell ref="Q168:R168"/>
    <mergeCell ref="Q169:R169"/>
    <mergeCell ref="Q170:R170"/>
    <mergeCell ref="Q143:R143"/>
    <mergeCell ref="Q144:R144"/>
    <mergeCell ref="Q152:R152"/>
    <mergeCell ref="O168:P168"/>
    <mergeCell ref="O169:P169"/>
    <mergeCell ref="O158:P158"/>
    <mergeCell ref="O160:P160"/>
    <mergeCell ref="O161:P161"/>
    <mergeCell ref="O162:P162"/>
    <mergeCell ref="O163:P163"/>
    <mergeCell ref="O164:P164"/>
    <mergeCell ref="O165:P165"/>
    <mergeCell ref="Q135:R135"/>
    <mergeCell ref="Q136:R136"/>
    <mergeCell ref="Q137:R137"/>
    <mergeCell ref="Q138:R138"/>
    <mergeCell ref="O156:P156"/>
    <mergeCell ref="O157:P157"/>
    <mergeCell ref="Q142:R142"/>
    <mergeCell ref="Q146:R146"/>
    <mergeCell ref="Q147:R147"/>
    <mergeCell ref="Q148:R148"/>
    <mergeCell ref="Q149:R149"/>
    <mergeCell ref="Q139:R139"/>
    <mergeCell ref="Q140:R140"/>
    <mergeCell ref="Q156:R156"/>
    <mergeCell ref="Q157:R157"/>
    <mergeCell ref="O142:P142"/>
    <mergeCell ref="O143:P143"/>
    <mergeCell ref="O148:P148"/>
    <mergeCell ref="O149:P149"/>
    <mergeCell ref="O150:P150"/>
    <mergeCell ref="O151:P151"/>
    <mergeCell ref="Q150:R150"/>
    <mergeCell ref="Q151:R151"/>
    <mergeCell ref="O144:P144"/>
    <mergeCell ref="O170:P170"/>
    <mergeCell ref="B69:AA69"/>
    <mergeCell ref="Q118:R118"/>
    <mergeCell ref="Q119:R119"/>
    <mergeCell ref="Q120:R120"/>
    <mergeCell ref="Q121:R121"/>
    <mergeCell ref="Q122:R122"/>
    <mergeCell ref="Q123:R123"/>
    <mergeCell ref="Q124:R124"/>
    <mergeCell ref="Q125:R125"/>
    <mergeCell ref="Q126:R126"/>
    <mergeCell ref="Q127:R127"/>
    <mergeCell ref="Q129:R129"/>
    <mergeCell ref="Q130:R130"/>
    <mergeCell ref="Q131:R131"/>
    <mergeCell ref="Q132:R132"/>
    <mergeCell ref="Q133:R133"/>
    <mergeCell ref="Q134:R134"/>
    <mergeCell ref="O132:P132"/>
    <mergeCell ref="O133:P133"/>
    <mergeCell ref="O134:P134"/>
    <mergeCell ref="O135:P135"/>
    <mergeCell ref="O136:P136"/>
    <mergeCell ref="O137:P137"/>
    <mergeCell ref="O146:P146"/>
    <mergeCell ref="O147:P147"/>
    <mergeCell ref="E142:N142"/>
    <mergeCell ref="E143:N143"/>
    <mergeCell ref="E144:N144"/>
    <mergeCell ref="E146:N146"/>
    <mergeCell ref="E147:N147"/>
    <mergeCell ref="E148:N148"/>
    <mergeCell ref="E149:N149"/>
    <mergeCell ref="E150:N150"/>
    <mergeCell ref="E151:N151"/>
    <mergeCell ref="B10:AA10"/>
    <mergeCell ref="B116:AA116"/>
    <mergeCell ref="E118:N118"/>
    <mergeCell ref="E119:N119"/>
    <mergeCell ref="E120:N120"/>
    <mergeCell ref="E121:N121"/>
    <mergeCell ref="E122:N122"/>
    <mergeCell ref="E123:N123"/>
    <mergeCell ref="E124:N124"/>
    <mergeCell ref="O118:P118"/>
    <mergeCell ref="O119:P119"/>
    <mergeCell ref="O120:P120"/>
    <mergeCell ref="O121:P121"/>
    <mergeCell ref="O122:P122"/>
    <mergeCell ref="O123:P123"/>
    <mergeCell ref="O124:P124"/>
    <mergeCell ref="Y53:AA53"/>
    <mergeCell ref="Y54:AA54"/>
    <mergeCell ref="Y55:AA55"/>
    <mergeCell ref="Y58:AA58"/>
    <mergeCell ref="Y60:AA60"/>
    <mergeCell ref="Y61:AA61"/>
    <mergeCell ref="Y63:AA63"/>
    <mergeCell ref="Y65:AA65"/>
    <mergeCell ref="Y66:AA66"/>
    <mergeCell ref="Y40:AA40"/>
    <mergeCell ref="Y42:AA42"/>
    <mergeCell ref="Y43:AA43"/>
    <mergeCell ref="Y46:AA46"/>
    <mergeCell ref="Y48:AA48"/>
    <mergeCell ref="Y49:AA49"/>
    <mergeCell ref="Y50:AA50"/>
    <mergeCell ref="Y51:AA51"/>
    <mergeCell ref="Y52:AA52"/>
    <mergeCell ref="U63:W63"/>
    <mergeCell ref="U65:W65"/>
    <mergeCell ref="U66:W66"/>
    <mergeCell ref="Y12:AA12"/>
    <mergeCell ref="Y14:AA14"/>
    <mergeCell ref="Y15:AA15"/>
    <mergeCell ref="Y16:AA16"/>
    <mergeCell ref="Y17:AA17"/>
    <mergeCell ref="Y18:AA18"/>
    <mergeCell ref="Y19:AA19"/>
    <mergeCell ref="Y20:AA20"/>
    <mergeCell ref="Y21:AA21"/>
    <mergeCell ref="Y22:AA22"/>
    <mergeCell ref="Y25:AA25"/>
    <mergeCell ref="Y27:AA27"/>
    <mergeCell ref="Y28:AA28"/>
    <mergeCell ref="Y29:AA29"/>
    <mergeCell ref="Y30:AA30"/>
    <mergeCell ref="Y31:AA31"/>
    <mergeCell ref="Y32:AA32"/>
    <mergeCell ref="Y34:AA34"/>
    <mergeCell ref="Y35:AA35"/>
    <mergeCell ref="Y36:AA36"/>
    <mergeCell ref="Y37:AA37"/>
    <mergeCell ref="U50:W50"/>
    <mergeCell ref="U51:W51"/>
    <mergeCell ref="U52:W52"/>
    <mergeCell ref="U53:W53"/>
    <mergeCell ref="U54:W54"/>
    <mergeCell ref="U55:W55"/>
    <mergeCell ref="U58:W58"/>
    <mergeCell ref="U60:W60"/>
    <mergeCell ref="U61:W61"/>
    <mergeCell ref="U35:W35"/>
    <mergeCell ref="U36:W36"/>
    <mergeCell ref="U37:W37"/>
    <mergeCell ref="U40:W40"/>
    <mergeCell ref="U42:W42"/>
    <mergeCell ref="U43:W43"/>
    <mergeCell ref="U46:W46"/>
    <mergeCell ref="U48:W48"/>
    <mergeCell ref="U49:W49"/>
    <mergeCell ref="U22:W22"/>
    <mergeCell ref="U25:W25"/>
    <mergeCell ref="U27:W27"/>
    <mergeCell ref="U28:W28"/>
    <mergeCell ref="U29:W29"/>
    <mergeCell ref="U30:W30"/>
    <mergeCell ref="U31:W31"/>
    <mergeCell ref="U32:W32"/>
    <mergeCell ref="U34:W34"/>
    <mergeCell ref="U33:W33"/>
    <mergeCell ref="U12:W12"/>
    <mergeCell ref="U14:W14"/>
    <mergeCell ref="U15:W15"/>
    <mergeCell ref="U16:W16"/>
    <mergeCell ref="U17:W17"/>
    <mergeCell ref="U18:W18"/>
    <mergeCell ref="U19:W19"/>
    <mergeCell ref="U20:W20"/>
    <mergeCell ref="U21:W21"/>
    <mergeCell ref="Q50:S50"/>
    <mergeCell ref="Q51:S51"/>
    <mergeCell ref="Q52:S52"/>
    <mergeCell ref="Q53:S53"/>
    <mergeCell ref="Q54:S54"/>
    <mergeCell ref="Q55:S55"/>
    <mergeCell ref="Q58:S58"/>
    <mergeCell ref="Q60:S60"/>
    <mergeCell ref="Q61:S61"/>
    <mergeCell ref="Q35:S35"/>
    <mergeCell ref="Q36:S36"/>
    <mergeCell ref="Q37:S37"/>
    <mergeCell ref="Q40:S40"/>
    <mergeCell ref="Q42:S42"/>
    <mergeCell ref="Q43:S43"/>
    <mergeCell ref="Q46:S46"/>
    <mergeCell ref="Q48:S48"/>
    <mergeCell ref="Q49:S49"/>
    <mergeCell ref="Q22:S22"/>
    <mergeCell ref="Q25:S25"/>
    <mergeCell ref="Q27:S27"/>
    <mergeCell ref="Q28:S28"/>
    <mergeCell ref="Q29:S29"/>
    <mergeCell ref="Q30:S30"/>
    <mergeCell ref="Q31:S31"/>
    <mergeCell ref="Q32:S32"/>
    <mergeCell ref="Q34:S34"/>
    <mergeCell ref="Q33:S33"/>
    <mergeCell ref="Q12:S12"/>
    <mergeCell ref="Q14:S14"/>
    <mergeCell ref="Q15:S15"/>
    <mergeCell ref="Q16:S16"/>
    <mergeCell ref="Q17:S17"/>
    <mergeCell ref="Q18:S18"/>
    <mergeCell ref="Q19:S19"/>
    <mergeCell ref="Q20:S20"/>
    <mergeCell ref="Q21:S21"/>
    <mergeCell ref="E125:N125"/>
    <mergeCell ref="E126:N126"/>
    <mergeCell ref="E127:N127"/>
    <mergeCell ref="O125:P125"/>
    <mergeCell ref="O126:P126"/>
    <mergeCell ref="O127:P127"/>
    <mergeCell ref="E138:N138"/>
    <mergeCell ref="E139:N139"/>
    <mergeCell ref="E140:N140"/>
    <mergeCell ref="O138:P138"/>
    <mergeCell ref="O139:P139"/>
    <mergeCell ref="O140:P140"/>
    <mergeCell ref="E129:N129"/>
    <mergeCell ref="E130:N130"/>
    <mergeCell ref="E131:N131"/>
    <mergeCell ref="E132:N132"/>
    <mergeCell ref="E133:N133"/>
    <mergeCell ref="E134:N134"/>
    <mergeCell ref="E135:N135"/>
    <mergeCell ref="E136:N136"/>
    <mergeCell ref="E137:N137"/>
    <mergeCell ref="O129:P129"/>
    <mergeCell ref="O130:P130"/>
    <mergeCell ref="O131:P131"/>
    <mergeCell ref="E152:N152"/>
    <mergeCell ref="E153:N153"/>
    <mergeCell ref="E154:N154"/>
    <mergeCell ref="O152:P152"/>
    <mergeCell ref="O153:P153"/>
    <mergeCell ref="O154:P154"/>
    <mergeCell ref="Q153:R153"/>
    <mergeCell ref="Q154:R154"/>
    <mergeCell ref="E166:N166"/>
    <mergeCell ref="E156:N156"/>
    <mergeCell ref="E157:N157"/>
    <mergeCell ref="E158:N158"/>
    <mergeCell ref="E160:N160"/>
    <mergeCell ref="E161:N161"/>
    <mergeCell ref="E162:N162"/>
    <mergeCell ref="E163:N163"/>
    <mergeCell ref="E164:N164"/>
    <mergeCell ref="E165:N165"/>
    <mergeCell ref="Q158:R158"/>
    <mergeCell ref="Q160:R160"/>
    <mergeCell ref="Q161:R161"/>
    <mergeCell ref="Q162:R162"/>
    <mergeCell ref="Q163:R163"/>
    <mergeCell ref="Q164:R164"/>
    <mergeCell ref="E167:N167"/>
    <mergeCell ref="E168:N168"/>
    <mergeCell ref="E169:N169"/>
    <mergeCell ref="E170:N170"/>
    <mergeCell ref="O166:P166"/>
    <mergeCell ref="O167:P167"/>
    <mergeCell ref="E72:N72"/>
    <mergeCell ref="O72:P72"/>
    <mergeCell ref="Q72:R72"/>
    <mergeCell ref="E73:N73"/>
    <mergeCell ref="O73:P73"/>
    <mergeCell ref="Q73:R73"/>
    <mergeCell ref="E74:N74"/>
    <mergeCell ref="O74:P74"/>
    <mergeCell ref="Q74:R74"/>
    <mergeCell ref="E75:N75"/>
    <mergeCell ref="O75:P75"/>
    <mergeCell ref="E79:N79"/>
    <mergeCell ref="O79:P79"/>
    <mergeCell ref="Q79:R79"/>
    <mergeCell ref="E80:N80"/>
    <mergeCell ref="O80:P80"/>
    <mergeCell ref="Q80:R80"/>
    <mergeCell ref="E81:N81"/>
    <mergeCell ref="O81:P81"/>
    <mergeCell ref="Q81:R81"/>
    <mergeCell ref="E82:N82"/>
    <mergeCell ref="B82:C82"/>
    <mergeCell ref="B81:C81"/>
    <mergeCell ref="B80:C80"/>
    <mergeCell ref="B78:C78"/>
    <mergeCell ref="B79:C79"/>
    <mergeCell ref="B75:C75"/>
    <mergeCell ref="B76:C76"/>
    <mergeCell ref="Q75:R75"/>
    <mergeCell ref="E76:N76"/>
    <mergeCell ref="O76:P76"/>
    <mergeCell ref="Q76:R76"/>
    <mergeCell ref="B77:C77"/>
    <mergeCell ref="E77:N77"/>
    <mergeCell ref="O77:P77"/>
    <mergeCell ref="Q77:R77"/>
    <mergeCell ref="E78:N78"/>
    <mergeCell ref="O78:P78"/>
    <mergeCell ref="Q78:R78"/>
    <mergeCell ref="O82:P82"/>
    <mergeCell ref="Q82:R82"/>
    <mergeCell ref="B73:C73"/>
    <mergeCell ref="B74:C74"/>
    <mergeCell ref="B71:C71"/>
    <mergeCell ref="B72:C72"/>
    <mergeCell ref="E71:N71"/>
    <mergeCell ref="B169:C169"/>
    <mergeCell ref="B170:C170"/>
    <mergeCell ref="B167:C167"/>
    <mergeCell ref="B168:C168"/>
    <mergeCell ref="B165:C165"/>
    <mergeCell ref="B166:C166"/>
    <mergeCell ref="B163:C163"/>
    <mergeCell ref="B164:C164"/>
    <mergeCell ref="B161:C161"/>
    <mergeCell ref="B162:C162"/>
    <mergeCell ref="B158:C158"/>
    <mergeCell ref="B160:C160"/>
    <mergeCell ref="B156:C156"/>
    <mergeCell ref="B157:C157"/>
    <mergeCell ref="B153:C153"/>
    <mergeCell ref="B154:C154"/>
    <mergeCell ref="B151:C151"/>
    <mergeCell ref="B152:C152"/>
    <mergeCell ref="B149:C149"/>
    <mergeCell ref="B150:C150"/>
    <mergeCell ref="B147:C147"/>
    <mergeCell ref="B148:C148"/>
    <mergeCell ref="B144:C144"/>
    <mergeCell ref="B146:C146"/>
    <mergeCell ref="B142:C142"/>
    <mergeCell ref="B143:C143"/>
    <mergeCell ref="B139:C139"/>
    <mergeCell ref="B140:C140"/>
    <mergeCell ref="B137:C137"/>
    <mergeCell ref="B138:C138"/>
    <mergeCell ref="B135:C135"/>
    <mergeCell ref="B136:C136"/>
    <mergeCell ref="B133:C133"/>
    <mergeCell ref="B134:C134"/>
    <mergeCell ref="B131:C131"/>
    <mergeCell ref="B132:C132"/>
    <mergeCell ref="B129:C129"/>
    <mergeCell ref="B130:C130"/>
    <mergeCell ref="B126:C126"/>
    <mergeCell ref="B127:C127"/>
    <mergeCell ref="B124:C124"/>
    <mergeCell ref="B125:C125"/>
    <mergeCell ref="B122:C122"/>
    <mergeCell ref="B123:C123"/>
    <mergeCell ref="B120:C120"/>
    <mergeCell ref="B121:C121"/>
    <mergeCell ref="B118:C118"/>
    <mergeCell ref="B119:C119"/>
    <mergeCell ref="B15:C15"/>
    <mergeCell ref="B16:C16"/>
    <mergeCell ref="E15:G15"/>
    <mergeCell ref="E16:G16"/>
    <mergeCell ref="I15:K15"/>
    <mergeCell ref="I16:K16"/>
    <mergeCell ref="M15:O15"/>
    <mergeCell ref="B12:C12"/>
    <mergeCell ref="E12:G12"/>
    <mergeCell ref="I12:K12"/>
    <mergeCell ref="M12:O12"/>
    <mergeCell ref="B13:C13"/>
    <mergeCell ref="B14:C14"/>
    <mergeCell ref="E14:G14"/>
    <mergeCell ref="I14:K14"/>
    <mergeCell ref="M14:O14"/>
    <mergeCell ref="M16:O16"/>
    <mergeCell ref="B22:C22"/>
    <mergeCell ref="E22:G22"/>
    <mergeCell ref="I22:K22"/>
    <mergeCell ref="B17:C17"/>
    <mergeCell ref="E17:G17"/>
    <mergeCell ref="I17:K17"/>
    <mergeCell ref="M17:O17"/>
    <mergeCell ref="B18:C18"/>
    <mergeCell ref="E18:G18"/>
    <mergeCell ref="I18:K18"/>
    <mergeCell ref="M18:O18"/>
    <mergeCell ref="B21:C21"/>
    <mergeCell ref="E21:G21"/>
    <mergeCell ref="I21:K21"/>
    <mergeCell ref="M21:O21"/>
    <mergeCell ref="B19:C19"/>
    <mergeCell ref="E19:G19"/>
    <mergeCell ref="I19:K19"/>
    <mergeCell ref="M19:O19"/>
    <mergeCell ref="B20:C20"/>
    <mergeCell ref="E20:G20"/>
    <mergeCell ref="I20:K20"/>
    <mergeCell ref="M20:O20"/>
    <mergeCell ref="M22:O22"/>
    <mergeCell ref="B25:C25"/>
    <mergeCell ref="E25:G25"/>
    <mergeCell ref="I25:K25"/>
    <mergeCell ref="M25:O25"/>
    <mergeCell ref="B26:C26"/>
    <mergeCell ref="B27:C27"/>
    <mergeCell ref="E27:G27"/>
    <mergeCell ref="I27:K27"/>
    <mergeCell ref="M27:O27"/>
    <mergeCell ref="B30:C30"/>
    <mergeCell ref="E30:G30"/>
    <mergeCell ref="I30:K30"/>
    <mergeCell ref="M30:O30"/>
    <mergeCell ref="B31:C31"/>
    <mergeCell ref="E31:G31"/>
    <mergeCell ref="I31:K31"/>
    <mergeCell ref="M31:O31"/>
    <mergeCell ref="B28:C28"/>
    <mergeCell ref="E28:G28"/>
    <mergeCell ref="I28:K28"/>
    <mergeCell ref="M28:O28"/>
    <mergeCell ref="B29:C29"/>
    <mergeCell ref="E29:G29"/>
    <mergeCell ref="I29:K29"/>
    <mergeCell ref="M29:O29"/>
    <mergeCell ref="B35:C35"/>
    <mergeCell ref="E35:G35"/>
    <mergeCell ref="I35:K35"/>
    <mergeCell ref="M35:O35"/>
    <mergeCell ref="B36:C36"/>
    <mergeCell ref="E36:G36"/>
    <mergeCell ref="I36:K36"/>
    <mergeCell ref="M36:O36"/>
    <mergeCell ref="B32:C32"/>
    <mergeCell ref="E32:G32"/>
    <mergeCell ref="I32:K32"/>
    <mergeCell ref="M32:O32"/>
    <mergeCell ref="B34:C34"/>
    <mergeCell ref="E34:G34"/>
    <mergeCell ref="I34:K34"/>
    <mergeCell ref="M34:O34"/>
    <mergeCell ref="B33:C33"/>
    <mergeCell ref="E33:G33"/>
    <mergeCell ref="I33:K33"/>
    <mergeCell ref="M33:O33"/>
    <mergeCell ref="B42:C42"/>
    <mergeCell ref="E42:G42"/>
    <mergeCell ref="I42:K42"/>
    <mergeCell ref="M42:O42"/>
    <mergeCell ref="B43:C43"/>
    <mergeCell ref="E43:G43"/>
    <mergeCell ref="I43:K43"/>
    <mergeCell ref="M43:O43"/>
    <mergeCell ref="B37:C37"/>
    <mergeCell ref="E37:G37"/>
    <mergeCell ref="I37:K37"/>
    <mergeCell ref="M37:O37"/>
    <mergeCell ref="B40:C40"/>
    <mergeCell ref="E40:G40"/>
    <mergeCell ref="I40:K40"/>
    <mergeCell ref="M40:O40"/>
    <mergeCell ref="B46:C46"/>
    <mergeCell ref="E46:G46"/>
    <mergeCell ref="I46:K46"/>
    <mergeCell ref="M46:O46"/>
    <mergeCell ref="B47:C47"/>
    <mergeCell ref="B48:C48"/>
    <mergeCell ref="E48:G48"/>
    <mergeCell ref="I48:K48"/>
    <mergeCell ref="M48:O48"/>
    <mergeCell ref="B51:C51"/>
    <mergeCell ref="E51:G51"/>
    <mergeCell ref="I51:K51"/>
    <mergeCell ref="M51:O51"/>
    <mergeCell ref="B52:C52"/>
    <mergeCell ref="E52:G52"/>
    <mergeCell ref="I52:K52"/>
    <mergeCell ref="M52:O52"/>
    <mergeCell ref="B49:C49"/>
    <mergeCell ref="E49:G49"/>
    <mergeCell ref="I49:K49"/>
    <mergeCell ref="M49:O49"/>
    <mergeCell ref="B50:C50"/>
    <mergeCell ref="E50:G50"/>
    <mergeCell ref="I50:K50"/>
    <mergeCell ref="M50:O50"/>
    <mergeCell ref="B66:C66"/>
    <mergeCell ref="E66:G66"/>
    <mergeCell ref="I66:K66"/>
    <mergeCell ref="M66:O66"/>
    <mergeCell ref="B60:C60"/>
    <mergeCell ref="E60:G60"/>
    <mergeCell ref="I60:K60"/>
    <mergeCell ref="M60:O60"/>
    <mergeCell ref="B61:C61"/>
    <mergeCell ref="E61:G61"/>
    <mergeCell ref="I61:K61"/>
    <mergeCell ref="M61:O61"/>
    <mergeCell ref="B63:C63"/>
    <mergeCell ref="E63:G63"/>
    <mergeCell ref="I63:K63"/>
    <mergeCell ref="M63:O63"/>
    <mergeCell ref="Y33:AA33"/>
    <mergeCell ref="Q63:S63"/>
    <mergeCell ref="Q65:S65"/>
    <mergeCell ref="Q66:S66"/>
    <mergeCell ref="B55:C55"/>
    <mergeCell ref="E55:G55"/>
    <mergeCell ref="I55:K55"/>
    <mergeCell ref="M55:O55"/>
    <mergeCell ref="B58:C58"/>
    <mergeCell ref="E58:G58"/>
    <mergeCell ref="I58:K58"/>
    <mergeCell ref="M58:O58"/>
    <mergeCell ref="B65:C65"/>
    <mergeCell ref="E65:G65"/>
    <mergeCell ref="I65:K65"/>
    <mergeCell ref="M65:O65"/>
    <mergeCell ref="B53:C53"/>
    <mergeCell ref="E53:G53"/>
    <mergeCell ref="I53:K53"/>
    <mergeCell ref="M53:O53"/>
    <mergeCell ref="B54:C54"/>
    <mergeCell ref="E54:G54"/>
    <mergeCell ref="I54:K54"/>
    <mergeCell ref="M54:O54"/>
  </mergeCells>
  <pageMargins left="0.511811024" right="0.511811024" top="0.78740157499999996" bottom="0.78740157499999996" header="0.31496062000000002" footer="0.31496062000000002"/>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C051-0666-4768-BB2B-F703AA74A0D5}">
  <sheetPr>
    <tabColor rgb="FF00A6FB"/>
  </sheetPr>
  <dimension ref="A1:W33"/>
  <sheetViews>
    <sheetView tabSelected="1" zoomScaleNormal="100" workbookViewId="0">
      <pane ySplit="6" topLeftCell="A7" activePane="bottomLeft" state="frozen"/>
      <selection pane="bottomLeft" activeCell="N23" sqref="N23:P23"/>
    </sheetView>
  </sheetViews>
  <sheetFormatPr defaultColWidth="9.140625" defaultRowHeight="15" x14ac:dyDescent="0.25"/>
  <cols>
    <col min="1" max="1" width="1.7109375" style="1" customWidth="1"/>
    <col min="2" max="2" width="12.140625" style="1" customWidth="1"/>
    <col min="3" max="3" width="1.7109375" style="1" customWidth="1"/>
    <col min="4" max="4" width="9.140625" style="1" customWidth="1"/>
    <col min="5" max="5" width="10.42578125" style="1" customWidth="1"/>
    <col min="6" max="6" width="1.7109375" style="1" customWidth="1"/>
    <col min="7" max="9" width="9.140625" style="1"/>
    <col min="10" max="10" width="1.7109375" style="1" customWidth="1"/>
    <col min="11" max="11" width="10.28515625" style="1" customWidth="1"/>
    <col min="12" max="12" width="8.42578125" style="1" customWidth="1"/>
    <col min="13" max="13" width="1.7109375" style="1" customWidth="1"/>
    <col min="14" max="14" width="9.140625" style="1"/>
    <col min="15" max="15" width="17.85546875" style="1" customWidth="1"/>
    <col min="16" max="16" width="34.7109375" style="1" customWidth="1"/>
    <col min="17" max="17" width="1.7109375" style="1" customWidth="1"/>
    <col min="18" max="18" width="9.140625" style="1" customWidth="1"/>
    <col min="19" max="21" width="9.140625" style="1"/>
    <col min="22" max="22" width="32.5703125" style="1" customWidth="1"/>
    <col min="23" max="16384" width="9.140625" style="1"/>
  </cols>
  <sheetData>
    <row r="1" spans="1:23" x14ac:dyDescent="0.25">
      <c r="A1" s="150"/>
      <c r="B1" s="150"/>
      <c r="C1" s="150"/>
      <c r="D1" s="150"/>
      <c r="E1" s="150"/>
      <c r="F1" s="150"/>
      <c r="G1" s="150"/>
      <c r="H1" s="150"/>
      <c r="I1" s="150"/>
      <c r="J1" s="150"/>
      <c r="K1" s="150"/>
      <c r="L1" s="150"/>
      <c r="M1" s="150"/>
      <c r="N1" s="150"/>
      <c r="O1" s="150"/>
      <c r="P1" s="150"/>
      <c r="Q1" s="150"/>
      <c r="R1" s="150"/>
      <c r="S1" s="150"/>
      <c r="T1" s="150"/>
      <c r="U1" s="150"/>
      <c r="V1" s="150"/>
    </row>
    <row r="2" spans="1:23" x14ac:dyDescent="0.25">
      <c r="A2" s="150"/>
      <c r="B2" s="150"/>
      <c r="C2" s="150"/>
      <c r="D2" s="150"/>
      <c r="E2" s="150"/>
      <c r="F2" s="150"/>
      <c r="G2" s="150"/>
      <c r="H2" s="150"/>
      <c r="I2" s="150"/>
      <c r="J2" s="150"/>
      <c r="K2" s="150"/>
      <c r="L2" s="150"/>
      <c r="M2" s="150"/>
      <c r="N2" s="150"/>
      <c r="O2" s="150"/>
      <c r="P2" s="150"/>
      <c r="Q2" s="150"/>
      <c r="R2" s="150"/>
      <c r="S2" s="150"/>
      <c r="T2" s="150"/>
      <c r="U2" s="150"/>
      <c r="V2" s="150"/>
    </row>
    <row r="3" spans="1:23" x14ac:dyDescent="0.25">
      <c r="A3" s="150"/>
      <c r="B3" s="150"/>
      <c r="C3" s="150"/>
      <c r="D3" s="150"/>
      <c r="E3" s="150"/>
      <c r="F3" s="150"/>
      <c r="G3" s="150"/>
      <c r="H3" s="150"/>
      <c r="I3" s="150"/>
      <c r="J3" s="150"/>
      <c r="K3" s="150"/>
      <c r="L3" s="150"/>
      <c r="M3" s="150"/>
      <c r="N3" s="150"/>
      <c r="O3" s="150"/>
      <c r="P3" s="150"/>
      <c r="Q3" s="150"/>
      <c r="R3" s="150"/>
      <c r="S3" s="150"/>
      <c r="T3" s="150"/>
      <c r="U3" s="150"/>
      <c r="V3" s="150"/>
    </row>
    <row r="4" spans="1:23" x14ac:dyDescent="0.25">
      <c r="A4" s="150"/>
      <c r="B4" s="150"/>
      <c r="C4" s="150"/>
      <c r="D4" s="150"/>
      <c r="E4" s="150"/>
      <c r="F4" s="150"/>
      <c r="G4" s="150"/>
      <c r="H4" s="150"/>
      <c r="I4" s="150"/>
      <c r="J4" s="150"/>
      <c r="K4" s="150"/>
      <c r="L4" s="150"/>
      <c r="M4" s="150"/>
      <c r="N4" s="150"/>
      <c r="O4" s="150"/>
      <c r="P4" s="150"/>
      <c r="Q4" s="150"/>
      <c r="R4" s="150"/>
      <c r="S4" s="150"/>
      <c r="T4" s="150"/>
      <c r="U4" s="150"/>
      <c r="V4" s="150"/>
    </row>
    <row r="5" spans="1:23" x14ac:dyDescent="0.25">
      <c r="A5" s="150"/>
      <c r="B5" s="150"/>
      <c r="C5" s="150"/>
      <c r="D5" s="150"/>
      <c r="E5" s="150"/>
      <c r="F5" s="150"/>
      <c r="G5" s="150"/>
      <c r="H5" s="150"/>
      <c r="I5" s="150"/>
      <c r="J5" s="150"/>
      <c r="K5" s="150"/>
      <c r="L5" s="150"/>
      <c r="M5" s="150"/>
      <c r="N5" s="150"/>
      <c r="O5" s="150"/>
      <c r="P5" s="150"/>
      <c r="Q5" s="150"/>
      <c r="R5" s="150"/>
      <c r="S5" s="150"/>
      <c r="T5" s="150"/>
      <c r="U5" s="150"/>
      <c r="V5" s="150"/>
    </row>
    <row r="6" spans="1:23" x14ac:dyDescent="0.25">
      <c r="A6" s="150"/>
      <c r="B6" s="150"/>
      <c r="C6" s="150"/>
      <c r="D6" s="150"/>
      <c r="E6" s="150"/>
      <c r="F6" s="150"/>
      <c r="G6" s="150"/>
      <c r="H6" s="150"/>
      <c r="I6" s="150"/>
      <c r="J6" s="150"/>
      <c r="K6" s="150"/>
      <c r="L6" s="150"/>
      <c r="M6" s="150"/>
      <c r="N6" s="150"/>
      <c r="O6" s="150"/>
      <c r="P6" s="150"/>
      <c r="Q6" s="150"/>
      <c r="R6" s="150"/>
      <c r="S6" s="150"/>
      <c r="T6" s="150"/>
      <c r="U6" s="150"/>
      <c r="V6" s="150"/>
    </row>
    <row r="7" spans="1:23" ht="21" customHeight="1" x14ac:dyDescent="0.25">
      <c r="A7" s="582" t="s">
        <v>830</v>
      </c>
      <c r="B7" s="582"/>
      <c r="C7" s="582"/>
      <c r="D7" s="582"/>
      <c r="E7" s="582"/>
      <c r="F7" s="582"/>
      <c r="G7" s="582"/>
      <c r="H7" s="582"/>
      <c r="I7" s="582"/>
      <c r="J7" s="582"/>
      <c r="K7" s="582"/>
      <c r="L7" s="582"/>
      <c r="M7" s="582"/>
      <c r="N7" s="582"/>
      <c r="O7" s="582"/>
      <c r="P7" s="582"/>
      <c r="Q7" s="582"/>
      <c r="R7" s="582"/>
      <c r="S7" s="582"/>
      <c r="T7" s="582"/>
      <c r="U7" s="582"/>
      <c r="V7" s="582"/>
      <c r="W7" s="31"/>
    </row>
    <row r="8" spans="1:23" x14ac:dyDescent="0.25">
      <c r="A8" s="150"/>
      <c r="B8" s="150"/>
      <c r="C8" s="150"/>
      <c r="D8" s="150"/>
      <c r="E8" s="150"/>
      <c r="F8" s="150"/>
      <c r="G8" s="150"/>
      <c r="H8" s="150"/>
      <c r="I8" s="150"/>
      <c r="J8" s="150"/>
      <c r="K8" s="150"/>
      <c r="L8" s="150"/>
      <c r="M8" s="150"/>
      <c r="N8" s="150"/>
      <c r="O8" s="150"/>
      <c r="P8" s="150"/>
      <c r="Q8" s="150"/>
      <c r="R8" s="150"/>
      <c r="S8" s="150"/>
      <c r="T8" s="150"/>
      <c r="U8" s="150"/>
      <c r="V8" s="150"/>
    </row>
    <row r="9" spans="1:23" x14ac:dyDescent="0.25">
      <c r="A9" s="150"/>
      <c r="B9" s="150"/>
      <c r="C9" s="150"/>
      <c r="D9" s="150"/>
      <c r="E9" s="150"/>
      <c r="F9" s="150"/>
      <c r="G9" s="150"/>
      <c r="H9" s="150"/>
      <c r="I9" s="150"/>
      <c r="J9" s="150"/>
      <c r="K9" s="150"/>
      <c r="L9" s="150"/>
      <c r="M9" s="150"/>
      <c r="N9" s="150"/>
      <c r="O9" s="150"/>
      <c r="P9" s="150"/>
      <c r="Q9" s="150"/>
      <c r="R9" s="150"/>
      <c r="S9" s="150"/>
      <c r="T9" s="150"/>
      <c r="U9" s="150"/>
      <c r="V9" s="150"/>
    </row>
    <row r="10" spans="1:23" x14ac:dyDescent="0.25">
      <c r="A10" s="150"/>
      <c r="B10" s="150"/>
      <c r="C10" s="150"/>
      <c r="D10" s="150"/>
      <c r="E10" s="150"/>
      <c r="F10" s="150"/>
      <c r="G10" s="150"/>
      <c r="H10" s="150"/>
      <c r="I10" s="150"/>
      <c r="J10" s="150"/>
      <c r="K10" s="150"/>
      <c r="L10" s="150"/>
      <c r="M10" s="150"/>
      <c r="N10" s="150"/>
      <c r="O10" s="150"/>
      <c r="P10" s="150"/>
      <c r="Q10" s="150"/>
      <c r="R10" s="150"/>
      <c r="S10" s="150"/>
      <c r="T10" s="150"/>
      <c r="U10" s="150"/>
      <c r="V10" s="150"/>
    </row>
    <row r="11" spans="1:23" ht="15.75" x14ac:dyDescent="0.25">
      <c r="B11" s="104" t="s">
        <v>184</v>
      </c>
      <c r="C11" s="102"/>
      <c r="D11" s="1332" t="s">
        <v>373</v>
      </c>
      <c r="E11" s="1332"/>
      <c r="F11" s="102"/>
      <c r="G11" s="1332" t="s">
        <v>586</v>
      </c>
      <c r="H11" s="1332"/>
      <c r="I11" s="1332"/>
      <c r="J11" s="103"/>
      <c r="K11" s="1332" t="s">
        <v>590</v>
      </c>
      <c r="L11" s="1332"/>
      <c r="M11" s="103"/>
      <c r="N11" s="1332" t="s">
        <v>587</v>
      </c>
      <c r="O11" s="1332"/>
      <c r="P11" s="1332"/>
      <c r="Q11" s="100"/>
      <c r="R11" s="1332" t="s">
        <v>662</v>
      </c>
      <c r="S11" s="1332"/>
      <c r="T11" s="1332"/>
      <c r="U11" s="1332"/>
      <c r="V11" s="1332"/>
    </row>
    <row r="12" spans="1:23" ht="15.75" thickBot="1" x14ac:dyDescent="0.3"/>
    <row r="13" spans="1:23" ht="15.75" x14ac:dyDescent="0.25">
      <c r="B13" s="108">
        <v>44132</v>
      </c>
      <c r="D13" s="1333" t="s">
        <v>570</v>
      </c>
      <c r="E13" s="1334"/>
      <c r="G13" s="1335" t="s">
        <v>588</v>
      </c>
      <c r="H13" s="1336"/>
      <c r="I13" s="1337"/>
      <c r="K13" s="1338">
        <v>2013</v>
      </c>
      <c r="L13" s="1339"/>
      <c r="N13" s="1382" t="s">
        <v>589</v>
      </c>
      <c r="O13" s="1384"/>
      <c r="P13" s="1385"/>
      <c r="R13" s="1335" t="s">
        <v>690</v>
      </c>
      <c r="S13" s="1336"/>
      <c r="T13" s="1336"/>
      <c r="U13" s="1336"/>
      <c r="V13" s="1337"/>
    </row>
    <row r="14" spans="1:23" ht="15.75" x14ac:dyDescent="0.25">
      <c r="B14" s="109">
        <v>44810</v>
      </c>
      <c r="D14" s="1325" t="s">
        <v>635</v>
      </c>
      <c r="E14" s="1326"/>
      <c r="G14" s="1327" t="s">
        <v>588</v>
      </c>
      <c r="H14" s="1328"/>
      <c r="I14" s="1329"/>
      <c r="K14" s="1330">
        <v>2013</v>
      </c>
      <c r="L14" s="1331"/>
      <c r="N14" s="1386" t="s">
        <v>589</v>
      </c>
      <c r="O14" s="1383"/>
      <c r="P14" s="1387"/>
      <c r="R14" s="1327" t="s">
        <v>690</v>
      </c>
      <c r="S14" s="1328"/>
      <c r="T14" s="1328"/>
      <c r="U14" s="1328"/>
      <c r="V14" s="1329"/>
    </row>
    <row r="15" spans="1:23" ht="15.75" x14ac:dyDescent="0.25">
      <c r="B15" s="109"/>
      <c r="D15" s="1325"/>
      <c r="E15" s="1326"/>
      <c r="G15" s="1327"/>
      <c r="H15" s="1328"/>
      <c r="I15" s="1329"/>
      <c r="K15" s="1330"/>
      <c r="L15" s="1331"/>
      <c r="N15" s="1327"/>
      <c r="O15" s="1328"/>
      <c r="P15" s="1329"/>
      <c r="R15" s="1327"/>
      <c r="S15" s="1328"/>
      <c r="T15" s="1328"/>
      <c r="U15" s="1328"/>
      <c r="V15" s="1329"/>
    </row>
    <row r="16" spans="1:23" ht="15.75" x14ac:dyDescent="0.25">
      <c r="B16" s="109"/>
      <c r="D16" s="1325"/>
      <c r="E16" s="1326"/>
      <c r="G16" s="1327"/>
      <c r="H16" s="1328"/>
      <c r="I16" s="1329"/>
      <c r="K16" s="1330"/>
      <c r="L16" s="1331"/>
      <c r="N16" s="1327"/>
      <c r="O16" s="1328"/>
      <c r="P16" s="1329"/>
      <c r="R16" s="1327"/>
      <c r="S16" s="1328"/>
      <c r="T16" s="1328"/>
      <c r="U16" s="1328"/>
      <c r="V16" s="1329"/>
    </row>
    <row r="17" spans="2:22" ht="15.75" x14ac:dyDescent="0.25">
      <c r="B17" s="109"/>
      <c r="D17" s="1325"/>
      <c r="E17" s="1326"/>
      <c r="G17" s="1327"/>
      <c r="H17" s="1328"/>
      <c r="I17" s="1329"/>
      <c r="K17" s="1330"/>
      <c r="L17" s="1331"/>
      <c r="N17" s="1327"/>
      <c r="O17" s="1328"/>
      <c r="P17" s="1329"/>
      <c r="R17" s="1327"/>
      <c r="S17" s="1328"/>
      <c r="T17" s="1328"/>
      <c r="U17" s="1328"/>
      <c r="V17" s="1329"/>
    </row>
    <row r="18" spans="2:22" ht="15.75" x14ac:dyDescent="0.25">
      <c r="B18" s="109"/>
      <c r="D18" s="1325"/>
      <c r="E18" s="1326"/>
      <c r="G18" s="1327"/>
      <c r="H18" s="1328"/>
      <c r="I18" s="1329"/>
      <c r="K18" s="1330"/>
      <c r="L18" s="1331"/>
      <c r="N18" s="1327"/>
      <c r="O18" s="1328"/>
      <c r="P18" s="1329"/>
      <c r="R18" s="1327"/>
      <c r="S18" s="1328"/>
      <c r="T18" s="1328"/>
      <c r="U18" s="1328"/>
      <c r="V18" s="1329"/>
    </row>
    <row r="19" spans="2:22" ht="15.75" x14ac:dyDescent="0.25">
      <c r="B19" s="109"/>
      <c r="D19" s="1325"/>
      <c r="E19" s="1326"/>
      <c r="G19" s="1327"/>
      <c r="H19" s="1328"/>
      <c r="I19" s="1329"/>
      <c r="K19" s="1330"/>
      <c r="L19" s="1331"/>
      <c r="N19" s="1327"/>
      <c r="O19" s="1328"/>
      <c r="P19" s="1329"/>
      <c r="R19" s="1327"/>
      <c r="S19" s="1328"/>
      <c r="T19" s="1328"/>
      <c r="U19" s="1328"/>
      <c r="V19" s="1329"/>
    </row>
    <row r="20" spans="2:22" ht="15.75" x14ac:dyDescent="0.25">
      <c r="B20" s="109"/>
      <c r="D20" s="1325"/>
      <c r="E20" s="1326"/>
      <c r="G20" s="1327"/>
      <c r="H20" s="1328"/>
      <c r="I20" s="1329"/>
      <c r="K20" s="1330"/>
      <c r="L20" s="1331"/>
      <c r="N20" s="1327"/>
      <c r="O20" s="1328"/>
      <c r="P20" s="1329"/>
      <c r="R20" s="1327"/>
      <c r="S20" s="1328"/>
      <c r="T20" s="1328"/>
      <c r="U20" s="1328"/>
      <c r="V20" s="1329"/>
    </row>
    <row r="21" spans="2:22" ht="15.75" x14ac:dyDescent="0.25">
      <c r="B21" s="109"/>
      <c r="D21" s="1325"/>
      <c r="E21" s="1326"/>
      <c r="G21" s="1327"/>
      <c r="H21" s="1328"/>
      <c r="I21" s="1329"/>
      <c r="K21" s="1330"/>
      <c r="L21" s="1331"/>
      <c r="N21" s="1327"/>
      <c r="O21" s="1328"/>
      <c r="P21" s="1329"/>
      <c r="R21" s="1327"/>
      <c r="S21" s="1328"/>
      <c r="T21" s="1328"/>
      <c r="U21" s="1328"/>
      <c r="V21" s="1329"/>
    </row>
    <row r="22" spans="2:22" ht="15.75" x14ac:dyDescent="0.25">
      <c r="B22" s="109"/>
      <c r="D22" s="1325"/>
      <c r="E22" s="1326"/>
      <c r="G22" s="1327"/>
      <c r="H22" s="1328"/>
      <c r="I22" s="1329"/>
      <c r="K22" s="1330"/>
      <c r="L22" s="1331"/>
      <c r="N22" s="1327"/>
      <c r="O22" s="1328"/>
      <c r="P22" s="1329"/>
      <c r="R22" s="1327"/>
      <c r="S22" s="1328"/>
      <c r="T22" s="1328"/>
      <c r="U22" s="1328"/>
      <c r="V22" s="1329"/>
    </row>
    <row r="23" spans="2:22" ht="15.75" x14ac:dyDescent="0.25">
      <c r="B23" s="109"/>
      <c r="D23" s="1325"/>
      <c r="E23" s="1326"/>
      <c r="G23" s="1327"/>
      <c r="H23" s="1328"/>
      <c r="I23" s="1329"/>
      <c r="K23" s="1330"/>
      <c r="L23" s="1331"/>
      <c r="N23" s="1327"/>
      <c r="O23" s="1328"/>
      <c r="P23" s="1329"/>
      <c r="R23" s="1327"/>
      <c r="S23" s="1328"/>
      <c r="T23" s="1328"/>
      <c r="U23" s="1328"/>
      <c r="V23" s="1329"/>
    </row>
    <row r="24" spans="2:22" ht="15.75" x14ac:dyDescent="0.25">
      <c r="B24" s="109"/>
      <c r="D24" s="1325"/>
      <c r="E24" s="1326"/>
      <c r="G24" s="1327"/>
      <c r="H24" s="1328"/>
      <c r="I24" s="1329"/>
      <c r="K24" s="1330"/>
      <c r="L24" s="1331"/>
      <c r="N24" s="1327"/>
      <c r="O24" s="1328"/>
      <c r="P24" s="1329"/>
      <c r="R24" s="1327"/>
      <c r="S24" s="1328"/>
      <c r="T24" s="1328"/>
      <c r="U24" s="1328"/>
      <c r="V24" s="1329"/>
    </row>
    <row r="25" spans="2:22" ht="15.75" x14ac:dyDescent="0.25">
      <c r="B25" s="109"/>
      <c r="D25" s="1325"/>
      <c r="E25" s="1326"/>
      <c r="G25" s="1327"/>
      <c r="H25" s="1328"/>
      <c r="I25" s="1329"/>
      <c r="K25" s="1330"/>
      <c r="L25" s="1331"/>
      <c r="N25" s="1327"/>
      <c r="O25" s="1328"/>
      <c r="P25" s="1329"/>
      <c r="R25" s="1327"/>
      <c r="S25" s="1328"/>
      <c r="T25" s="1328"/>
      <c r="U25" s="1328"/>
      <c r="V25" s="1329"/>
    </row>
    <row r="26" spans="2:22" ht="15.75" x14ac:dyDescent="0.25">
      <c r="B26" s="109"/>
      <c r="D26" s="1325"/>
      <c r="E26" s="1326"/>
      <c r="G26" s="1327"/>
      <c r="H26" s="1328"/>
      <c r="I26" s="1329"/>
      <c r="K26" s="1330"/>
      <c r="L26" s="1331"/>
      <c r="N26" s="1327"/>
      <c r="O26" s="1328"/>
      <c r="P26" s="1329"/>
      <c r="R26" s="1327"/>
      <c r="S26" s="1328"/>
      <c r="T26" s="1328"/>
      <c r="U26" s="1328"/>
      <c r="V26" s="1329"/>
    </row>
    <row r="27" spans="2:22" ht="15.75" x14ac:dyDescent="0.25">
      <c r="B27" s="109"/>
      <c r="D27" s="1325"/>
      <c r="E27" s="1326"/>
      <c r="G27" s="1327"/>
      <c r="H27" s="1328"/>
      <c r="I27" s="1329"/>
      <c r="K27" s="1330"/>
      <c r="L27" s="1331"/>
      <c r="N27" s="1327"/>
      <c r="O27" s="1328"/>
      <c r="P27" s="1329"/>
      <c r="R27" s="1327"/>
      <c r="S27" s="1328"/>
      <c r="T27" s="1328"/>
      <c r="U27" s="1328"/>
      <c r="V27" s="1329"/>
    </row>
    <row r="28" spans="2:22" ht="15.75" x14ac:dyDescent="0.25">
      <c r="B28" s="109"/>
      <c r="D28" s="1325"/>
      <c r="E28" s="1326"/>
      <c r="G28" s="1327"/>
      <c r="H28" s="1328"/>
      <c r="I28" s="1329"/>
      <c r="K28" s="1330"/>
      <c r="L28" s="1331"/>
      <c r="N28" s="1327"/>
      <c r="O28" s="1328"/>
      <c r="P28" s="1329"/>
      <c r="R28" s="1327"/>
      <c r="S28" s="1328"/>
      <c r="T28" s="1328"/>
      <c r="U28" s="1328"/>
      <c r="V28" s="1329"/>
    </row>
    <row r="29" spans="2:22" ht="15.75" x14ac:dyDescent="0.25">
      <c r="B29" s="109"/>
      <c r="D29" s="1325"/>
      <c r="E29" s="1326"/>
      <c r="G29" s="1327"/>
      <c r="H29" s="1328"/>
      <c r="I29" s="1329"/>
      <c r="K29" s="1330"/>
      <c r="L29" s="1331"/>
      <c r="N29" s="1327"/>
      <c r="O29" s="1328"/>
      <c r="P29" s="1329"/>
      <c r="R29" s="1327"/>
      <c r="S29" s="1328"/>
      <c r="T29" s="1328"/>
      <c r="U29" s="1328"/>
      <c r="V29" s="1329"/>
    </row>
    <row r="30" spans="2:22" ht="15.75" x14ac:dyDescent="0.25">
      <c r="B30" s="109"/>
      <c r="D30" s="1325"/>
      <c r="E30" s="1326"/>
      <c r="G30" s="1327"/>
      <c r="H30" s="1328"/>
      <c r="I30" s="1329"/>
      <c r="K30" s="1330"/>
      <c r="L30" s="1331"/>
      <c r="N30" s="1327"/>
      <c r="O30" s="1328"/>
      <c r="P30" s="1329"/>
      <c r="R30" s="1327"/>
      <c r="S30" s="1328"/>
      <c r="T30" s="1328"/>
      <c r="U30" s="1328"/>
      <c r="V30" s="1329"/>
    </row>
    <row r="31" spans="2:22" ht="15.75" x14ac:dyDescent="0.25">
      <c r="B31" s="109"/>
      <c r="D31" s="1325"/>
      <c r="E31" s="1326"/>
      <c r="G31" s="1327"/>
      <c r="H31" s="1328"/>
      <c r="I31" s="1329"/>
      <c r="K31" s="1330"/>
      <c r="L31" s="1331"/>
      <c r="N31" s="1327"/>
      <c r="O31" s="1328"/>
      <c r="P31" s="1329"/>
      <c r="R31" s="1327"/>
      <c r="S31" s="1328"/>
      <c r="T31" s="1328"/>
      <c r="U31" s="1328"/>
      <c r="V31" s="1329"/>
    </row>
    <row r="32" spans="2:22" ht="15.75" x14ac:dyDescent="0.25">
      <c r="B32" s="109"/>
      <c r="D32" s="1325"/>
      <c r="E32" s="1326"/>
      <c r="G32" s="1327"/>
      <c r="H32" s="1328"/>
      <c r="I32" s="1329"/>
      <c r="K32" s="1330"/>
      <c r="L32" s="1331"/>
      <c r="N32" s="1327"/>
      <c r="O32" s="1328"/>
      <c r="P32" s="1329"/>
      <c r="R32" s="1327"/>
      <c r="S32" s="1328"/>
      <c r="T32" s="1328"/>
      <c r="U32" s="1328"/>
      <c r="V32" s="1329"/>
    </row>
    <row r="33" spans="2:22" ht="16.5" thickBot="1" x14ac:dyDescent="0.3">
      <c r="B33" s="110"/>
      <c r="D33" s="1340"/>
      <c r="E33" s="1341"/>
      <c r="G33" s="1342"/>
      <c r="H33" s="1343"/>
      <c r="I33" s="1344"/>
      <c r="K33" s="1345"/>
      <c r="L33" s="1346"/>
      <c r="N33" s="1342"/>
      <c r="O33" s="1343"/>
      <c r="P33" s="1344"/>
      <c r="R33" s="1342"/>
      <c r="S33" s="1343"/>
      <c r="T33" s="1343"/>
      <c r="U33" s="1343"/>
      <c r="V33" s="1344"/>
    </row>
  </sheetData>
  <mergeCells count="111">
    <mergeCell ref="D32:E32"/>
    <mergeCell ref="G32:I32"/>
    <mergeCell ref="K32:L32"/>
    <mergeCell ref="N32:P32"/>
    <mergeCell ref="R32:V32"/>
    <mergeCell ref="D33:E33"/>
    <mergeCell ref="G33:I33"/>
    <mergeCell ref="K33:L33"/>
    <mergeCell ref="N33:P33"/>
    <mergeCell ref="R33:V33"/>
    <mergeCell ref="D30:E30"/>
    <mergeCell ref="G30:I30"/>
    <mergeCell ref="K30:L30"/>
    <mergeCell ref="N30:P30"/>
    <mergeCell ref="R30:V30"/>
    <mergeCell ref="D31:E31"/>
    <mergeCell ref="G31:I31"/>
    <mergeCell ref="K31:L31"/>
    <mergeCell ref="N31:P31"/>
    <mergeCell ref="R31:V31"/>
    <mergeCell ref="D28:E28"/>
    <mergeCell ref="G28:I28"/>
    <mergeCell ref="K28:L28"/>
    <mergeCell ref="N28:P28"/>
    <mergeCell ref="R28:V28"/>
    <mergeCell ref="D29:E29"/>
    <mergeCell ref="G29:I29"/>
    <mergeCell ref="K29:L29"/>
    <mergeCell ref="N29:P29"/>
    <mergeCell ref="R29:V29"/>
    <mergeCell ref="D26:E26"/>
    <mergeCell ref="G26:I26"/>
    <mergeCell ref="K26:L26"/>
    <mergeCell ref="N26:P26"/>
    <mergeCell ref="R26:V26"/>
    <mergeCell ref="D27:E27"/>
    <mergeCell ref="G27:I27"/>
    <mergeCell ref="K27:L27"/>
    <mergeCell ref="N27:P27"/>
    <mergeCell ref="R27:V27"/>
    <mergeCell ref="D24:E24"/>
    <mergeCell ref="G24:I24"/>
    <mergeCell ref="K24:L24"/>
    <mergeCell ref="N24:P24"/>
    <mergeCell ref="R24:V24"/>
    <mergeCell ref="D25:E25"/>
    <mergeCell ref="G25:I25"/>
    <mergeCell ref="K25:L25"/>
    <mergeCell ref="N25:P25"/>
    <mergeCell ref="R25:V25"/>
    <mergeCell ref="D22:E22"/>
    <mergeCell ref="G22:I22"/>
    <mergeCell ref="K22:L22"/>
    <mergeCell ref="N22:P22"/>
    <mergeCell ref="R22:V22"/>
    <mergeCell ref="D23:E23"/>
    <mergeCell ref="G23:I23"/>
    <mergeCell ref="K23:L23"/>
    <mergeCell ref="N23:P23"/>
    <mergeCell ref="R23:V23"/>
    <mergeCell ref="D20:E20"/>
    <mergeCell ref="G20:I20"/>
    <mergeCell ref="K20:L20"/>
    <mergeCell ref="N20:P20"/>
    <mergeCell ref="R20:V20"/>
    <mergeCell ref="D21:E21"/>
    <mergeCell ref="G21:I21"/>
    <mergeCell ref="K21:L21"/>
    <mergeCell ref="N21:P21"/>
    <mergeCell ref="R21:V21"/>
    <mergeCell ref="D18:E18"/>
    <mergeCell ref="G18:I18"/>
    <mergeCell ref="K18:L18"/>
    <mergeCell ref="N18:P18"/>
    <mergeCell ref="R18:V18"/>
    <mergeCell ref="D19:E19"/>
    <mergeCell ref="G19:I19"/>
    <mergeCell ref="K19:L19"/>
    <mergeCell ref="N19:P19"/>
    <mergeCell ref="R19:V19"/>
    <mergeCell ref="D16:E16"/>
    <mergeCell ref="G16:I16"/>
    <mergeCell ref="K16:L16"/>
    <mergeCell ref="N16:P16"/>
    <mergeCell ref="R16:V16"/>
    <mergeCell ref="D17:E17"/>
    <mergeCell ref="G17:I17"/>
    <mergeCell ref="K17:L17"/>
    <mergeCell ref="N17:P17"/>
    <mergeCell ref="R17:V17"/>
    <mergeCell ref="A7:V7"/>
    <mergeCell ref="D14:E14"/>
    <mergeCell ref="G14:I14"/>
    <mergeCell ref="K14:L14"/>
    <mergeCell ref="N14:P14"/>
    <mergeCell ref="R14:V14"/>
    <mergeCell ref="D15:E15"/>
    <mergeCell ref="G15:I15"/>
    <mergeCell ref="K15:L15"/>
    <mergeCell ref="N15:P15"/>
    <mergeCell ref="R15:V15"/>
    <mergeCell ref="D11:E11"/>
    <mergeCell ref="R11:V11"/>
    <mergeCell ref="G11:I11"/>
    <mergeCell ref="K11:L11"/>
    <mergeCell ref="D13:E13"/>
    <mergeCell ref="G13:I13"/>
    <mergeCell ref="K13:L13"/>
    <mergeCell ref="R13:V13"/>
    <mergeCell ref="N11:P11"/>
    <mergeCell ref="N13:P13"/>
  </mergeCells>
  <pageMargins left="0.511811024" right="0.511811024" top="0.78740157499999996" bottom="0.78740157499999996" header="0.31496062000000002" footer="0.31496062000000002"/>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U69"/>
  <sheetViews>
    <sheetView showGridLines="0" workbookViewId="0">
      <selection sqref="A1:N1"/>
    </sheetView>
  </sheetViews>
  <sheetFormatPr defaultColWidth="8.85546875" defaultRowHeight="15" x14ac:dyDescent="0.25"/>
  <cols>
    <col min="1" max="1" width="2.85546875" customWidth="1"/>
    <col min="2" max="2" width="12.140625" customWidth="1"/>
    <col min="3" max="3" width="2.140625" customWidth="1"/>
    <col min="4" max="4" width="14" customWidth="1"/>
    <col min="5" max="5" width="2.140625" customWidth="1"/>
    <col min="6" max="6" width="14.7109375" customWidth="1"/>
    <col min="7" max="7" width="2" customWidth="1"/>
    <col min="8" max="8" width="35.42578125" customWidth="1"/>
    <col min="9" max="9" width="2" customWidth="1"/>
    <col min="10" max="10" width="72.5703125" customWidth="1"/>
    <col min="11" max="11" width="2" customWidth="1"/>
    <col min="12" max="12" width="14.85546875" customWidth="1"/>
    <col min="13" max="13" width="1.7109375" customWidth="1"/>
    <col min="14" max="14" width="20.28515625" customWidth="1"/>
    <col min="16" max="17" width="4.42578125" customWidth="1"/>
    <col min="18" max="18" width="17.28515625" customWidth="1"/>
    <col min="19" max="19" width="4.42578125" customWidth="1"/>
  </cols>
  <sheetData>
    <row r="1" spans="1:14" s="153" customFormat="1" ht="23.25" x14ac:dyDescent="0.25">
      <c r="A1" s="582" t="s">
        <v>815</v>
      </c>
      <c r="B1" s="582"/>
      <c r="C1" s="582"/>
      <c r="D1" s="582"/>
      <c r="E1" s="582"/>
      <c r="F1" s="582"/>
      <c r="G1" s="582"/>
      <c r="H1" s="582"/>
      <c r="I1" s="582"/>
      <c r="J1" s="582"/>
      <c r="K1" s="582"/>
      <c r="L1" s="582"/>
      <c r="M1" s="582"/>
      <c r="N1" s="582"/>
    </row>
    <row r="2" spans="1:14" s="153" customFormat="1" x14ac:dyDescent="0.25"/>
    <row r="3" spans="1:14" s="153" customFormat="1" x14ac:dyDescent="0.25"/>
    <row r="4" spans="1:14" s="153" customFormat="1" x14ac:dyDescent="0.25"/>
    <row r="5" spans="1:14" s="153" customFormat="1" x14ac:dyDescent="0.25">
      <c r="D5" s="155"/>
      <c r="E5" s="155"/>
    </row>
    <row r="6" spans="1:14" ht="15.75" x14ac:dyDescent="0.25">
      <c r="B6" s="65" t="s">
        <v>802</v>
      </c>
      <c r="D6" s="74" t="s">
        <v>500</v>
      </c>
      <c r="F6" s="65" t="s">
        <v>502</v>
      </c>
      <c r="H6" s="65" t="s">
        <v>496</v>
      </c>
      <c r="J6" s="65" t="s">
        <v>497</v>
      </c>
      <c r="L6" s="65" t="s">
        <v>501</v>
      </c>
      <c r="N6" s="65" t="s">
        <v>373</v>
      </c>
    </row>
    <row r="7" spans="1:14" x14ac:dyDescent="0.25">
      <c r="D7" s="62"/>
      <c r="F7" s="62"/>
      <c r="L7" s="62"/>
      <c r="N7" s="62"/>
    </row>
    <row r="8" spans="1:14" ht="15.75" x14ac:dyDescent="0.25">
      <c r="B8" s="130"/>
      <c r="D8" s="64"/>
      <c r="E8" s="62"/>
      <c r="F8" s="94"/>
      <c r="H8" s="95"/>
      <c r="J8" s="95"/>
      <c r="L8" s="96"/>
      <c r="N8" s="101"/>
    </row>
    <row r="9" spans="1:14" ht="15.75" x14ac:dyDescent="0.25">
      <c r="B9" s="130" t="s">
        <v>15</v>
      </c>
      <c r="D9" s="111">
        <v>1153</v>
      </c>
      <c r="E9" s="61"/>
      <c r="F9" s="112">
        <v>44462</v>
      </c>
      <c r="G9" s="113"/>
      <c r="H9" s="114" t="s">
        <v>585</v>
      </c>
      <c r="I9" s="113"/>
      <c r="J9" s="114" t="s">
        <v>498</v>
      </c>
      <c r="K9" s="113"/>
      <c r="L9" s="115">
        <v>630</v>
      </c>
      <c r="N9" s="101"/>
    </row>
    <row r="10" spans="1:14" ht="15.75" x14ac:dyDescent="0.25">
      <c r="B10" s="130" t="s">
        <v>98</v>
      </c>
      <c r="D10" s="116">
        <v>41800</v>
      </c>
      <c r="E10" s="61"/>
      <c r="F10" s="112">
        <v>42730</v>
      </c>
      <c r="G10" s="113"/>
      <c r="H10" s="117" t="s">
        <v>567</v>
      </c>
      <c r="I10" s="113"/>
      <c r="J10" s="117" t="s">
        <v>569</v>
      </c>
      <c r="K10" s="113"/>
      <c r="L10" s="115">
        <v>690</v>
      </c>
      <c r="N10" s="101"/>
    </row>
    <row r="11" spans="1:14" ht="15.75" x14ac:dyDescent="0.25">
      <c r="B11" s="130" t="s">
        <v>813</v>
      </c>
      <c r="D11" s="111">
        <v>248</v>
      </c>
      <c r="E11" s="118"/>
      <c r="F11" s="112">
        <v>44462</v>
      </c>
      <c r="G11" s="113"/>
      <c r="H11" s="114" t="s">
        <v>585</v>
      </c>
      <c r="I11" s="113"/>
      <c r="J11" s="114" t="s">
        <v>498</v>
      </c>
      <c r="K11" s="113"/>
      <c r="L11" s="115">
        <v>780</v>
      </c>
      <c r="N11" s="101"/>
    </row>
    <row r="12" spans="1:14" ht="15.75" x14ac:dyDescent="0.25">
      <c r="B12" s="130" t="s">
        <v>28</v>
      </c>
      <c r="D12" s="111">
        <v>381</v>
      </c>
      <c r="E12" s="61"/>
      <c r="F12" s="112">
        <v>44462</v>
      </c>
      <c r="G12" s="113"/>
      <c r="H12" s="117" t="s">
        <v>558</v>
      </c>
      <c r="I12" s="113"/>
      <c r="J12" s="114" t="s">
        <v>499</v>
      </c>
      <c r="K12" s="113"/>
      <c r="L12" s="115">
        <v>890</v>
      </c>
      <c r="N12" s="101"/>
    </row>
    <row r="13" spans="1:14" ht="15.75" x14ac:dyDescent="0.25">
      <c r="B13" s="130" t="s">
        <v>30</v>
      </c>
      <c r="D13" s="119">
        <v>63356</v>
      </c>
      <c r="E13" s="61"/>
      <c r="F13" s="112">
        <v>44387</v>
      </c>
      <c r="G13" s="113"/>
      <c r="H13" s="117" t="s">
        <v>550</v>
      </c>
      <c r="I13" s="113"/>
      <c r="J13" s="114" t="s">
        <v>551</v>
      </c>
      <c r="K13" s="113"/>
      <c r="L13" s="115">
        <v>750</v>
      </c>
      <c r="N13" s="101"/>
    </row>
    <row r="14" spans="1:14" ht="15.75" x14ac:dyDescent="0.25">
      <c r="B14" s="130" t="s">
        <v>814</v>
      </c>
      <c r="D14" s="120" t="s">
        <v>571</v>
      </c>
      <c r="E14" s="61"/>
      <c r="F14" s="112">
        <v>44386</v>
      </c>
      <c r="G14" s="113"/>
      <c r="H14" s="117" t="s">
        <v>762</v>
      </c>
      <c r="I14" s="113"/>
      <c r="J14" s="114" t="s">
        <v>552</v>
      </c>
      <c r="K14" s="113"/>
      <c r="L14" s="115">
        <v>590</v>
      </c>
      <c r="N14" s="101"/>
    </row>
    <row r="15" spans="1:14" ht="15.75" x14ac:dyDescent="0.25">
      <c r="B15" s="130" t="s">
        <v>27</v>
      </c>
      <c r="D15" s="116">
        <v>57604</v>
      </c>
      <c r="E15" s="62"/>
      <c r="F15" s="112">
        <v>43882</v>
      </c>
      <c r="G15" s="113"/>
      <c r="H15" s="117" t="s">
        <v>550</v>
      </c>
      <c r="I15" s="113"/>
      <c r="J15" s="114" t="s">
        <v>556</v>
      </c>
      <c r="K15" s="113"/>
      <c r="L15" s="115">
        <v>500</v>
      </c>
      <c r="N15" s="101"/>
    </row>
    <row r="18" spans="1:14" ht="23.25" x14ac:dyDescent="0.25">
      <c r="A18" s="189" t="s">
        <v>504</v>
      </c>
      <c r="B18" s="189"/>
      <c r="C18" s="189"/>
      <c r="D18" s="189"/>
      <c r="E18" s="189"/>
      <c r="F18" s="189"/>
      <c r="G18" s="189"/>
      <c r="H18" s="189"/>
      <c r="I18" s="189"/>
      <c r="J18" s="189"/>
      <c r="K18" s="189"/>
      <c r="L18" s="189"/>
      <c r="M18" s="189"/>
      <c r="N18" s="189"/>
    </row>
    <row r="21" spans="1:14" ht="15.75" x14ac:dyDescent="0.25">
      <c r="B21" s="65" t="s">
        <v>802</v>
      </c>
      <c r="D21" s="65" t="s">
        <v>500</v>
      </c>
      <c r="F21" s="65" t="s">
        <v>502</v>
      </c>
      <c r="H21" s="65" t="s">
        <v>496</v>
      </c>
      <c r="J21" s="65" t="s">
        <v>497</v>
      </c>
      <c r="L21" s="65" t="s">
        <v>501</v>
      </c>
      <c r="N21" s="65" t="s">
        <v>373</v>
      </c>
    </row>
    <row r="22" spans="1:14" x14ac:dyDescent="0.25">
      <c r="D22" s="62"/>
      <c r="F22" s="62"/>
      <c r="L22" s="62"/>
    </row>
    <row r="23" spans="1:14" ht="15.75" x14ac:dyDescent="0.25">
      <c r="B23" s="130" t="s">
        <v>22</v>
      </c>
      <c r="D23" s="116">
        <v>54171</v>
      </c>
      <c r="E23" s="62"/>
      <c r="F23" s="112">
        <v>43626</v>
      </c>
      <c r="G23" s="113"/>
      <c r="H23" s="117" t="s">
        <v>585</v>
      </c>
      <c r="I23" s="113"/>
      <c r="J23" s="114" t="s">
        <v>562</v>
      </c>
      <c r="K23" s="113"/>
      <c r="L23" s="115">
        <v>390</v>
      </c>
      <c r="N23" s="48"/>
    </row>
    <row r="24" spans="1:14" ht="15.75" x14ac:dyDescent="0.25">
      <c r="B24" s="130" t="s">
        <v>111</v>
      </c>
      <c r="D24" s="98" t="s">
        <v>553</v>
      </c>
      <c r="E24" s="62"/>
      <c r="F24" s="94">
        <v>43907</v>
      </c>
      <c r="H24" s="97" t="s">
        <v>550</v>
      </c>
      <c r="J24" s="95" t="s">
        <v>555</v>
      </c>
      <c r="L24" s="96">
        <v>800</v>
      </c>
      <c r="N24" s="48"/>
    </row>
    <row r="25" spans="1:14" ht="15.75" x14ac:dyDescent="0.25">
      <c r="B25" s="130" t="s">
        <v>111</v>
      </c>
      <c r="D25" s="98">
        <v>41798</v>
      </c>
      <c r="E25" s="62"/>
      <c r="F25" s="94">
        <v>42730</v>
      </c>
      <c r="H25" s="97" t="s">
        <v>567</v>
      </c>
      <c r="J25" s="95" t="s">
        <v>569</v>
      </c>
      <c r="L25" s="96">
        <v>690</v>
      </c>
      <c r="N25" s="48"/>
    </row>
    <row r="26" spans="1:14" ht="15.75" x14ac:dyDescent="0.25">
      <c r="B26" s="130" t="s">
        <v>111</v>
      </c>
      <c r="D26" s="105" t="s">
        <v>553</v>
      </c>
      <c r="F26" s="94">
        <v>44300</v>
      </c>
      <c r="H26" s="97" t="s">
        <v>762</v>
      </c>
      <c r="J26" s="95" t="s">
        <v>554</v>
      </c>
      <c r="L26" s="96">
        <v>1180</v>
      </c>
      <c r="N26" s="48"/>
    </row>
    <row r="27" spans="1:14" ht="15.75" x14ac:dyDescent="0.25">
      <c r="B27" s="130" t="s">
        <v>111</v>
      </c>
      <c r="D27" s="98" t="s">
        <v>557</v>
      </c>
      <c r="E27" s="62"/>
      <c r="F27" s="94">
        <v>43875</v>
      </c>
      <c r="H27" s="97" t="s">
        <v>558</v>
      </c>
      <c r="J27" s="95" t="s">
        <v>559</v>
      </c>
      <c r="L27" s="96">
        <v>490</v>
      </c>
      <c r="N27" s="48"/>
    </row>
    <row r="28" spans="1:14" ht="15.75" x14ac:dyDescent="0.25">
      <c r="B28" s="130" t="s">
        <v>111</v>
      </c>
      <c r="D28" s="98" t="s">
        <v>553</v>
      </c>
      <c r="E28" s="62"/>
      <c r="F28" s="94">
        <v>43763</v>
      </c>
      <c r="H28" s="97" t="s">
        <v>558</v>
      </c>
      <c r="J28" s="95" t="s">
        <v>560</v>
      </c>
      <c r="L28" s="96">
        <v>580</v>
      </c>
      <c r="N28" s="48"/>
    </row>
    <row r="29" spans="1:14" ht="15.75" x14ac:dyDescent="0.25">
      <c r="B29" s="130" t="s">
        <v>111</v>
      </c>
      <c r="D29" s="98" t="s">
        <v>553</v>
      </c>
      <c r="E29" s="62"/>
      <c r="F29" s="94">
        <v>43727</v>
      </c>
      <c r="H29" s="97" t="s">
        <v>558</v>
      </c>
      <c r="J29" s="95" t="s">
        <v>561</v>
      </c>
      <c r="L29" s="96">
        <v>790</v>
      </c>
      <c r="N29" s="48"/>
    </row>
    <row r="30" spans="1:14" ht="15.75" x14ac:dyDescent="0.25">
      <c r="B30" s="130" t="s">
        <v>111</v>
      </c>
      <c r="D30" s="99">
        <v>41799</v>
      </c>
      <c r="E30" s="66"/>
      <c r="F30" s="94">
        <v>42730</v>
      </c>
      <c r="H30" s="97" t="s">
        <v>567</v>
      </c>
      <c r="J30" s="97" t="s">
        <v>569</v>
      </c>
      <c r="L30" s="96">
        <v>690</v>
      </c>
      <c r="N30" s="48"/>
    </row>
    <row r="31" spans="1:14" ht="15.75" x14ac:dyDescent="0.25">
      <c r="B31" s="130" t="s">
        <v>111</v>
      </c>
      <c r="D31" s="99">
        <v>53771</v>
      </c>
      <c r="E31" s="62"/>
      <c r="F31" s="94">
        <v>43591</v>
      </c>
      <c r="H31" s="97" t="s">
        <v>762</v>
      </c>
      <c r="J31" s="95" t="s">
        <v>563</v>
      </c>
      <c r="L31" s="96">
        <v>480</v>
      </c>
      <c r="N31" s="48"/>
    </row>
    <row r="32" spans="1:14" ht="15.75" x14ac:dyDescent="0.25">
      <c r="B32" s="130" t="s">
        <v>111</v>
      </c>
      <c r="D32" s="99">
        <v>53277</v>
      </c>
      <c r="E32" s="62"/>
      <c r="F32" s="94">
        <v>43556</v>
      </c>
      <c r="H32" s="97" t="s">
        <v>550</v>
      </c>
      <c r="J32" s="95" t="s">
        <v>564</v>
      </c>
      <c r="L32" s="96">
        <v>1500</v>
      </c>
      <c r="N32" s="48"/>
    </row>
    <row r="33" spans="1:21" ht="15.75" x14ac:dyDescent="0.25">
      <c r="B33" s="130" t="s">
        <v>111</v>
      </c>
      <c r="D33" s="99">
        <v>51519</v>
      </c>
      <c r="E33" s="62"/>
      <c r="F33" s="94">
        <v>43427</v>
      </c>
      <c r="H33" s="97" t="s">
        <v>550</v>
      </c>
      <c r="J33" s="95" t="s">
        <v>564</v>
      </c>
      <c r="L33" s="96">
        <v>1700</v>
      </c>
      <c r="N33" s="48"/>
    </row>
    <row r="34" spans="1:21" ht="15.75" x14ac:dyDescent="0.25">
      <c r="B34" s="130" t="s">
        <v>111</v>
      </c>
      <c r="D34" s="99">
        <v>51520</v>
      </c>
      <c r="E34" s="63"/>
      <c r="F34" s="94">
        <v>43427</v>
      </c>
      <c r="H34" s="97" t="s">
        <v>550</v>
      </c>
      <c r="J34" s="95" t="s">
        <v>562</v>
      </c>
      <c r="L34" s="96">
        <v>380</v>
      </c>
      <c r="N34" s="48"/>
    </row>
    <row r="35" spans="1:21" ht="15.75" x14ac:dyDescent="0.25">
      <c r="B35" s="130" t="s">
        <v>111</v>
      </c>
      <c r="D35" s="99">
        <v>48482</v>
      </c>
      <c r="E35" s="63"/>
      <c r="F35" s="94">
        <v>43193</v>
      </c>
      <c r="H35" s="97" t="s">
        <v>565</v>
      </c>
      <c r="J35" s="95" t="s">
        <v>566</v>
      </c>
      <c r="L35" s="96">
        <v>650</v>
      </c>
      <c r="N35" s="48"/>
    </row>
    <row r="36" spans="1:21" ht="15.75" x14ac:dyDescent="0.25">
      <c r="B36" s="130" t="s">
        <v>111</v>
      </c>
      <c r="D36" s="99">
        <v>48483</v>
      </c>
      <c r="E36" s="63"/>
      <c r="F36" s="94">
        <v>43193</v>
      </c>
      <c r="H36" s="97" t="s">
        <v>565</v>
      </c>
      <c r="J36" s="95" t="s">
        <v>566</v>
      </c>
      <c r="L36" s="96">
        <v>650</v>
      </c>
      <c r="N36" s="48"/>
    </row>
    <row r="37" spans="1:21" ht="15.75" x14ac:dyDescent="0.25">
      <c r="B37" s="130" t="s">
        <v>111</v>
      </c>
      <c r="D37" s="99">
        <v>48484</v>
      </c>
      <c r="E37" s="63"/>
      <c r="F37" s="94">
        <v>43193</v>
      </c>
      <c r="H37" s="97" t="s">
        <v>565</v>
      </c>
      <c r="J37" s="95" t="s">
        <v>566</v>
      </c>
      <c r="L37" s="96">
        <v>650</v>
      </c>
      <c r="N37" s="48"/>
    </row>
    <row r="38" spans="1:21" ht="15.75" x14ac:dyDescent="0.25">
      <c r="B38" s="130" t="s">
        <v>111</v>
      </c>
      <c r="D38" s="99">
        <v>41797</v>
      </c>
      <c r="E38" s="63"/>
      <c r="F38" s="94">
        <v>42730</v>
      </c>
      <c r="H38" s="97" t="s">
        <v>567</v>
      </c>
      <c r="J38" s="97" t="s">
        <v>568</v>
      </c>
      <c r="L38" s="96">
        <v>1000</v>
      </c>
      <c r="N38" s="48"/>
    </row>
    <row r="39" spans="1:21" ht="15.75" x14ac:dyDescent="0.25">
      <c r="B39" s="130"/>
      <c r="D39" s="99"/>
      <c r="F39" s="94"/>
      <c r="H39" s="97"/>
      <c r="J39" s="97"/>
      <c r="L39" s="96"/>
      <c r="N39" s="48"/>
    </row>
    <row r="40" spans="1:21" ht="15.75" x14ac:dyDescent="0.25">
      <c r="B40" s="130"/>
      <c r="D40" s="99"/>
      <c r="E40" s="66"/>
      <c r="F40" s="94"/>
      <c r="H40" s="97"/>
      <c r="J40" s="97"/>
      <c r="L40" s="96"/>
      <c r="N40" s="48"/>
    </row>
    <row r="41" spans="1:21" ht="15.75" x14ac:dyDescent="0.25">
      <c r="B41" s="130"/>
      <c r="D41" s="99"/>
      <c r="F41" s="94"/>
      <c r="H41" s="97"/>
      <c r="J41" s="97"/>
      <c r="L41" s="96"/>
      <c r="N41" s="48"/>
    </row>
    <row r="42" spans="1:21" ht="16.5" x14ac:dyDescent="0.3">
      <c r="B42" s="130"/>
      <c r="D42" s="72"/>
      <c r="F42" s="68"/>
      <c r="H42" s="64"/>
      <c r="J42" s="64"/>
      <c r="L42" s="67"/>
      <c r="N42" s="48"/>
    </row>
    <row r="43" spans="1:21" x14ac:dyDescent="0.25">
      <c r="D43" s="75"/>
      <c r="E43" s="79"/>
      <c r="F43" s="79"/>
      <c r="G43" s="4"/>
      <c r="H43" s="76"/>
      <c r="I43" s="69"/>
      <c r="J43" s="1"/>
      <c r="K43" s="77"/>
      <c r="M43" s="75"/>
      <c r="O43" s="1347"/>
      <c r="P43" s="1347"/>
      <c r="Q43" s="1347"/>
    </row>
    <row r="44" spans="1:21" ht="23.25" x14ac:dyDescent="0.25">
      <c r="A44" s="189" t="s">
        <v>504</v>
      </c>
      <c r="B44" s="189"/>
      <c r="C44" s="189"/>
      <c r="D44" s="189"/>
      <c r="E44" s="189"/>
      <c r="F44" s="189"/>
      <c r="G44" s="189"/>
      <c r="H44" s="189"/>
      <c r="I44" s="189"/>
      <c r="J44" s="189"/>
      <c r="K44" s="189"/>
      <c r="L44" s="189"/>
      <c r="M44" s="189"/>
      <c r="N44" s="189"/>
      <c r="O44" s="1347"/>
      <c r="P44" s="1347"/>
      <c r="Q44" s="1347"/>
    </row>
    <row r="45" spans="1:21" ht="21" customHeight="1" x14ac:dyDescent="0.25">
      <c r="M45" s="75"/>
      <c r="N45" s="31"/>
      <c r="O45" s="78"/>
      <c r="P45" s="78"/>
      <c r="Q45" s="78"/>
      <c r="R45" s="31"/>
      <c r="S45" s="31"/>
      <c r="T45" s="31"/>
      <c r="U45" s="31"/>
    </row>
    <row r="46" spans="1:21" ht="15.75" x14ac:dyDescent="0.25">
      <c r="B46" s="65" t="s">
        <v>802</v>
      </c>
      <c r="D46" s="65" t="s">
        <v>500</v>
      </c>
      <c r="F46" s="65" t="s">
        <v>502</v>
      </c>
      <c r="H46" s="65" t="s">
        <v>496</v>
      </c>
      <c r="J46" s="65" t="s">
        <v>497</v>
      </c>
      <c r="L46" s="65" t="s">
        <v>501</v>
      </c>
      <c r="M46" s="75"/>
      <c r="N46" s="65" t="s">
        <v>373</v>
      </c>
      <c r="O46" s="78"/>
      <c r="P46" s="78"/>
      <c r="Q46" s="78"/>
    </row>
    <row r="47" spans="1:21" x14ac:dyDescent="0.25">
      <c r="D47" s="62"/>
      <c r="F47" s="62"/>
      <c r="L47" s="62"/>
    </row>
    <row r="48" spans="1:21" ht="15.75" x14ac:dyDescent="0.25">
      <c r="B48" s="130"/>
      <c r="D48" s="98"/>
      <c r="E48" s="62"/>
      <c r="F48" s="94"/>
      <c r="H48" s="95"/>
      <c r="J48" s="95"/>
      <c r="L48" s="96"/>
      <c r="N48" s="48"/>
    </row>
    <row r="49" spans="2:14" ht="15.75" x14ac:dyDescent="0.25">
      <c r="B49" s="130"/>
      <c r="D49" s="73"/>
      <c r="E49" s="62"/>
      <c r="F49" s="71"/>
      <c r="H49" s="64"/>
      <c r="J49" s="64"/>
      <c r="L49" s="70"/>
      <c r="N49" s="48"/>
    </row>
    <row r="50" spans="2:14" ht="15.75" x14ac:dyDescent="0.25">
      <c r="B50" s="130"/>
      <c r="D50" s="73"/>
      <c r="E50" s="62"/>
      <c r="F50" s="71"/>
      <c r="H50" s="64"/>
      <c r="J50" s="64"/>
      <c r="L50" s="70"/>
      <c r="N50" s="48"/>
    </row>
    <row r="51" spans="2:14" ht="15.75" x14ac:dyDescent="0.25">
      <c r="B51" s="130"/>
      <c r="D51" s="73"/>
      <c r="E51" s="62"/>
      <c r="F51" s="71"/>
      <c r="H51" s="64"/>
      <c r="J51" s="64"/>
      <c r="L51" s="70"/>
      <c r="N51" s="48"/>
    </row>
    <row r="52" spans="2:14" ht="15.75" x14ac:dyDescent="0.25">
      <c r="B52" s="130"/>
      <c r="D52" s="73"/>
      <c r="E52" s="62"/>
      <c r="F52" s="71"/>
      <c r="H52" s="64"/>
      <c r="J52" s="64"/>
      <c r="L52" s="70"/>
      <c r="N52" s="48"/>
    </row>
    <row r="53" spans="2:14" ht="15.75" x14ac:dyDescent="0.25">
      <c r="B53" s="130"/>
      <c r="D53" s="73"/>
      <c r="E53" s="62"/>
      <c r="F53" s="71"/>
      <c r="H53" s="64"/>
      <c r="J53" s="64"/>
      <c r="L53" s="70"/>
      <c r="N53" s="48"/>
    </row>
    <row r="54" spans="2:14" ht="15.75" x14ac:dyDescent="0.25">
      <c r="B54" s="130"/>
      <c r="D54" s="73"/>
      <c r="E54" s="62"/>
      <c r="F54" s="71"/>
      <c r="H54" s="64"/>
      <c r="J54" s="64"/>
      <c r="L54" s="70"/>
      <c r="N54" s="48"/>
    </row>
    <row r="55" spans="2:14" ht="15.75" x14ac:dyDescent="0.25">
      <c r="B55" s="48"/>
      <c r="D55" s="73"/>
      <c r="E55" s="62"/>
      <c r="F55" s="71"/>
      <c r="H55" s="64"/>
      <c r="J55" s="64"/>
      <c r="L55" s="70"/>
      <c r="N55" s="48"/>
    </row>
    <row r="56" spans="2:14" ht="15.75" x14ac:dyDescent="0.25">
      <c r="B56" s="48"/>
      <c r="D56" s="73"/>
      <c r="E56" s="62"/>
      <c r="F56" s="71"/>
      <c r="H56" s="64"/>
      <c r="J56" s="64"/>
      <c r="L56" s="70"/>
      <c r="N56" s="48"/>
    </row>
    <row r="57" spans="2:14" ht="15.75" x14ac:dyDescent="0.25">
      <c r="B57" s="48"/>
      <c r="D57" s="73"/>
      <c r="E57" s="62"/>
      <c r="F57" s="71"/>
      <c r="H57" s="64"/>
      <c r="J57" s="64"/>
      <c r="L57" s="70"/>
      <c r="N57" s="48"/>
    </row>
    <row r="58" spans="2:14" ht="15.75" x14ac:dyDescent="0.25">
      <c r="B58" s="48"/>
      <c r="D58" s="73"/>
      <c r="E58" s="62"/>
      <c r="F58" s="71"/>
      <c r="H58" s="64"/>
      <c r="J58" s="64"/>
      <c r="L58" s="70"/>
      <c r="N58" s="48"/>
    </row>
    <row r="59" spans="2:14" ht="15.75" x14ac:dyDescent="0.25">
      <c r="B59" s="48"/>
      <c r="D59" s="73"/>
      <c r="E59" s="62"/>
      <c r="F59" s="71"/>
      <c r="H59" s="64"/>
      <c r="J59" s="64"/>
      <c r="L59" s="70"/>
      <c r="N59" s="48"/>
    </row>
    <row r="60" spans="2:14" ht="15.75" x14ac:dyDescent="0.25">
      <c r="B60" s="48"/>
      <c r="D60" s="73"/>
      <c r="E60" s="62"/>
      <c r="F60" s="71"/>
      <c r="H60" s="64"/>
      <c r="J60" s="64"/>
      <c r="L60" s="70"/>
      <c r="N60" s="48"/>
    </row>
    <row r="61" spans="2:14" ht="15.75" x14ac:dyDescent="0.25">
      <c r="B61" s="48"/>
      <c r="D61" s="73"/>
      <c r="E61" s="62"/>
      <c r="F61" s="71"/>
      <c r="H61" s="64"/>
      <c r="J61" s="64"/>
      <c r="L61" s="70"/>
      <c r="N61" s="48"/>
    </row>
    <row r="62" spans="2:14" ht="15.75" x14ac:dyDescent="0.25">
      <c r="B62" s="48"/>
      <c r="D62" s="73"/>
      <c r="E62" s="63"/>
      <c r="F62" s="71"/>
      <c r="H62" s="64"/>
      <c r="J62" s="64"/>
      <c r="L62" s="70"/>
      <c r="N62" s="48"/>
    </row>
    <row r="63" spans="2:14" ht="15.75" x14ac:dyDescent="0.25">
      <c r="B63" s="48"/>
      <c r="D63" s="73"/>
      <c r="E63" s="63"/>
      <c r="F63" s="71"/>
      <c r="H63" s="64"/>
      <c r="J63" s="64"/>
      <c r="L63" s="70"/>
      <c r="N63" s="48"/>
    </row>
    <row r="64" spans="2:14" ht="15.75" x14ac:dyDescent="0.25">
      <c r="B64" s="48"/>
      <c r="D64" s="73"/>
      <c r="E64" s="63"/>
      <c r="F64" s="71"/>
      <c r="H64" s="64"/>
      <c r="J64" s="64"/>
      <c r="L64" s="70"/>
      <c r="N64" s="48"/>
    </row>
    <row r="65" spans="2:14" ht="15.75" x14ac:dyDescent="0.25">
      <c r="B65" s="48"/>
      <c r="D65" s="73"/>
      <c r="E65" s="63"/>
      <c r="F65" s="71"/>
      <c r="H65" s="64"/>
      <c r="J65" s="64"/>
      <c r="L65" s="70"/>
      <c r="N65" s="48"/>
    </row>
    <row r="66" spans="2:14" ht="15.75" x14ac:dyDescent="0.25">
      <c r="B66" s="48"/>
      <c r="D66" s="73"/>
      <c r="E66" s="63"/>
      <c r="F66" s="71"/>
      <c r="H66" s="64"/>
      <c r="J66" s="64"/>
      <c r="L66" s="70"/>
      <c r="N66" s="48"/>
    </row>
    <row r="67" spans="2:14" ht="15.75" x14ac:dyDescent="0.25">
      <c r="B67" s="48"/>
      <c r="D67" s="73"/>
      <c r="E67" s="61"/>
      <c r="F67" s="71"/>
      <c r="H67" s="64"/>
      <c r="J67" s="64"/>
      <c r="L67" s="70"/>
      <c r="N67" s="48"/>
    </row>
    <row r="68" spans="2:14" ht="16.5" x14ac:dyDescent="0.3">
      <c r="B68" s="48"/>
      <c r="D68" s="72"/>
      <c r="E68" s="66"/>
      <c r="F68" s="68"/>
      <c r="H68" s="64"/>
      <c r="J68" s="64"/>
      <c r="L68" s="67"/>
      <c r="N68" s="48"/>
    </row>
    <row r="69" spans="2:14" ht="16.5" x14ac:dyDescent="0.3">
      <c r="B69" s="48"/>
      <c r="D69" s="72"/>
      <c r="F69" s="68"/>
      <c r="H69" s="64"/>
      <c r="J69" s="64"/>
      <c r="L69" s="67"/>
      <c r="N69" s="48"/>
    </row>
  </sheetData>
  <sheetProtection algorithmName="SHA-512" hashValue="8pnB8nZAWsjekXATqlEQVKJ/4836QsfEbmEwjNW5IY06YIGtA/vUXbZNz5vLYO7N53I1+p9xpuuO0oZQQ4ceeA==" saltValue="LqysUrCtwk+tn2AZ2lWuDQ==" spinCount="100000" sheet="1" objects="1" scenarios="1"/>
  <mergeCells count="4">
    <mergeCell ref="O43:Q44"/>
    <mergeCell ref="A1:N1"/>
    <mergeCell ref="A18:N18"/>
    <mergeCell ref="A44:N44"/>
  </mergeCells>
  <phoneticPr fontId="5" type="noConversion"/>
  <hyperlinks>
    <hyperlink ref="D6" location="PROJETOR!A1" display="ORÇAMENTO " xr:uid="{F523EF2C-9242-4FAA-95A9-77765E5F8019}"/>
  </hyperlinks>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CC"/>
  </sheetPr>
  <dimension ref="A2:AM32"/>
  <sheetViews>
    <sheetView workbookViewId="0">
      <selection activeCell="F38" sqref="F38"/>
    </sheetView>
  </sheetViews>
  <sheetFormatPr defaultColWidth="8.85546875" defaultRowHeight="15" x14ac:dyDescent="0.25"/>
  <cols>
    <col min="2" max="2" width="12.7109375" customWidth="1"/>
    <col min="3" max="3" width="31.85546875" customWidth="1"/>
    <col min="4" max="4" width="34.28515625" customWidth="1"/>
    <col min="5" max="5" width="36.42578125" customWidth="1"/>
    <col min="6" max="6" width="28.7109375" customWidth="1"/>
    <col min="7" max="7" width="27.7109375" customWidth="1"/>
    <col min="8" max="8" width="26.140625" customWidth="1"/>
    <col min="9" max="9" width="38.42578125" customWidth="1"/>
    <col min="10" max="10" width="34.42578125" customWidth="1"/>
    <col min="11" max="11" width="28.140625" customWidth="1"/>
    <col min="12" max="12" width="29.85546875" customWidth="1"/>
    <col min="13" max="13" width="25.28515625" customWidth="1"/>
    <col min="14" max="14" width="31.140625" customWidth="1"/>
    <col min="15" max="15" width="28" customWidth="1"/>
    <col min="16" max="16" width="30.42578125" customWidth="1"/>
    <col min="17" max="17" width="26" customWidth="1"/>
    <col min="18" max="18" width="21.7109375" customWidth="1"/>
    <col min="19" max="19" width="31.42578125" customWidth="1"/>
    <col min="20" max="20" width="19" customWidth="1"/>
    <col min="21" max="21" width="24.28515625" customWidth="1"/>
    <col min="22" max="22" width="24" bestFit="1" customWidth="1"/>
    <col min="23" max="23" width="24" customWidth="1"/>
    <col min="24" max="24" width="28.42578125" customWidth="1"/>
    <col min="25" max="25" width="16.140625" bestFit="1" customWidth="1"/>
    <col min="26" max="26" width="31.28515625" customWidth="1"/>
    <col min="27" max="27" width="36.140625" customWidth="1"/>
    <col min="28" max="28" width="28.42578125" customWidth="1"/>
    <col min="29" max="29" width="25.7109375" customWidth="1"/>
    <col min="30" max="30" width="41" customWidth="1"/>
    <col min="31" max="31" width="10.42578125" customWidth="1"/>
    <col min="32" max="32" width="27.85546875" customWidth="1"/>
    <col min="33" max="33" width="28.28515625" customWidth="1"/>
    <col min="34" max="34" width="19.42578125" bestFit="1" customWidth="1"/>
    <col min="35" max="35" width="33" customWidth="1"/>
    <col min="36" max="36" width="34" customWidth="1"/>
    <col min="37" max="37" width="30.140625" customWidth="1"/>
    <col min="38" max="38" width="20.28515625" customWidth="1"/>
  </cols>
  <sheetData>
    <row r="2" spans="1:39" ht="21.75" customHeight="1" x14ac:dyDescent="0.25">
      <c r="A2" s="1348" t="s">
        <v>412</v>
      </c>
      <c r="B2" s="1348"/>
      <c r="C2" s="1348"/>
      <c r="D2" s="1348"/>
      <c r="E2" s="1348"/>
      <c r="F2" s="1348"/>
      <c r="G2" s="1348"/>
      <c r="H2" s="1348"/>
      <c r="I2" s="1348"/>
      <c r="J2" s="1348"/>
      <c r="K2" s="1348"/>
      <c r="L2" s="1348"/>
      <c r="M2" s="1348"/>
      <c r="N2" s="1348"/>
      <c r="O2" s="1348"/>
      <c r="P2" s="1348"/>
      <c r="Q2" s="1348"/>
      <c r="R2" s="1348"/>
      <c r="S2" s="1348"/>
      <c r="T2" s="1348"/>
      <c r="U2" s="1348"/>
      <c r="V2" s="1348"/>
      <c r="W2" s="1348"/>
      <c r="X2" s="1348"/>
      <c r="Y2" s="1348"/>
      <c r="Z2" s="1348"/>
      <c r="AA2" s="1348"/>
      <c r="AB2" s="1348"/>
      <c r="AC2" s="1348"/>
      <c r="AD2" s="1348"/>
      <c r="AE2" s="1348"/>
      <c r="AF2" s="1348"/>
      <c r="AG2" s="1348"/>
      <c r="AH2" s="1348"/>
      <c r="AI2" s="1348"/>
      <c r="AJ2" s="1348"/>
      <c r="AK2" s="1348"/>
      <c r="AL2" s="1348"/>
    </row>
    <row r="3" spans="1:39" x14ac:dyDescent="0.25">
      <c r="A3" s="36" t="s">
        <v>182</v>
      </c>
      <c r="B3" s="36" t="s">
        <v>0</v>
      </c>
      <c r="C3" s="36" t="s">
        <v>31</v>
      </c>
      <c r="D3" s="36" t="s">
        <v>390</v>
      </c>
      <c r="E3" s="36" t="s">
        <v>406</v>
      </c>
      <c r="F3" s="36" t="s">
        <v>32</v>
      </c>
      <c r="G3" s="36" t="s">
        <v>37</v>
      </c>
      <c r="H3" s="36" t="s">
        <v>33</v>
      </c>
      <c r="I3" s="36" t="s">
        <v>35</v>
      </c>
      <c r="J3" s="36" t="s">
        <v>366</v>
      </c>
      <c r="K3" s="36" t="s">
        <v>392</v>
      </c>
      <c r="L3" s="36" t="s">
        <v>391</v>
      </c>
      <c r="M3" s="36" t="s">
        <v>3</v>
      </c>
      <c r="N3" s="36" t="s">
        <v>44</v>
      </c>
      <c r="O3" s="36" t="s">
        <v>393</v>
      </c>
      <c r="P3" s="36" t="s">
        <v>407</v>
      </c>
      <c r="Q3" s="36" t="s">
        <v>367</v>
      </c>
      <c r="R3" s="36" t="s">
        <v>45</v>
      </c>
      <c r="S3" s="36" t="s">
        <v>394</v>
      </c>
      <c r="T3" s="36" t="s">
        <v>395</v>
      </c>
      <c r="U3" s="36" t="s">
        <v>396</v>
      </c>
      <c r="V3" s="36" t="s">
        <v>368</v>
      </c>
      <c r="W3" s="36" t="s">
        <v>397</v>
      </c>
      <c r="X3" s="36" t="s">
        <v>408</v>
      </c>
      <c r="Y3" s="36" t="s">
        <v>46</v>
      </c>
      <c r="Z3" s="36" t="s">
        <v>398</v>
      </c>
      <c r="AA3" s="36" t="s">
        <v>409</v>
      </c>
      <c r="AB3" s="36" t="s">
        <v>369</v>
      </c>
      <c r="AC3" s="36" t="s">
        <v>47</v>
      </c>
      <c r="AD3" s="36" t="s">
        <v>399</v>
      </c>
      <c r="AE3" s="36" t="s">
        <v>48</v>
      </c>
      <c r="AF3" s="36" t="s">
        <v>370</v>
      </c>
      <c r="AG3" s="36" t="s">
        <v>410</v>
      </c>
      <c r="AH3" s="36" t="s">
        <v>371</v>
      </c>
      <c r="AI3" s="36" t="s">
        <v>400</v>
      </c>
      <c r="AJ3" s="36" t="s">
        <v>411</v>
      </c>
      <c r="AK3" s="36" t="s">
        <v>372</v>
      </c>
      <c r="AL3" s="36" t="s">
        <v>373</v>
      </c>
      <c r="AM3" s="36"/>
    </row>
    <row r="4" spans="1:39" x14ac:dyDescent="0.25">
      <c r="A4" s="36">
        <v>2000</v>
      </c>
      <c r="B4" s="36" t="s">
        <v>4</v>
      </c>
      <c r="C4" s="36" t="s">
        <v>71</v>
      </c>
      <c r="D4" s="36"/>
      <c r="E4" s="36"/>
      <c r="F4" s="36" t="s">
        <v>72</v>
      </c>
      <c r="G4" s="36" t="s">
        <v>64</v>
      </c>
      <c r="H4" s="36" t="s">
        <v>73</v>
      </c>
      <c r="I4" s="36" t="s">
        <v>36</v>
      </c>
      <c r="J4" s="30">
        <v>44403</v>
      </c>
      <c r="K4" s="36" t="s">
        <v>70</v>
      </c>
      <c r="L4" s="36"/>
      <c r="M4" s="36" t="s">
        <v>68</v>
      </c>
      <c r="N4" s="36" t="s">
        <v>61</v>
      </c>
      <c r="O4" s="36"/>
      <c r="Q4" s="36"/>
      <c r="R4" s="36" t="s">
        <v>374</v>
      </c>
      <c r="S4" s="36"/>
      <c r="T4" s="36"/>
      <c r="U4" s="36"/>
      <c r="V4" s="36" t="s">
        <v>84</v>
      </c>
      <c r="W4" s="36"/>
      <c r="X4" s="36"/>
      <c r="Y4" s="36" t="s">
        <v>100</v>
      </c>
      <c r="Z4" s="36"/>
      <c r="AA4" s="36"/>
      <c r="AB4" s="36"/>
      <c r="AC4" s="36" t="s">
        <v>68</v>
      </c>
      <c r="AD4" s="36"/>
      <c r="AE4" s="36"/>
      <c r="AF4" s="36">
        <v>44391</v>
      </c>
      <c r="AG4" s="36"/>
      <c r="AH4" s="36" t="s">
        <v>67</v>
      </c>
      <c r="AI4" s="36"/>
      <c r="AJ4" s="36"/>
      <c r="AK4" s="36"/>
      <c r="AL4" s="36"/>
    </row>
    <row r="5" spans="1:39" x14ac:dyDescent="0.25">
      <c r="A5" s="36">
        <v>2001</v>
      </c>
      <c r="B5" s="36" t="s">
        <v>6</v>
      </c>
      <c r="C5" s="36" t="s">
        <v>99</v>
      </c>
      <c r="D5" s="36"/>
      <c r="E5" s="36"/>
      <c r="F5" s="36" t="s">
        <v>72</v>
      </c>
      <c r="G5" s="36" t="s">
        <v>38</v>
      </c>
      <c r="H5" s="36" t="s">
        <v>91</v>
      </c>
      <c r="I5" s="36" t="s">
        <v>36</v>
      </c>
      <c r="J5" s="30">
        <v>44403</v>
      </c>
      <c r="K5" s="36" t="s">
        <v>60</v>
      </c>
      <c r="L5" s="36"/>
      <c r="M5" s="36" t="s">
        <v>68</v>
      </c>
      <c r="N5" s="36" t="s">
        <v>61</v>
      </c>
      <c r="O5" s="36"/>
      <c r="Q5" s="36"/>
      <c r="R5" s="36" t="s">
        <v>110</v>
      </c>
      <c r="S5" s="36"/>
      <c r="T5" s="36"/>
      <c r="U5" s="36"/>
      <c r="V5" s="36" t="s">
        <v>84</v>
      </c>
      <c r="W5" s="36"/>
      <c r="X5" s="36"/>
      <c r="Y5" s="36" t="s">
        <v>101</v>
      </c>
      <c r="Z5" s="36"/>
      <c r="AA5" s="36"/>
      <c r="AB5" s="36"/>
      <c r="AC5" s="36" t="s">
        <v>68</v>
      </c>
      <c r="AD5" s="36"/>
      <c r="AE5" s="36"/>
      <c r="AF5" s="36">
        <v>44391</v>
      </c>
      <c r="AG5" s="36"/>
      <c r="AH5" s="36" t="s">
        <v>67</v>
      </c>
      <c r="AI5" s="36"/>
      <c r="AJ5" s="36"/>
      <c r="AK5" s="36"/>
      <c r="AL5" s="36"/>
    </row>
    <row r="6" spans="1:39" x14ac:dyDescent="0.25">
      <c r="A6" s="36">
        <v>2002</v>
      </c>
      <c r="B6" s="36" t="s">
        <v>7</v>
      </c>
      <c r="C6" s="36" t="s">
        <v>71</v>
      </c>
      <c r="D6" s="36"/>
      <c r="E6" s="36"/>
      <c r="F6" s="36" t="s">
        <v>72</v>
      </c>
      <c r="G6" s="36" t="s">
        <v>64</v>
      </c>
      <c r="H6" s="36" t="s">
        <v>91</v>
      </c>
      <c r="I6" s="36" t="s">
        <v>36</v>
      </c>
      <c r="J6" s="30">
        <v>44403</v>
      </c>
      <c r="K6" s="36" t="s">
        <v>70</v>
      </c>
      <c r="L6" s="36"/>
      <c r="M6" s="36" t="s">
        <v>68</v>
      </c>
      <c r="N6" s="36" t="s">
        <v>61</v>
      </c>
      <c r="O6" s="36"/>
      <c r="Q6" s="36"/>
      <c r="R6" s="36" t="s">
        <v>110</v>
      </c>
      <c r="S6" s="36"/>
      <c r="T6" s="36"/>
      <c r="U6" s="36"/>
      <c r="V6" s="36" t="s">
        <v>84</v>
      </c>
      <c r="W6" s="36"/>
      <c r="X6" s="36"/>
      <c r="Y6" s="36" t="s">
        <v>101</v>
      </c>
      <c r="Z6" s="36"/>
      <c r="AA6" s="36"/>
      <c r="AB6" s="36"/>
      <c r="AC6" s="36" t="s">
        <v>68</v>
      </c>
      <c r="AD6" s="36"/>
      <c r="AE6" s="36"/>
      <c r="AF6" s="36">
        <v>44391</v>
      </c>
      <c r="AG6" s="36"/>
      <c r="AH6" s="36" t="s">
        <v>102</v>
      </c>
      <c r="AI6" s="36"/>
      <c r="AJ6" s="36"/>
      <c r="AK6" s="36"/>
      <c r="AL6" s="36"/>
    </row>
    <row r="7" spans="1:39" x14ac:dyDescent="0.25">
      <c r="A7" s="36">
        <v>2003</v>
      </c>
      <c r="B7" s="36" t="s">
        <v>8</v>
      </c>
      <c r="C7" s="36" t="s">
        <v>82</v>
      </c>
      <c r="D7" s="36"/>
      <c r="E7" s="36"/>
      <c r="F7" s="36" t="s">
        <v>72</v>
      </c>
      <c r="G7" s="36" t="s">
        <v>92</v>
      </c>
      <c r="H7" s="36" t="s">
        <v>91</v>
      </c>
      <c r="I7" s="36" t="s">
        <v>36</v>
      </c>
      <c r="J7" s="30">
        <v>44403</v>
      </c>
      <c r="K7" s="36" t="s">
        <v>60</v>
      </c>
      <c r="L7" s="36"/>
      <c r="M7" s="36" t="s">
        <v>68</v>
      </c>
      <c r="N7" s="36" t="s">
        <v>61</v>
      </c>
      <c r="O7" s="36"/>
      <c r="Q7" s="36"/>
      <c r="R7" s="36" t="s">
        <v>110</v>
      </c>
      <c r="S7" s="36"/>
      <c r="T7" s="36"/>
      <c r="U7" s="36"/>
      <c r="V7" s="36" t="s">
        <v>85</v>
      </c>
      <c r="W7" s="36"/>
      <c r="X7" s="36"/>
      <c r="Y7" s="36" t="s">
        <v>101</v>
      </c>
      <c r="Z7" s="36"/>
      <c r="AA7" s="36"/>
      <c r="AB7" s="36"/>
      <c r="AC7" s="36" t="s">
        <v>68</v>
      </c>
      <c r="AD7" s="36"/>
      <c r="AE7" s="36"/>
      <c r="AF7" s="36">
        <v>44391</v>
      </c>
      <c r="AG7" s="36"/>
      <c r="AH7" s="36" t="s">
        <v>67</v>
      </c>
      <c r="AI7" s="36"/>
      <c r="AJ7" s="36"/>
      <c r="AK7" s="36"/>
      <c r="AL7" s="36"/>
    </row>
    <row r="8" spans="1:39" x14ac:dyDescent="0.25">
      <c r="A8" s="36">
        <v>2004</v>
      </c>
      <c r="B8" s="36" t="s">
        <v>9</v>
      </c>
      <c r="C8" s="36" t="s">
        <v>82</v>
      </c>
      <c r="D8" s="36"/>
      <c r="E8" s="36"/>
      <c r="F8" s="36" t="s">
        <v>72</v>
      </c>
      <c r="G8" s="36" t="s">
        <v>92</v>
      </c>
      <c r="H8" s="36" t="s">
        <v>91</v>
      </c>
      <c r="I8" s="36" t="s">
        <v>36</v>
      </c>
      <c r="J8" s="30">
        <v>44403</v>
      </c>
      <c r="K8" s="36" t="s">
        <v>60</v>
      </c>
      <c r="L8" s="36"/>
      <c r="M8" s="36" t="s">
        <v>68</v>
      </c>
      <c r="N8" s="36" t="s">
        <v>61</v>
      </c>
      <c r="O8" s="36"/>
      <c r="Q8" s="36"/>
      <c r="R8" s="36" t="s">
        <v>110</v>
      </c>
      <c r="S8" s="36"/>
      <c r="T8" s="36"/>
      <c r="U8" s="36"/>
      <c r="V8" s="36" t="s">
        <v>84</v>
      </c>
      <c r="W8" s="36"/>
      <c r="X8" s="36"/>
      <c r="Y8" s="36" t="s">
        <v>101</v>
      </c>
      <c r="Z8" s="36"/>
      <c r="AA8" s="36"/>
      <c r="AB8" s="36"/>
      <c r="AC8" s="36" t="s">
        <v>68</v>
      </c>
      <c r="AD8" s="36"/>
      <c r="AE8" s="36"/>
      <c r="AF8" s="36">
        <v>44391</v>
      </c>
      <c r="AG8" s="36"/>
      <c r="AH8" s="36" t="s">
        <v>67</v>
      </c>
      <c r="AI8" s="36"/>
      <c r="AJ8" s="36"/>
      <c r="AK8" s="36"/>
      <c r="AL8" s="36"/>
    </row>
    <row r="9" spans="1:39" x14ac:dyDescent="0.25">
      <c r="A9" s="36">
        <v>2005</v>
      </c>
      <c r="B9" s="36" t="s">
        <v>10</v>
      </c>
      <c r="C9" s="36" t="s">
        <v>90</v>
      </c>
      <c r="D9" s="36"/>
      <c r="E9" s="36"/>
      <c r="F9" s="36" t="s">
        <v>72</v>
      </c>
      <c r="G9" s="36" t="s">
        <v>92</v>
      </c>
      <c r="H9" s="36" t="s">
        <v>91</v>
      </c>
      <c r="I9" s="36" t="s">
        <v>36</v>
      </c>
      <c r="J9" s="30">
        <v>44403</v>
      </c>
      <c r="K9" s="36" t="s">
        <v>60</v>
      </c>
      <c r="L9" s="36"/>
      <c r="M9" s="36" t="s">
        <v>68</v>
      </c>
      <c r="N9" s="36" t="s">
        <v>61</v>
      </c>
      <c r="O9" s="36"/>
      <c r="Q9" s="36"/>
      <c r="R9" s="36" t="s">
        <v>110</v>
      </c>
      <c r="S9" s="36"/>
      <c r="T9" s="36"/>
      <c r="U9" s="36"/>
      <c r="V9" s="36" t="s">
        <v>99</v>
      </c>
      <c r="W9" s="36"/>
      <c r="X9" s="36"/>
      <c r="Y9" s="36" t="s">
        <v>101</v>
      </c>
      <c r="Z9" s="36"/>
      <c r="AA9" s="36"/>
      <c r="AB9" s="36"/>
      <c r="AC9" s="36" t="s">
        <v>68</v>
      </c>
      <c r="AD9" s="36"/>
      <c r="AE9" s="36"/>
      <c r="AF9" s="36">
        <v>44391</v>
      </c>
      <c r="AG9" s="36"/>
      <c r="AH9" s="36" t="s">
        <v>67</v>
      </c>
      <c r="AI9" s="36"/>
      <c r="AJ9" s="36"/>
      <c r="AK9" s="36"/>
      <c r="AL9" s="36"/>
    </row>
    <row r="10" spans="1:39" x14ac:dyDescent="0.25">
      <c r="A10" s="36">
        <v>2006</v>
      </c>
      <c r="B10" s="36" t="s">
        <v>13</v>
      </c>
      <c r="C10" s="36" t="s">
        <v>71</v>
      </c>
      <c r="D10" s="36"/>
      <c r="E10" s="36"/>
      <c r="F10" s="36" t="s">
        <v>72</v>
      </c>
      <c r="G10" s="36" t="s">
        <v>64</v>
      </c>
      <c r="H10" s="36" t="s">
        <v>77</v>
      </c>
      <c r="I10" s="36" t="s">
        <v>36</v>
      </c>
      <c r="J10" s="30">
        <v>44403</v>
      </c>
      <c r="K10" s="36" t="s">
        <v>78</v>
      </c>
      <c r="L10" s="36"/>
      <c r="M10" s="36" t="s">
        <v>68</v>
      </c>
      <c r="N10" s="36" t="s">
        <v>61</v>
      </c>
      <c r="O10" s="36"/>
      <c r="Q10" s="36"/>
      <c r="R10" s="36" t="s">
        <v>110</v>
      </c>
      <c r="S10" s="36"/>
      <c r="T10" s="36"/>
      <c r="U10" s="36"/>
      <c r="V10" s="36" t="s">
        <v>79</v>
      </c>
      <c r="W10" s="36"/>
      <c r="X10" s="36"/>
      <c r="Y10" s="36" t="s">
        <v>101</v>
      </c>
      <c r="Z10" s="36"/>
      <c r="AA10" s="36"/>
      <c r="AB10" s="36"/>
      <c r="AC10" s="36" t="s">
        <v>68</v>
      </c>
      <c r="AD10" s="36"/>
      <c r="AE10" s="36"/>
      <c r="AF10" s="36">
        <v>44391</v>
      </c>
      <c r="AG10" s="36"/>
      <c r="AH10" s="36" t="s">
        <v>67</v>
      </c>
      <c r="AI10" s="36"/>
      <c r="AJ10" s="36"/>
      <c r="AK10" s="36"/>
      <c r="AL10" s="36"/>
    </row>
    <row r="11" spans="1:39" x14ac:dyDescent="0.25">
      <c r="A11" s="36">
        <v>2007</v>
      </c>
      <c r="B11" s="36" t="s">
        <v>14</v>
      </c>
      <c r="C11" s="36" t="s">
        <v>71</v>
      </c>
      <c r="D11" s="36"/>
      <c r="E11" s="36"/>
      <c r="F11" s="36" t="s">
        <v>72</v>
      </c>
      <c r="G11" s="36" t="s">
        <v>64</v>
      </c>
      <c r="H11" s="36" t="s">
        <v>73</v>
      </c>
      <c r="I11" s="36" t="s">
        <v>53</v>
      </c>
      <c r="J11" s="30">
        <v>44403</v>
      </c>
      <c r="K11" s="36" t="s">
        <v>76</v>
      </c>
      <c r="L11" s="36"/>
      <c r="M11" s="36" t="s">
        <v>68</v>
      </c>
      <c r="N11" s="36" t="s">
        <v>61</v>
      </c>
      <c r="O11" s="36"/>
      <c r="Q11" s="36"/>
      <c r="R11" s="36" t="s">
        <v>110</v>
      </c>
      <c r="S11" s="36"/>
      <c r="T11" s="36"/>
      <c r="U11" s="36"/>
      <c r="V11" s="36" t="s">
        <v>84</v>
      </c>
      <c r="W11" s="36"/>
      <c r="X11" s="36"/>
      <c r="Y11" s="36" t="s">
        <v>101</v>
      </c>
      <c r="Z11" s="36"/>
      <c r="AA11" s="36"/>
      <c r="AB11" s="36"/>
      <c r="AC11" s="36" t="s">
        <v>68</v>
      </c>
      <c r="AD11" s="36"/>
      <c r="AE11" s="36"/>
      <c r="AF11" s="36">
        <v>44391</v>
      </c>
      <c r="AG11" s="36"/>
      <c r="AH11" s="36" t="s">
        <v>67</v>
      </c>
      <c r="AI11" s="36"/>
      <c r="AJ11" s="36"/>
      <c r="AK11" s="36"/>
      <c r="AL11" s="36"/>
    </row>
    <row r="12" spans="1:39" x14ac:dyDescent="0.25">
      <c r="A12" s="36">
        <v>2008</v>
      </c>
      <c r="B12" s="36" t="s">
        <v>15</v>
      </c>
      <c r="C12" s="36" t="s">
        <v>75</v>
      </c>
      <c r="D12" s="36"/>
      <c r="E12" s="36"/>
      <c r="F12" s="36" t="s">
        <v>72</v>
      </c>
      <c r="G12" s="36" t="s">
        <v>64</v>
      </c>
      <c r="H12" s="36" t="s">
        <v>73</v>
      </c>
      <c r="I12" s="36" t="s">
        <v>53</v>
      </c>
      <c r="J12" s="30">
        <v>44403</v>
      </c>
      <c r="K12" s="36" t="s">
        <v>60</v>
      </c>
      <c r="L12" s="36"/>
      <c r="M12" s="36" t="s">
        <v>68</v>
      </c>
      <c r="N12" s="36" t="s">
        <v>61</v>
      </c>
      <c r="O12" s="36"/>
      <c r="Q12" s="36"/>
      <c r="R12" s="36" t="s">
        <v>110</v>
      </c>
      <c r="S12" s="36"/>
      <c r="T12" s="36"/>
      <c r="U12" s="36"/>
      <c r="V12" s="36" t="s">
        <v>84</v>
      </c>
      <c r="W12" s="36"/>
      <c r="X12" s="36"/>
      <c r="Y12" s="36" t="s">
        <v>107</v>
      </c>
      <c r="Z12" s="36"/>
      <c r="AA12" s="36"/>
      <c r="AB12" s="36"/>
      <c r="AC12" s="36" t="s">
        <v>68</v>
      </c>
      <c r="AD12" s="36"/>
      <c r="AE12" s="36"/>
      <c r="AF12" s="36">
        <v>44391</v>
      </c>
      <c r="AG12" s="36"/>
      <c r="AH12" s="36" t="s">
        <v>67</v>
      </c>
      <c r="AI12" s="36"/>
      <c r="AJ12" s="36"/>
      <c r="AK12" s="36"/>
      <c r="AL12" s="36"/>
    </row>
    <row r="13" spans="1:39" x14ac:dyDescent="0.25">
      <c r="A13" s="36">
        <v>2009</v>
      </c>
      <c r="B13" s="36" t="s">
        <v>16</v>
      </c>
      <c r="C13" s="36" t="s">
        <v>71</v>
      </c>
      <c r="D13" s="36"/>
      <c r="E13" s="36"/>
      <c r="F13" s="36" t="s">
        <v>72</v>
      </c>
      <c r="G13" s="36" t="s">
        <v>64</v>
      </c>
      <c r="H13" s="36" t="s">
        <v>73</v>
      </c>
      <c r="I13" s="36" t="s">
        <v>53</v>
      </c>
      <c r="J13" s="30">
        <v>44403</v>
      </c>
      <c r="K13" s="36" t="s">
        <v>70</v>
      </c>
      <c r="L13" s="36"/>
      <c r="M13" s="36" t="s">
        <v>68</v>
      </c>
      <c r="N13" s="36" t="s">
        <v>61</v>
      </c>
      <c r="O13" s="36"/>
      <c r="Q13" s="36"/>
      <c r="R13" s="36" t="s">
        <v>110</v>
      </c>
      <c r="S13" s="36"/>
      <c r="T13" s="36"/>
      <c r="U13" s="36"/>
      <c r="V13" s="36" t="s">
        <v>84</v>
      </c>
      <c r="W13" s="36"/>
      <c r="X13" s="36"/>
      <c r="Y13" s="36" t="s">
        <v>101</v>
      </c>
      <c r="Z13" s="36"/>
      <c r="AA13" s="36"/>
      <c r="AB13" s="36"/>
      <c r="AC13" s="36" t="s">
        <v>68</v>
      </c>
      <c r="AD13" s="36"/>
      <c r="AE13" s="36"/>
      <c r="AF13" s="36">
        <v>44391</v>
      </c>
      <c r="AG13" s="36"/>
      <c r="AH13" s="36" t="s">
        <v>74</v>
      </c>
      <c r="AI13" s="36"/>
      <c r="AJ13" s="36"/>
      <c r="AK13" s="36"/>
      <c r="AL13" s="36"/>
    </row>
    <row r="14" spans="1:39" x14ac:dyDescent="0.25">
      <c r="A14" s="36">
        <v>2010</v>
      </c>
      <c r="B14" s="36" t="s">
        <v>17</v>
      </c>
      <c r="C14" s="36" t="s">
        <v>97</v>
      </c>
      <c r="D14" s="36"/>
      <c r="E14" s="36"/>
      <c r="F14" s="36" t="s">
        <v>63</v>
      </c>
      <c r="G14" s="36" t="s">
        <v>65</v>
      </c>
      <c r="H14" s="36" t="s">
        <v>52</v>
      </c>
      <c r="I14" s="36" t="s">
        <v>53</v>
      </c>
      <c r="J14" s="30">
        <v>44403</v>
      </c>
      <c r="K14" s="36" t="s">
        <v>60</v>
      </c>
      <c r="L14" s="36"/>
      <c r="M14" s="36" t="s">
        <v>68</v>
      </c>
      <c r="N14" s="36" t="s">
        <v>61</v>
      </c>
      <c r="O14" s="36"/>
      <c r="Q14" s="36"/>
      <c r="R14" s="36" t="s">
        <v>110</v>
      </c>
      <c r="S14" s="36"/>
      <c r="T14" s="36"/>
      <c r="U14" s="36"/>
      <c r="V14" s="36" t="s">
        <v>84</v>
      </c>
      <c r="W14" s="36"/>
      <c r="X14" s="36"/>
      <c r="Y14" s="36" t="s">
        <v>107</v>
      </c>
      <c r="Z14" s="36"/>
      <c r="AA14" s="36"/>
      <c r="AB14" s="36"/>
      <c r="AC14" s="36" t="s">
        <v>68</v>
      </c>
      <c r="AD14" s="36"/>
      <c r="AE14" s="36"/>
      <c r="AF14" s="36">
        <v>44391</v>
      </c>
      <c r="AG14" s="36"/>
      <c r="AH14" s="36" t="s">
        <v>67</v>
      </c>
      <c r="AI14" s="36"/>
      <c r="AJ14" s="36"/>
      <c r="AK14" s="36"/>
      <c r="AL14" s="36"/>
    </row>
    <row r="15" spans="1:39" x14ac:dyDescent="0.25">
      <c r="A15" s="36">
        <v>2011</v>
      </c>
      <c r="B15" s="36" t="s">
        <v>18</v>
      </c>
      <c r="C15" s="36" t="s">
        <v>71</v>
      </c>
      <c r="D15" s="36"/>
      <c r="E15" s="36"/>
      <c r="F15" s="36" t="s">
        <v>63</v>
      </c>
      <c r="G15" s="36" t="s">
        <v>65</v>
      </c>
      <c r="H15" s="36" t="s">
        <v>52</v>
      </c>
      <c r="I15" s="36" t="s">
        <v>53</v>
      </c>
      <c r="J15" s="30">
        <v>44403</v>
      </c>
      <c r="K15" s="36" t="s">
        <v>70</v>
      </c>
      <c r="L15" s="36"/>
      <c r="M15" s="36" t="s">
        <v>68</v>
      </c>
      <c r="N15" s="36" t="s">
        <v>61</v>
      </c>
      <c r="O15" s="36"/>
      <c r="Q15" s="36"/>
      <c r="R15" s="36" t="s">
        <v>110</v>
      </c>
      <c r="S15" s="36"/>
      <c r="T15" s="36"/>
      <c r="U15" s="36"/>
      <c r="V15" s="36" t="s">
        <v>84</v>
      </c>
      <c r="W15" s="36"/>
      <c r="X15" s="36"/>
      <c r="Y15" s="36" t="s">
        <v>101</v>
      </c>
      <c r="Z15" s="36"/>
      <c r="AA15" s="36"/>
      <c r="AB15" s="36"/>
      <c r="AC15" s="36" t="s">
        <v>68</v>
      </c>
      <c r="AD15" s="36"/>
      <c r="AE15" s="36"/>
      <c r="AF15" s="36">
        <v>44391</v>
      </c>
      <c r="AG15" s="36"/>
      <c r="AH15" s="36" t="s">
        <v>67</v>
      </c>
      <c r="AI15" s="36"/>
      <c r="AJ15" s="36"/>
      <c r="AK15" s="36"/>
      <c r="AL15" s="36"/>
    </row>
    <row r="16" spans="1:39" x14ac:dyDescent="0.25">
      <c r="A16" s="36">
        <v>2012</v>
      </c>
      <c r="B16" s="36" t="s">
        <v>98</v>
      </c>
      <c r="C16" s="36" t="s">
        <v>82</v>
      </c>
      <c r="D16" s="36"/>
      <c r="E16" s="36"/>
      <c r="F16" s="36" t="s">
        <v>63</v>
      </c>
      <c r="G16" s="36" t="s">
        <v>64</v>
      </c>
      <c r="H16" s="36" t="s">
        <v>73</v>
      </c>
      <c r="I16" s="36" t="s">
        <v>53</v>
      </c>
      <c r="J16" s="30">
        <v>44403</v>
      </c>
      <c r="K16" s="36" t="s">
        <v>60</v>
      </c>
      <c r="L16" s="36"/>
      <c r="M16" s="36" t="s">
        <v>68</v>
      </c>
      <c r="N16" s="36" t="s">
        <v>61</v>
      </c>
      <c r="O16" s="36"/>
      <c r="Q16" s="36"/>
      <c r="R16" s="36" t="s">
        <v>110</v>
      </c>
      <c r="S16" s="36"/>
      <c r="T16" s="36"/>
      <c r="U16" s="36"/>
      <c r="V16" s="36" t="s">
        <v>66</v>
      </c>
      <c r="W16" s="36"/>
      <c r="X16" s="36"/>
      <c r="Y16" s="36" t="s">
        <v>101</v>
      </c>
      <c r="Z16" s="36"/>
      <c r="AA16" s="36"/>
      <c r="AB16" s="36"/>
      <c r="AC16" s="36" t="s">
        <v>68</v>
      </c>
      <c r="AD16" s="36"/>
      <c r="AE16" s="36"/>
      <c r="AF16" s="36">
        <v>44391</v>
      </c>
      <c r="AG16" s="36"/>
      <c r="AH16" s="36" t="s">
        <v>67</v>
      </c>
      <c r="AI16" s="36"/>
      <c r="AJ16" s="36"/>
      <c r="AK16" s="36"/>
      <c r="AL16" s="36"/>
    </row>
    <row r="17" spans="1:38" x14ac:dyDescent="0.25">
      <c r="A17" s="36">
        <v>2013</v>
      </c>
      <c r="B17" s="36" t="s">
        <v>19</v>
      </c>
      <c r="C17" s="36" t="s">
        <v>375</v>
      </c>
      <c r="D17" s="36"/>
      <c r="E17" s="36"/>
      <c r="F17" s="36" t="s">
        <v>376</v>
      </c>
      <c r="G17" s="36" t="s">
        <v>377</v>
      </c>
      <c r="H17" s="36" t="s">
        <v>378</v>
      </c>
      <c r="I17" s="36" t="s">
        <v>379</v>
      </c>
      <c r="J17" s="30">
        <v>44403</v>
      </c>
      <c r="K17" s="36" t="s">
        <v>60</v>
      </c>
      <c r="L17" s="36"/>
      <c r="M17" s="36" t="s">
        <v>95</v>
      </c>
      <c r="N17" s="36" t="s">
        <v>380</v>
      </c>
      <c r="O17" s="36"/>
      <c r="Q17" s="36"/>
      <c r="R17" s="36" t="s">
        <v>110</v>
      </c>
      <c r="S17" s="36"/>
      <c r="T17" s="36"/>
      <c r="U17" s="36"/>
      <c r="V17" s="36" t="s">
        <v>381</v>
      </c>
      <c r="W17" s="36"/>
      <c r="X17" s="36"/>
      <c r="Y17" s="36" t="s">
        <v>382</v>
      </c>
      <c r="Z17" s="36"/>
      <c r="AA17" s="36"/>
      <c r="AB17" s="36"/>
      <c r="AC17" s="36" t="s">
        <v>68</v>
      </c>
      <c r="AD17" s="36"/>
      <c r="AE17" s="36"/>
      <c r="AF17" s="36">
        <v>44391</v>
      </c>
      <c r="AG17" s="36"/>
      <c r="AH17" s="36" t="s">
        <v>383</v>
      </c>
      <c r="AI17" s="36"/>
      <c r="AJ17" s="36"/>
      <c r="AK17" s="36"/>
      <c r="AL17" s="36"/>
    </row>
    <row r="18" spans="1:38" x14ac:dyDescent="0.25">
      <c r="A18" s="36">
        <v>2014</v>
      </c>
      <c r="B18" s="36" t="s">
        <v>20</v>
      </c>
      <c r="C18" s="36" t="s">
        <v>62</v>
      </c>
      <c r="D18" s="36"/>
      <c r="E18" s="36"/>
      <c r="F18" s="36" t="s">
        <v>63</v>
      </c>
      <c r="G18" s="36" t="s">
        <v>65</v>
      </c>
      <c r="H18" s="36" t="s">
        <v>52</v>
      </c>
      <c r="I18" s="36" t="s">
        <v>53</v>
      </c>
      <c r="J18" s="30">
        <v>44403</v>
      </c>
      <c r="K18" s="36" t="s">
        <v>60</v>
      </c>
      <c r="L18" s="36"/>
      <c r="M18" s="36" t="s">
        <v>68</v>
      </c>
      <c r="N18" s="36" t="s">
        <v>55</v>
      </c>
      <c r="O18" s="36"/>
      <c r="Q18" s="36"/>
      <c r="R18" s="36" t="s">
        <v>110</v>
      </c>
      <c r="S18" s="36"/>
      <c r="T18" s="36"/>
      <c r="U18" s="36"/>
      <c r="V18" s="36" t="s">
        <v>69</v>
      </c>
      <c r="W18" s="36"/>
      <c r="X18" s="36"/>
      <c r="Y18" s="36" t="s">
        <v>101</v>
      </c>
      <c r="Z18" s="36"/>
      <c r="AA18" s="36"/>
      <c r="AB18" s="36"/>
      <c r="AC18" s="36" t="s">
        <v>68</v>
      </c>
      <c r="AD18" s="36"/>
      <c r="AE18" s="36"/>
      <c r="AF18" s="36">
        <v>44391</v>
      </c>
      <c r="AG18" s="36"/>
      <c r="AH18" s="36" t="s">
        <v>67</v>
      </c>
      <c r="AI18" s="36"/>
      <c r="AJ18" s="36"/>
      <c r="AK18" s="36"/>
      <c r="AL18" s="36"/>
    </row>
    <row r="19" spans="1:38" x14ac:dyDescent="0.25">
      <c r="A19" s="36">
        <v>2015</v>
      </c>
      <c r="B19" s="36" t="s">
        <v>21</v>
      </c>
      <c r="C19" s="36" t="s">
        <v>56</v>
      </c>
      <c r="D19" s="36"/>
      <c r="E19" s="36"/>
      <c r="F19" s="36" t="s">
        <v>63</v>
      </c>
      <c r="G19" s="36" t="s">
        <v>65</v>
      </c>
      <c r="H19" s="36" t="s">
        <v>52</v>
      </c>
      <c r="I19" s="36" t="s">
        <v>53</v>
      </c>
      <c r="J19" s="30">
        <v>44403</v>
      </c>
      <c r="K19" s="36" t="s">
        <v>54</v>
      </c>
      <c r="L19" s="36"/>
      <c r="M19" s="36" t="s">
        <v>68</v>
      </c>
      <c r="N19" s="36" t="s">
        <v>59</v>
      </c>
      <c r="O19" s="36"/>
      <c r="Q19" s="36"/>
      <c r="R19" s="36" t="s">
        <v>110</v>
      </c>
      <c r="S19" s="36"/>
      <c r="T19" s="36"/>
      <c r="U19" s="36"/>
      <c r="V19" s="36" t="s">
        <v>58</v>
      </c>
      <c r="W19" s="36"/>
      <c r="X19" s="36"/>
      <c r="Y19" s="36" t="s">
        <v>101</v>
      </c>
      <c r="Z19" s="36"/>
      <c r="AA19" s="36"/>
      <c r="AB19" s="36"/>
      <c r="AC19" s="36" t="s">
        <v>68</v>
      </c>
      <c r="AD19" s="36"/>
      <c r="AE19" s="36"/>
      <c r="AF19" s="36">
        <v>44391</v>
      </c>
      <c r="AG19" s="36"/>
      <c r="AH19" s="36" t="s">
        <v>67</v>
      </c>
      <c r="AI19" s="36"/>
      <c r="AJ19" s="36"/>
      <c r="AK19" s="36"/>
      <c r="AL19" s="36"/>
    </row>
    <row r="20" spans="1:38" x14ac:dyDescent="0.25">
      <c r="A20" s="36">
        <v>2016</v>
      </c>
      <c r="B20" s="36" t="s">
        <v>22</v>
      </c>
      <c r="C20" s="36" t="s">
        <v>57</v>
      </c>
      <c r="D20" s="36"/>
      <c r="E20" s="36"/>
      <c r="F20" s="36" t="s">
        <v>63</v>
      </c>
      <c r="G20" s="36" t="s">
        <v>64</v>
      </c>
      <c r="H20" s="36" t="s">
        <v>52</v>
      </c>
      <c r="I20" s="36" t="s">
        <v>53</v>
      </c>
      <c r="J20" s="30">
        <v>44403</v>
      </c>
      <c r="K20" s="36" t="s">
        <v>54</v>
      </c>
      <c r="L20" s="36"/>
      <c r="M20" s="36" t="s">
        <v>68</v>
      </c>
      <c r="N20" s="36" t="s">
        <v>61</v>
      </c>
      <c r="O20" s="36"/>
      <c r="Q20" s="36"/>
      <c r="R20" s="36" t="s">
        <v>110</v>
      </c>
      <c r="S20" s="36"/>
      <c r="T20" s="36"/>
      <c r="U20" s="36"/>
      <c r="V20" s="36" t="s">
        <v>84</v>
      </c>
      <c r="W20" s="36"/>
      <c r="X20" s="36"/>
      <c r="Y20" s="36" t="s">
        <v>101</v>
      </c>
      <c r="Z20" s="36"/>
      <c r="AA20" s="36"/>
      <c r="AB20" s="36"/>
      <c r="AC20" s="36" t="s">
        <v>68</v>
      </c>
      <c r="AD20" s="36"/>
      <c r="AE20" s="36"/>
      <c r="AF20" s="36">
        <v>44391</v>
      </c>
      <c r="AG20" s="36"/>
      <c r="AH20" s="36" t="s">
        <v>67</v>
      </c>
      <c r="AI20" s="36"/>
      <c r="AJ20" s="36"/>
      <c r="AK20" s="36"/>
      <c r="AL20" s="36"/>
    </row>
    <row r="21" spans="1:38" x14ac:dyDescent="0.25">
      <c r="A21" s="36">
        <v>2017</v>
      </c>
      <c r="B21" s="36" t="s">
        <v>40</v>
      </c>
      <c r="C21" s="36" t="s">
        <v>80</v>
      </c>
      <c r="D21" s="36"/>
      <c r="E21" s="36"/>
      <c r="F21" s="36" t="s">
        <v>63</v>
      </c>
      <c r="G21" s="36" t="s">
        <v>38</v>
      </c>
      <c r="H21" s="36" t="s">
        <v>94</v>
      </c>
      <c r="I21" s="36" t="s">
        <v>36</v>
      </c>
      <c r="J21" s="30">
        <v>44403</v>
      </c>
      <c r="K21" s="36" t="s">
        <v>70</v>
      </c>
      <c r="L21" s="36"/>
      <c r="M21" s="36" t="s">
        <v>95</v>
      </c>
      <c r="N21" s="36" t="s">
        <v>61</v>
      </c>
      <c r="O21" s="36"/>
      <c r="Q21" s="36"/>
      <c r="R21" s="36" t="s">
        <v>110</v>
      </c>
      <c r="S21" s="36"/>
      <c r="T21" s="36"/>
      <c r="U21" s="36"/>
      <c r="V21" s="36" t="s">
        <v>81</v>
      </c>
      <c r="W21" s="36"/>
      <c r="X21" s="36"/>
      <c r="Y21" s="36" t="s">
        <v>101</v>
      </c>
      <c r="Z21" s="36"/>
      <c r="AA21" s="36"/>
      <c r="AB21" s="36"/>
      <c r="AC21" s="36" t="s">
        <v>95</v>
      </c>
      <c r="AD21" s="36"/>
      <c r="AE21" s="36"/>
      <c r="AF21" s="36"/>
      <c r="AG21" s="36"/>
      <c r="AH21" s="36" t="s">
        <v>83</v>
      </c>
      <c r="AI21" s="36"/>
      <c r="AJ21" s="36"/>
      <c r="AK21" s="36"/>
      <c r="AL21" s="36"/>
    </row>
    <row r="22" spans="1:38" x14ac:dyDescent="0.25">
      <c r="A22" s="36">
        <v>2018</v>
      </c>
      <c r="B22" s="36" t="s">
        <v>41</v>
      </c>
      <c r="C22" s="36" t="s">
        <v>82</v>
      </c>
      <c r="D22" s="36"/>
      <c r="E22" s="36"/>
      <c r="F22" s="36" t="s">
        <v>93</v>
      </c>
      <c r="G22" s="36" t="s">
        <v>38</v>
      </c>
      <c r="H22" s="36" t="s">
        <v>94</v>
      </c>
      <c r="I22" s="36" t="s">
        <v>36</v>
      </c>
      <c r="J22" s="30">
        <v>44403</v>
      </c>
      <c r="K22" s="36" t="s">
        <v>70</v>
      </c>
      <c r="L22" s="36"/>
      <c r="M22" s="36" t="s">
        <v>95</v>
      </c>
      <c r="N22" s="36" t="s">
        <v>61</v>
      </c>
      <c r="O22" s="36"/>
      <c r="Q22" s="36"/>
      <c r="R22" s="36" t="s">
        <v>110</v>
      </c>
      <c r="S22" s="36"/>
      <c r="T22" s="36"/>
      <c r="U22" s="36"/>
      <c r="V22" s="36" t="s">
        <v>69</v>
      </c>
      <c r="W22" s="36"/>
      <c r="X22" s="36"/>
      <c r="Y22" s="36" t="s">
        <v>101</v>
      </c>
      <c r="Z22" s="36"/>
      <c r="AA22" s="36"/>
      <c r="AB22" s="36"/>
      <c r="AC22" s="36" t="s">
        <v>95</v>
      </c>
      <c r="AD22" s="36"/>
      <c r="AE22" s="36"/>
      <c r="AF22" s="36"/>
      <c r="AG22" s="36"/>
      <c r="AH22" s="36" t="s">
        <v>67</v>
      </c>
      <c r="AI22" s="36"/>
      <c r="AJ22" s="36"/>
      <c r="AK22" s="36"/>
      <c r="AL22" s="36"/>
    </row>
    <row r="23" spans="1:38" x14ac:dyDescent="0.25">
      <c r="A23" s="36">
        <v>2019</v>
      </c>
      <c r="B23" s="36" t="s">
        <v>23</v>
      </c>
      <c r="C23" s="36" t="s">
        <v>86</v>
      </c>
      <c r="D23" s="36"/>
      <c r="E23" s="36"/>
      <c r="F23" s="36" t="s">
        <v>104</v>
      </c>
      <c r="G23" s="36" t="s">
        <v>65</v>
      </c>
      <c r="H23" s="36" t="s">
        <v>34</v>
      </c>
      <c r="I23" s="36" t="s">
        <v>36</v>
      </c>
      <c r="J23" s="30">
        <v>44403</v>
      </c>
      <c r="K23" s="36" t="s">
        <v>88</v>
      </c>
      <c r="L23" s="36"/>
      <c r="M23" s="36" t="s">
        <v>68</v>
      </c>
      <c r="N23" s="36" t="s">
        <v>61</v>
      </c>
      <c r="O23" s="36"/>
      <c r="Q23" s="36"/>
      <c r="R23" s="36"/>
      <c r="S23" s="36"/>
      <c r="T23" s="36"/>
      <c r="U23" s="36"/>
      <c r="V23" s="36" t="s">
        <v>84</v>
      </c>
      <c r="W23" s="36"/>
      <c r="X23" s="36"/>
      <c r="Y23" s="36"/>
      <c r="Z23" s="36"/>
      <c r="AA23" s="36"/>
      <c r="AB23" s="36"/>
      <c r="AC23" s="36" t="s">
        <v>68</v>
      </c>
      <c r="AD23" s="36"/>
      <c r="AE23" s="36"/>
      <c r="AF23" s="36">
        <v>44391</v>
      </c>
      <c r="AG23" s="36"/>
      <c r="AH23" s="36" t="s">
        <v>67</v>
      </c>
      <c r="AI23" s="36"/>
      <c r="AJ23" s="36"/>
      <c r="AK23" s="36"/>
      <c r="AL23" s="36"/>
    </row>
    <row r="24" spans="1:38" x14ac:dyDescent="0.25">
      <c r="A24" s="36">
        <v>2020</v>
      </c>
      <c r="B24" s="36" t="s">
        <v>24</v>
      </c>
      <c r="C24" s="36" t="s">
        <v>105</v>
      </c>
      <c r="D24" s="36"/>
      <c r="E24" s="36"/>
      <c r="F24" s="36" t="s">
        <v>72</v>
      </c>
      <c r="G24" s="36" t="s">
        <v>92</v>
      </c>
      <c r="H24" s="36" t="s">
        <v>91</v>
      </c>
      <c r="I24" s="36" t="s">
        <v>36</v>
      </c>
      <c r="J24" s="30">
        <v>44403</v>
      </c>
      <c r="K24" s="36" t="s">
        <v>87</v>
      </c>
      <c r="L24" s="36"/>
      <c r="M24" s="36" t="s">
        <v>68</v>
      </c>
      <c r="N24" s="36" t="s">
        <v>61</v>
      </c>
      <c r="O24" s="36"/>
      <c r="Q24" s="36"/>
      <c r="R24" s="36"/>
      <c r="S24" s="36"/>
      <c r="T24" s="36"/>
      <c r="U24" s="36"/>
      <c r="V24" s="36"/>
      <c r="W24" s="36"/>
      <c r="X24" s="36"/>
      <c r="Y24" s="36"/>
      <c r="Z24" s="36"/>
      <c r="AA24" s="36"/>
      <c r="AB24" s="36"/>
      <c r="AC24" s="36" t="s">
        <v>68</v>
      </c>
      <c r="AD24" s="36"/>
      <c r="AE24" s="36"/>
      <c r="AF24" s="36">
        <v>44391</v>
      </c>
      <c r="AG24" s="36"/>
      <c r="AH24" s="36" t="s">
        <v>67</v>
      </c>
      <c r="AI24" s="36"/>
      <c r="AJ24" s="36"/>
      <c r="AK24" s="36"/>
      <c r="AL24" s="36"/>
    </row>
    <row r="25" spans="1:38" x14ac:dyDescent="0.25">
      <c r="A25" s="36">
        <v>2021</v>
      </c>
      <c r="B25" s="36" t="s">
        <v>25</v>
      </c>
      <c r="C25" s="36" t="s">
        <v>71</v>
      </c>
      <c r="D25" s="36"/>
      <c r="E25" s="36"/>
      <c r="F25" s="36" t="s">
        <v>104</v>
      </c>
      <c r="G25" s="36" t="s">
        <v>65</v>
      </c>
      <c r="H25" s="36" t="s">
        <v>91</v>
      </c>
      <c r="I25" s="36" t="s">
        <v>36</v>
      </c>
      <c r="J25" s="30">
        <v>44403</v>
      </c>
      <c r="K25" s="36" t="s">
        <v>87</v>
      </c>
      <c r="L25" s="36"/>
      <c r="M25" s="36" t="s">
        <v>68</v>
      </c>
      <c r="N25" s="36" t="s">
        <v>61</v>
      </c>
      <c r="O25" s="36"/>
      <c r="Q25" s="36"/>
      <c r="R25" s="36"/>
      <c r="S25" s="36"/>
      <c r="T25" s="36"/>
      <c r="U25" s="36"/>
      <c r="V25" s="36"/>
      <c r="W25" s="36"/>
      <c r="X25" s="36"/>
      <c r="Y25" s="36"/>
      <c r="Z25" s="36"/>
      <c r="AA25" s="36"/>
      <c r="AB25" s="36"/>
      <c r="AC25" s="36" t="s">
        <v>68</v>
      </c>
      <c r="AD25" s="36"/>
      <c r="AE25" s="36"/>
      <c r="AF25" s="36">
        <v>44391</v>
      </c>
      <c r="AG25" s="36"/>
      <c r="AH25" s="36" t="s">
        <v>67</v>
      </c>
      <c r="AI25" s="36"/>
      <c r="AJ25" s="36"/>
      <c r="AK25" s="36"/>
      <c r="AL25" s="36"/>
    </row>
    <row r="26" spans="1:38" x14ac:dyDescent="0.25">
      <c r="A26" s="36">
        <v>2022</v>
      </c>
      <c r="B26" s="36" t="s">
        <v>26</v>
      </c>
      <c r="C26" s="36" t="s">
        <v>71</v>
      </c>
      <c r="D26" s="36"/>
      <c r="E26" s="36"/>
      <c r="F26" s="36" t="s">
        <v>72</v>
      </c>
      <c r="G26" s="36" t="s">
        <v>92</v>
      </c>
      <c r="H26" s="36" t="s">
        <v>91</v>
      </c>
      <c r="I26" s="36" t="s">
        <v>36</v>
      </c>
      <c r="J26" s="30">
        <v>44403</v>
      </c>
      <c r="K26" s="36" t="s">
        <v>88</v>
      </c>
      <c r="L26" s="36"/>
      <c r="M26" s="36" t="s">
        <v>68</v>
      </c>
      <c r="N26" s="36" t="s">
        <v>89</v>
      </c>
      <c r="O26" s="36"/>
      <c r="Q26" s="36"/>
      <c r="R26" s="36"/>
      <c r="S26" s="36"/>
      <c r="T26" s="36"/>
      <c r="U26" s="36"/>
      <c r="V26" s="36" t="s">
        <v>85</v>
      </c>
      <c r="W26" s="36"/>
      <c r="X26" s="36"/>
      <c r="Y26" s="36"/>
      <c r="Z26" s="36"/>
      <c r="AA26" s="36"/>
      <c r="AB26" s="36"/>
      <c r="AC26" s="36" t="s">
        <v>68</v>
      </c>
      <c r="AD26" s="36"/>
      <c r="AE26" s="36"/>
      <c r="AF26" s="36">
        <v>44391</v>
      </c>
      <c r="AG26" s="36"/>
      <c r="AH26" s="36" t="s">
        <v>74</v>
      </c>
      <c r="AI26" s="36"/>
      <c r="AJ26" s="36"/>
      <c r="AK26" s="36"/>
      <c r="AL26" s="36"/>
    </row>
    <row r="27" spans="1:38" x14ac:dyDescent="0.25">
      <c r="A27" s="36">
        <v>2023</v>
      </c>
      <c r="B27" s="36" t="s">
        <v>27</v>
      </c>
      <c r="C27" s="36" t="s">
        <v>86</v>
      </c>
      <c r="D27" s="36"/>
      <c r="E27" s="36"/>
      <c r="F27" s="36" t="s">
        <v>104</v>
      </c>
      <c r="G27" s="36" t="s">
        <v>65</v>
      </c>
      <c r="H27" s="36" t="s">
        <v>34</v>
      </c>
      <c r="I27" s="36" t="s">
        <v>36</v>
      </c>
      <c r="J27" s="30">
        <v>44403</v>
      </c>
      <c r="K27" s="36" t="s">
        <v>88</v>
      </c>
      <c r="L27" s="36"/>
      <c r="M27" s="36" t="s">
        <v>68</v>
      </c>
      <c r="N27" s="36" t="s">
        <v>89</v>
      </c>
      <c r="O27" s="36"/>
      <c r="Q27" s="36"/>
      <c r="R27" s="36"/>
      <c r="S27" s="36"/>
      <c r="T27" s="36"/>
      <c r="U27" s="36"/>
      <c r="V27" s="36" t="s">
        <v>85</v>
      </c>
      <c r="W27" s="36"/>
      <c r="X27" s="36"/>
      <c r="Y27" s="36"/>
      <c r="Z27" s="36"/>
      <c r="AA27" s="36"/>
      <c r="AB27" s="36"/>
      <c r="AC27" s="36" t="s">
        <v>68</v>
      </c>
      <c r="AD27" s="36"/>
      <c r="AE27" s="36"/>
      <c r="AF27" s="36">
        <v>44391</v>
      </c>
      <c r="AG27" s="36"/>
      <c r="AH27" s="36" t="s">
        <v>74</v>
      </c>
      <c r="AI27" s="36"/>
      <c r="AJ27" s="36"/>
      <c r="AK27" s="36"/>
      <c r="AL27" s="36"/>
    </row>
    <row r="28" spans="1:38" x14ac:dyDescent="0.25">
      <c r="A28" s="36">
        <v>2024</v>
      </c>
      <c r="B28" s="36" t="s">
        <v>28</v>
      </c>
      <c r="C28" s="36" t="s">
        <v>90</v>
      </c>
      <c r="D28" s="36"/>
      <c r="E28" s="36"/>
      <c r="F28" s="36" t="s">
        <v>72</v>
      </c>
      <c r="G28" s="36" t="s">
        <v>38</v>
      </c>
      <c r="H28" s="36" t="s">
        <v>91</v>
      </c>
      <c r="I28" s="36" t="s">
        <v>36</v>
      </c>
      <c r="J28" s="30">
        <v>44403</v>
      </c>
      <c r="K28" s="36" t="s">
        <v>88</v>
      </c>
      <c r="L28" s="36"/>
      <c r="M28" s="36" t="s">
        <v>68</v>
      </c>
      <c r="N28" s="36" t="s">
        <v>89</v>
      </c>
      <c r="O28" s="36"/>
      <c r="Q28" s="36"/>
      <c r="R28" s="36"/>
      <c r="S28" s="36"/>
      <c r="T28" s="36"/>
      <c r="U28" s="36"/>
      <c r="V28" s="36" t="s">
        <v>85</v>
      </c>
      <c r="W28" s="36"/>
      <c r="X28" s="36"/>
      <c r="Y28" s="36"/>
      <c r="Z28" s="36"/>
      <c r="AA28" s="36"/>
      <c r="AB28" s="36"/>
      <c r="AC28" s="36" t="s">
        <v>68</v>
      </c>
      <c r="AD28" s="36"/>
      <c r="AE28" s="36"/>
      <c r="AF28" s="36">
        <v>44391</v>
      </c>
      <c r="AG28" s="36"/>
      <c r="AH28" s="36" t="s">
        <v>74</v>
      </c>
      <c r="AI28" s="36"/>
      <c r="AJ28" s="36"/>
      <c r="AK28" s="36"/>
      <c r="AL28" s="36"/>
    </row>
    <row r="29" spans="1:38" x14ac:dyDescent="0.25">
      <c r="A29" s="36">
        <v>2025</v>
      </c>
      <c r="B29" s="36" t="s">
        <v>29</v>
      </c>
      <c r="C29" s="36" t="s">
        <v>71</v>
      </c>
      <c r="D29" s="36"/>
      <c r="E29" s="36"/>
      <c r="F29" s="36" t="s">
        <v>72</v>
      </c>
      <c r="G29" s="36" t="s">
        <v>92</v>
      </c>
      <c r="H29" s="36" t="s">
        <v>91</v>
      </c>
      <c r="I29" s="36" t="s">
        <v>36</v>
      </c>
      <c r="J29" s="30">
        <v>44403</v>
      </c>
      <c r="K29" s="36" t="s">
        <v>88</v>
      </c>
      <c r="L29" s="36"/>
      <c r="M29" s="36" t="s">
        <v>68</v>
      </c>
      <c r="N29" s="36" t="s">
        <v>89</v>
      </c>
      <c r="O29" s="36"/>
      <c r="Q29" s="36"/>
      <c r="R29" s="36"/>
      <c r="S29" s="36"/>
      <c r="T29" s="36"/>
      <c r="U29" s="36"/>
      <c r="V29" s="36" t="s">
        <v>84</v>
      </c>
      <c r="W29" s="36"/>
      <c r="X29" s="36"/>
      <c r="Y29" s="36"/>
      <c r="Z29" s="36"/>
      <c r="AA29" s="36"/>
      <c r="AB29" s="36"/>
      <c r="AC29" s="36" t="s">
        <v>68</v>
      </c>
      <c r="AD29" s="36"/>
      <c r="AE29" s="36"/>
      <c r="AF29" s="36">
        <v>44391</v>
      </c>
      <c r="AG29" s="36"/>
      <c r="AH29" s="36" t="s">
        <v>96</v>
      </c>
      <c r="AI29" s="36"/>
      <c r="AJ29" s="36"/>
      <c r="AK29" s="36"/>
      <c r="AL29" s="36"/>
    </row>
    <row r="30" spans="1:38" x14ac:dyDescent="0.25">
      <c r="A30" s="36">
        <v>2026</v>
      </c>
      <c r="B30" s="36" t="s">
        <v>30</v>
      </c>
      <c r="C30" s="36" t="s">
        <v>71</v>
      </c>
      <c r="D30" s="36"/>
      <c r="E30" s="36"/>
      <c r="F30" s="36" t="s">
        <v>72</v>
      </c>
      <c r="G30" s="36" t="s">
        <v>92</v>
      </c>
      <c r="H30" s="36" t="s">
        <v>91</v>
      </c>
      <c r="I30" s="36" t="s">
        <v>36</v>
      </c>
      <c r="J30" s="30">
        <v>44403</v>
      </c>
      <c r="K30" s="36" t="s">
        <v>88</v>
      </c>
      <c r="L30" s="36"/>
      <c r="M30" s="36" t="s">
        <v>68</v>
      </c>
      <c r="N30" s="36" t="s">
        <v>61</v>
      </c>
      <c r="O30" s="36"/>
      <c r="Q30" s="36"/>
      <c r="R30" s="36"/>
      <c r="S30" s="36"/>
      <c r="T30" s="36"/>
      <c r="U30" s="36"/>
      <c r="V30" s="36" t="s">
        <v>85</v>
      </c>
      <c r="W30" s="36"/>
      <c r="X30" s="36"/>
      <c r="Y30" s="36"/>
      <c r="Z30" s="36"/>
      <c r="AA30" s="36"/>
      <c r="AB30" s="36"/>
      <c r="AC30" s="36" t="s">
        <v>68</v>
      </c>
      <c r="AD30" s="36"/>
      <c r="AE30" s="36"/>
      <c r="AF30" s="36">
        <v>44391</v>
      </c>
      <c r="AG30" s="36"/>
      <c r="AH30" s="36" t="s">
        <v>96</v>
      </c>
      <c r="AI30" s="36"/>
      <c r="AJ30" s="36"/>
      <c r="AK30" s="36"/>
      <c r="AL30" s="36"/>
    </row>
    <row r="31" spans="1:38" x14ac:dyDescent="0.25">
      <c r="A31" s="36">
        <v>2027</v>
      </c>
      <c r="B31" s="36" t="s">
        <v>384</v>
      </c>
      <c r="C31" s="36" t="s">
        <v>86</v>
      </c>
      <c r="D31" s="36"/>
      <c r="E31" s="36"/>
      <c r="F31" s="36" t="s">
        <v>72</v>
      </c>
      <c r="G31" s="36" t="s">
        <v>65</v>
      </c>
      <c r="H31" s="36" t="s">
        <v>34</v>
      </c>
      <c r="I31" s="36" t="s">
        <v>36</v>
      </c>
      <c r="J31" s="30">
        <v>44403</v>
      </c>
      <c r="K31" s="36" t="s">
        <v>385</v>
      </c>
      <c r="L31" s="36"/>
      <c r="M31" s="36" t="s">
        <v>95</v>
      </c>
      <c r="N31" s="36" t="s">
        <v>61</v>
      </c>
      <c r="O31" s="36"/>
      <c r="Q31" s="36"/>
      <c r="R31" s="36"/>
      <c r="S31" s="36"/>
      <c r="T31" s="36"/>
      <c r="U31" s="36"/>
      <c r="V31" s="36" t="s">
        <v>106</v>
      </c>
      <c r="W31" s="36"/>
      <c r="X31" s="36"/>
      <c r="Y31" s="36"/>
      <c r="Z31" s="36"/>
      <c r="AA31" s="36"/>
      <c r="AB31" s="36"/>
      <c r="AC31" s="36"/>
      <c r="AD31" s="36"/>
      <c r="AE31" s="36"/>
      <c r="AF31" s="36">
        <v>44391</v>
      </c>
      <c r="AG31" s="36"/>
      <c r="AH31" s="36" t="s">
        <v>74</v>
      </c>
      <c r="AI31" s="36"/>
      <c r="AJ31" s="36"/>
      <c r="AK31" s="36"/>
      <c r="AL31" s="36"/>
    </row>
    <row r="32" spans="1:38" x14ac:dyDescent="0.25">
      <c r="A32" s="36">
        <v>2028</v>
      </c>
      <c r="B32" s="36" t="s">
        <v>386</v>
      </c>
      <c r="C32" s="36" t="s">
        <v>387</v>
      </c>
      <c r="D32" s="36"/>
      <c r="E32" s="36"/>
      <c r="F32" s="36" t="s">
        <v>72</v>
      </c>
      <c r="G32" s="36" t="s">
        <v>65</v>
      </c>
      <c r="H32" s="36" t="s">
        <v>34</v>
      </c>
      <c r="I32" s="36" t="s">
        <v>111</v>
      </c>
      <c r="J32" s="30">
        <v>44403</v>
      </c>
      <c r="K32" s="36" t="s">
        <v>385</v>
      </c>
      <c r="L32" s="36"/>
      <c r="M32" s="36" t="s">
        <v>95</v>
      </c>
      <c r="N32" s="36" t="s">
        <v>61</v>
      </c>
      <c r="O32" s="36"/>
      <c r="Q32" s="36"/>
      <c r="R32" s="36"/>
      <c r="S32" s="36"/>
      <c r="T32" s="36"/>
      <c r="U32" s="36"/>
      <c r="V32" s="36"/>
      <c r="W32" s="36"/>
      <c r="X32" s="36"/>
      <c r="Y32" s="36"/>
      <c r="Z32" s="36"/>
      <c r="AA32" s="36"/>
      <c r="AB32" s="36"/>
      <c r="AC32" s="36"/>
      <c r="AD32" s="36"/>
      <c r="AE32" s="36"/>
      <c r="AF32" s="36">
        <v>44391</v>
      </c>
      <c r="AG32" s="36"/>
      <c r="AH32" s="36" t="s">
        <v>67</v>
      </c>
      <c r="AI32" s="36"/>
      <c r="AJ32" s="36"/>
      <c r="AK32" s="36"/>
      <c r="AL32" s="36"/>
    </row>
  </sheetData>
  <mergeCells count="1">
    <mergeCell ref="A2:AL2"/>
  </mergeCells>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68DF-CD6C-48A2-AFCF-88873A777DC3}">
  <sheetPr>
    <tabColor rgb="FF7030A0"/>
  </sheetPr>
  <dimension ref="A2:V26"/>
  <sheetViews>
    <sheetView topLeftCell="A7" workbookViewId="0">
      <selection activeCell="E20" sqref="E20"/>
    </sheetView>
  </sheetViews>
  <sheetFormatPr defaultRowHeight="15" x14ac:dyDescent="0.25"/>
  <cols>
    <col min="1" max="1" width="29" bestFit="1" customWidth="1"/>
    <col min="2" max="2" width="19.5703125" bestFit="1" customWidth="1"/>
    <col min="3" max="9" width="6.5703125" bestFit="1" customWidth="1"/>
    <col min="10" max="12" width="6.85546875" bestFit="1" customWidth="1"/>
    <col min="13" max="13" width="10.7109375" bestFit="1" customWidth="1"/>
    <col min="14" max="14" width="7.140625" bestFit="1" customWidth="1"/>
    <col min="15" max="15" width="7" bestFit="1" customWidth="1"/>
    <col min="16" max="16" width="10.7109375" bestFit="1" customWidth="1"/>
    <col min="17" max="17" width="11.42578125" bestFit="1" customWidth="1"/>
    <col min="18" max="18" width="8.5703125" bestFit="1" customWidth="1"/>
    <col min="19" max="19" width="11.42578125" bestFit="1" customWidth="1"/>
    <col min="20" max="20" width="8.7109375" bestFit="1" customWidth="1"/>
    <col min="21" max="21" width="11.7109375" bestFit="1" customWidth="1"/>
    <col min="22" max="22" width="8.7109375" bestFit="1" customWidth="1"/>
    <col min="23" max="23" width="8.5703125" bestFit="1" customWidth="1"/>
    <col min="24" max="24" width="11.7109375" bestFit="1" customWidth="1"/>
    <col min="25" max="25" width="9.42578125" bestFit="1" customWidth="1"/>
    <col min="26" max="26" width="9" bestFit="1" customWidth="1"/>
    <col min="27" max="27" width="11.7109375" bestFit="1" customWidth="1"/>
    <col min="28" max="28" width="10.7109375" bestFit="1" customWidth="1"/>
    <col min="29" max="29" width="10.5703125" bestFit="1" customWidth="1"/>
    <col min="30" max="30" width="13.7109375" bestFit="1" customWidth="1"/>
    <col min="31" max="31" width="11.7109375" bestFit="1" customWidth="1"/>
    <col min="32" max="32" width="10.5703125" bestFit="1" customWidth="1"/>
    <col min="33" max="33" width="13.7109375" bestFit="1" customWidth="1"/>
    <col min="34" max="34" width="10.42578125" bestFit="1" customWidth="1"/>
    <col min="35" max="35" width="13.5703125" bestFit="1" customWidth="1"/>
    <col min="36" max="36" width="11.7109375" bestFit="1" customWidth="1"/>
    <col min="37" max="37" width="11.28515625" bestFit="1" customWidth="1"/>
    <col min="38" max="38" width="14.42578125" bestFit="1" customWidth="1"/>
    <col min="39" max="39" width="10.85546875" bestFit="1" customWidth="1"/>
    <col min="40" max="40" width="14" bestFit="1" customWidth="1"/>
    <col min="41" max="41" width="11.7109375" bestFit="1" customWidth="1"/>
    <col min="42" max="42" width="10.7109375" bestFit="1" customWidth="1"/>
  </cols>
  <sheetData>
    <row r="2" spans="1:22" ht="23.25" x14ac:dyDescent="0.25">
      <c r="A2" s="189" t="s">
        <v>736</v>
      </c>
      <c r="B2" s="189"/>
      <c r="C2" s="189"/>
      <c r="D2" s="189"/>
      <c r="E2" s="189"/>
      <c r="F2" s="189"/>
      <c r="G2" s="189"/>
      <c r="H2" s="189"/>
      <c r="I2" s="189"/>
      <c r="J2" s="189"/>
      <c r="K2" s="189"/>
      <c r="L2" s="189"/>
      <c r="M2" s="189"/>
      <c r="N2" s="31"/>
      <c r="O2" s="31"/>
      <c r="P2" s="31"/>
      <c r="Q2" s="31"/>
      <c r="R2" s="31"/>
      <c r="S2" s="31"/>
      <c r="T2" s="31"/>
      <c r="U2" s="31"/>
      <c r="V2" s="31"/>
    </row>
    <row r="4" spans="1:22" x14ac:dyDescent="0.25">
      <c r="A4" s="58" t="s">
        <v>732</v>
      </c>
      <c r="B4" s="58" t="s">
        <v>491</v>
      </c>
    </row>
    <row r="5" spans="1:22" x14ac:dyDescent="0.25">
      <c r="A5" s="58" t="s">
        <v>489</v>
      </c>
      <c r="B5" t="s">
        <v>831</v>
      </c>
      <c r="C5" t="s">
        <v>832</v>
      </c>
      <c r="D5" t="s">
        <v>833</v>
      </c>
      <c r="E5" t="s">
        <v>834</v>
      </c>
      <c r="F5" t="s">
        <v>835</v>
      </c>
      <c r="G5" t="s">
        <v>836</v>
      </c>
      <c r="H5" t="s">
        <v>837</v>
      </c>
      <c r="I5" t="s">
        <v>838</v>
      </c>
      <c r="J5" t="s">
        <v>839</v>
      </c>
      <c r="K5" t="s">
        <v>840</v>
      </c>
      <c r="L5" t="s">
        <v>841</v>
      </c>
      <c r="M5" t="s">
        <v>490</v>
      </c>
    </row>
    <row r="6" spans="1:22" x14ac:dyDescent="0.25">
      <c r="A6" s="59" t="s">
        <v>714</v>
      </c>
      <c r="H6">
        <v>1</v>
      </c>
      <c r="I6">
        <v>1</v>
      </c>
      <c r="M6">
        <v>2</v>
      </c>
    </row>
    <row r="7" spans="1:22" x14ac:dyDescent="0.25">
      <c r="A7" s="59" t="s">
        <v>697</v>
      </c>
      <c r="C7">
        <v>1</v>
      </c>
      <c r="K7">
        <v>2</v>
      </c>
      <c r="M7">
        <v>3</v>
      </c>
    </row>
    <row r="8" spans="1:22" x14ac:dyDescent="0.25">
      <c r="A8" s="59" t="s">
        <v>712</v>
      </c>
      <c r="B8">
        <v>1</v>
      </c>
      <c r="E8">
        <v>1</v>
      </c>
      <c r="F8">
        <v>1</v>
      </c>
      <c r="G8">
        <v>1</v>
      </c>
      <c r="L8">
        <v>2</v>
      </c>
      <c r="M8">
        <v>6</v>
      </c>
    </row>
    <row r="9" spans="1:22" x14ac:dyDescent="0.25">
      <c r="A9" s="59" t="s">
        <v>706</v>
      </c>
      <c r="D9">
        <v>1</v>
      </c>
      <c r="J9">
        <v>1</v>
      </c>
      <c r="M9">
        <v>2</v>
      </c>
    </row>
    <row r="10" spans="1:22" x14ac:dyDescent="0.25">
      <c r="A10" s="59" t="s">
        <v>490</v>
      </c>
      <c r="B10">
        <v>1</v>
      </c>
      <c r="C10">
        <v>1</v>
      </c>
      <c r="D10">
        <v>1</v>
      </c>
      <c r="E10">
        <v>1</v>
      </c>
      <c r="F10">
        <v>1</v>
      </c>
      <c r="G10">
        <v>1</v>
      </c>
      <c r="H10">
        <v>1</v>
      </c>
      <c r="I10">
        <v>1</v>
      </c>
      <c r="J10">
        <v>1</v>
      </c>
      <c r="K10">
        <v>2</v>
      </c>
      <c r="L10">
        <v>2</v>
      </c>
      <c r="M10">
        <v>13</v>
      </c>
    </row>
    <row r="20" spans="1:2" x14ac:dyDescent="0.25">
      <c r="A20" s="58" t="s">
        <v>489</v>
      </c>
      <c r="B20" t="s">
        <v>732</v>
      </c>
    </row>
    <row r="21" spans="1:2" x14ac:dyDescent="0.25">
      <c r="A21" s="59" t="s">
        <v>714</v>
      </c>
      <c r="B21">
        <v>2</v>
      </c>
    </row>
    <row r="22" spans="1:2" x14ac:dyDescent="0.25">
      <c r="A22" s="59" t="s">
        <v>697</v>
      </c>
      <c r="B22">
        <v>3</v>
      </c>
    </row>
    <row r="23" spans="1:2" x14ac:dyDescent="0.25">
      <c r="A23" s="59" t="s">
        <v>712</v>
      </c>
      <c r="B23">
        <v>6</v>
      </c>
    </row>
    <row r="24" spans="1:2" x14ac:dyDescent="0.25">
      <c r="A24" s="59" t="s">
        <v>706</v>
      </c>
      <c r="B24">
        <v>2</v>
      </c>
    </row>
    <row r="25" spans="1:2" x14ac:dyDescent="0.25">
      <c r="A25" s="59" t="s">
        <v>746</v>
      </c>
    </row>
    <row r="26" spans="1:2" x14ac:dyDescent="0.25">
      <c r="A26" s="59" t="s">
        <v>490</v>
      </c>
      <c r="B26">
        <v>13</v>
      </c>
    </row>
  </sheetData>
  <mergeCells count="1">
    <mergeCell ref="A2:M2"/>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7"/>
  <sheetViews>
    <sheetView workbookViewId="0">
      <selection activeCell="V17" sqref="V17"/>
    </sheetView>
  </sheetViews>
  <sheetFormatPr defaultColWidth="8.85546875" defaultRowHeight="15" x14ac:dyDescent="0.25"/>
  <cols>
    <col min="1" max="1" width="18.5703125" bestFit="1" customWidth="1"/>
    <col min="2" max="2" width="19.5703125" bestFit="1" customWidth="1"/>
    <col min="3" max="6" width="3.28515625" bestFit="1" customWidth="1"/>
    <col min="7" max="7" width="3.140625" bestFit="1" customWidth="1"/>
    <col min="8" max="9" width="4.140625" bestFit="1" customWidth="1"/>
    <col min="10" max="17" width="3.140625" bestFit="1" customWidth="1"/>
    <col min="18" max="19" width="3.28515625" bestFit="1" customWidth="1"/>
    <col min="20" max="20" width="10.7109375" bestFit="1" customWidth="1"/>
    <col min="21" max="21" width="3.28515625" bestFit="1" customWidth="1"/>
    <col min="22" max="78" width="10.7109375" bestFit="1" customWidth="1"/>
    <col min="79" max="79" width="21.42578125" bestFit="1" customWidth="1"/>
    <col min="80" max="80" width="10.7109375" bestFit="1" customWidth="1"/>
  </cols>
  <sheetData>
    <row r="1" spans="1:20" x14ac:dyDescent="0.25">
      <c r="A1" s="58" t="s">
        <v>184</v>
      </c>
      <c r="B1" t="s">
        <v>492</v>
      </c>
    </row>
    <row r="3" spans="1:20" x14ac:dyDescent="0.25">
      <c r="A3" s="58" t="s">
        <v>488</v>
      </c>
      <c r="B3" s="58" t="s">
        <v>491</v>
      </c>
    </row>
    <row r="4" spans="1:20" x14ac:dyDescent="0.25">
      <c r="A4" s="58" t="s">
        <v>489</v>
      </c>
      <c r="B4" t="s">
        <v>5</v>
      </c>
      <c r="C4" t="s">
        <v>6</v>
      </c>
      <c r="D4" t="s">
        <v>7</v>
      </c>
      <c r="E4" t="s">
        <v>8</v>
      </c>
      <c r="F4" t="s">
        <v>10</v>
      </c>
      <c r="G4" t="s">
        <v>13</v>
      </c>
      <c r="H4" t="s">
        <v>21</v>
      </c>
      <c r="I4" t="s">
        <v>22</v>
      </c>
      <c r="J4" t="s">
        <v>14</v>
      </c>
      <c r="K4" t="s">
        <v>15</v>
      </c>
      <c r="L4" t="s">
        <v>16</v>
      </c>
      <c r="M4" t="s">
        <v>17</v>
      </c>
      <c r="N4" t="s">
        <v>18</v>
      </c>
      <c r="O4" t="s">
        <v>98</v>
      </c>
      <c r="P4" t="s">
        <v>19</v>
      </c>
      <c r="Q4" t="s">
        <v>20</v>
      </c>
      <c r="R4" t="s">
        <v>40</v>
      </c>
      <c r="S4" t="s">
        <v>41</v>
      </c>
      <c r="T4" t="s">
        <v>490</v>
      </c>
    </row>
    <row r="5" spans="1:20" x14ac:dyDescent="0.25">
      <c r="A5" s="59" t="s">
        <v>228</v>
      </c>
      <c r="B5">
        <v>3</v>
      </c>
      <c r="C5">
        <v>1</v>
      </c>
      <c r="D5">
        <v>1</v>
      </c>
      <c r="E5">
        <v>1</v>
      </c>
      <c r="F5">
        <v>6</v>
      </c>
      <c r="G5">
        <v>5</v>
      </c>
      <c r="H5">
        <v>3</v>
      </c>
      <c r="I5">
        <v>5</v>
      </c>
      <c r="J5">
        <v>21</v>
      </c>
      <c r="K5">
        <v>4</v>
      </c>
      <c r="L5">
        <v>19</v>
      </c>
      <c r="M5">
        <v>4</v>
      </c>
      <c r="N5">
        <v>16</v>
      </c>
      <c r="O5">
        <v>5</v>
      </c>
      <c r="P5">
        <v>2</v>
      </c>
      <c r="Q5">
        <v>9</v>
      </c>
      <c r="R5">
        <v>7</v>
      </c>
      <c r="S5">
        <v>5</v>
      </c>
      <c r="T5">
        <v>117</v>
      </c>
    </row>
    <row r="6" spans="1:20" x14ac:dyDescent="0.25">
      <c r="A6" s="59" t="s">
        <v>292</v>
      </c>
      <c r="J6">
        <v>2</v>
      </c>
      <c r="T6">
        <v>2</v>
      </c>
    </row>
    <row r="7" spans="1:20" x14ac:dyDescent="0.25">
      <c r="A7" s="59" t="s">
        <v>490</v>
      </c>
      <c r="B7">
        <v>3</v>
      </c>
      <c r="C7">
        <v>1</v>
      </c>
      <c r="D7">
        <v>1</v>
      </c>
      <c r="E7">
        <v>1</v>
      </c>
      <c r="F7">
        <v>6</v>
      </c>
      <c r="G7">
        <v>5</v>
      </c>
      <c r="H7">
        <v>3</v>
      </c>
      <c r="I7">
        <v>5</v>
      </c>
      <c r="J7">
        <v>23</v>
      </c>
      <c r="K7">
        <v>4</v>
      </c>
      <c r="L7">
        <v>19</v>
      </c>
      <c r="M7">
        <v>4</v>
      </c>
      <c r="N7">
        <v>16</v>
      </c>
      <c r="O7">
        <v>5</v>
      </c>
      <c r="P7">
        <v>2</v>
      </c>
      <c r="Q7">
        <v>9</v>
      </c>
      <c r="R7">
        <v>7</v>
      </c>
      <c r="S7">
        <v>5</v>
      </c>
      <c r="T7">
        <v>119</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A6FB"/>
  </sheetPr>
  <dimension ref="A1:R50"/>
  <sheetViews>
    <sheetView zoomScale="130" zoomScaleNormal="130" zoomScalePageLayoutView="130" workbookViewId="0">
      <selection activeCell="H6" sqref="H6:I6"/>
    </sheetView>
  </sheetViews>
  <sheetFormatPr defaultColWidth="8.85546875" defaultRowHeight="15" x14ac:dyDescent="0.25"/>
  <cols>
    <col min="1" max="1" width="20.85546875" customWidth="1"/>
    <col min="2" max="2" width="38.42578125" customWidth="1"/>
    <col min="3" max="3" width="14.7109375" customWidth="1"/>
    <col min="4" max="4" width="9.42578125" bestFit="1" customWidth="1"/>
    <col min="5" max="5" width="9.42578125" customWidth="1"/>
    <col min="6" max="6" width="3.7109375" customWidth="1"/>
    <col min="7" max="7" width="20.28515625" customWidth="1"/>
    <col min="8" max="8" width="18.140625" bestFit="1" customWidth="1"/>
    <col min="9" max="9" width="3.7109375" customWidth="1"/>
    <col min="10" max="10" width="8.42578125" bestFit="1" customWidth="1"/>
    <col min="11" max="11" width="17.85546875" customWidth="1"/>
    <col min="12" max="12" width="15.85546875" customWidth="1"/>
    <col min="13" max="13" width="12.7109375" customWidth="1"/>
    <col min="14" max="14" width="14.140625" customWidth="1"/>
    <col min="15" max="15" width="6.42578125" bestFit="1" customWidth="1"/>
    <col min="16" max="16" width="4.7109375" bestFit="1" customWidth="1"/>
    <col min="17" max="17" width="11.42578125" bestFit="1" customWidth="1"/>
    <col min="18" max="18" width="11.85546875" bestFit="1" customWidth="1"/>
  </cols>
  <sheetData>
    <row r="1" spans="1:18" ht="21.75" customHeight="1" x14ac:dyDescent="0.25">
      <c r="A1" s="189" t="s">
        <v>116</v>
      </c>
      <c r="B1" s="189"/>
      <c r="C1" s="189"/>
      <c r="D1" s="189"/>
      <c r="E1" s="189"/>
      <c r="F1" s="189"/>
      <c r="G1" s="189"/>
      <c r="H1" s="189"/>
      <c r="I1" s="189"/>
      <c r="J1" s="189"/>
      <c r="K1" s="189"/>
      <c r="L1" s="189"/>
      <c r="M1" s="189"/>
      <c r="N1" s="189"/>
      <c r="O1" s="31"/>
      <c r="P1" s="31"/>
      <c r="Q1" s="31"/>
      <c r="R1" s="31"/>
    </row>
    <row r="3" spans="1:18" x14ac:dyDescent="0.25">
      <c r="A3" s="10" t="s">
        <v>117</v>
      </c>
      <c r="B3" s="10"/>
      <c r="C3" s="11"/>
      <c r="D3" s="11"/>
      <c r="E3" s="11"/>
      <c r="G3" s="1349" t="s">
        <v>118</v>
      </c>
      <c r="H3" s="1349"/>
      <c r="I3" s="1349"/>
      <c r="J3" s="1349"/>
      <c r="K3" s="11"/>
    </row>
    <row r="4" spans="1:18" ht="15.75" x14ac:dyDescent="0.25">
      <c r="A4" s="32" t="s">
        <v>120</v>
      </c>
      <c r="B4" s="13" t="s">
        <v>402</v>
      </c>
      <c r="C4" s="13" t="s">
        <v>404</v>
      </c>
      <c r="D4" s="13" t="s">
        <v>405</v>
      </c>
      <c r="E4" s="13" t="s">
        <v>119</v>
      </c>
      <c r="H4" s="1350" t="s">
        <v>120</v>
      </c>
      <c r="I4" s="1350"/>
      <c r="J4" s="12" t="s">
        <v>121</v>
      </c>
      <c r="K4" s="12" t="s">
        <v>122</v>
      </c>
    </row>
    <row r="5" spans="1:18" x14ac:dyDescent="0.25">
      <c r="A5" s="14" t="s">
        <v>112</v>
      </c>
      <c r="B5" s="16">
        <f>SUMIFS(RESER3[Valor total],
RESER3[SALA DE AULA],A5,
RESER3[Ano],Ano,
RESER3[Mês],Mes)</f>
        <v>4</v>
      </c>
      <c r="C5" s="16"/>
      <c r="D5" s="17"/>
      <c r="E5" s="18"/>
      <c r="G5" s="19" t="s">
        <v>123</v>
      </c>
      <c r="H5" s="1351"/>
      <c r="I5" s="1352"/>
      <c r="J5" s="20">
        <f>INDEX(ListaAnos,IndiceAno)</f>
        <v>2022</v>
      </c>
      <c r="K5" s="13">
        <v>5</v>
      </c>
    </row>
    <row r="6" spans="1:18" x14ac:dyDescent="0.25">
      <c r="A6" s="14" t="s">
        <v>4</v>
      </c>
      <c r="B6" s="16">
        <f>SUMIFS(RESER3[Valor total],
RESER3[SALA DE AULA],A6,
RESER3[Ano],Ano,
RESER3[Mês],Mes)</f>
        <v>5</v>
      </c>
      <c r="C6" s="16"/>
      <c r="D6" s="17"/>
      <c r="E6" s="18"/>
      <c r="G6" s="19" t="s">
        <v>124</v>
      </c>
      <c r="H6" s="1353">
        <v>2</v>
      </c>
      <c r="I6" s="1353"/>
      <c r="J6" s="13">
        <v>2</v>
      </c>
    </row>
    <row r="7" spans="1:18" x14ac:dyDescent="0.25">
      <c r="A7" s="14" t="s">
        <v>5</v>
      </c>
      <c r="B7" s="16">
        <f>SUMIFS(RESER3[Valor total],
RESER3[SALA DE AULA],A7,
RESER3[Ano],Ano,
RESER3[Mês],Mes)</f>
        <v>1</v>
      </c>
      <c r="C7" s="16"/>
      <c r="D7" s="17"/>
      <c r="E7" s="18"/>
    </row>
    <row r="8" spans="1:18" x14ac:dyDescent="0.25">
      <c r="A8" s="14" t="s">
        <v>6</v>
      </c>
      <c r="B8" s="16">
        <f>SUMIFS(RESER3[Valor total],
RESER3[SALA DE AULA],A8,
RESER3[Ano],Ano,
RESER3[Mês],Mes)</f>
        <v>0</v>
      </c>
      <c r="C8" s="16"/>
      <c r="D8" s="17"/>
      <c r="E8" s="18"/>
    </row>
    <row r="9" spans="1:18" x14ac:dyDescent="0.25">
      <c r="A9" s="14" t="s">
        <v>7</v>
      </c>
      <c r="B9" s="16">
        <f>SUMIFS(RESER3[Valor total],
RESER3[SALA DE AULA],A9,
RESER3[Ano],Ano,
RESER3[Mês],Mes)</f>
        <v>1</v>
      </c>
      <c r="C9" s="16"/>
      <c r="D9" s="17"/>
      <c r="E9" s="18"/>
      <c r="G9" s="1349" t="s">
        <v>125</v>
      </c>
      <c r="H9" s="1349"/>
      <c r="J9" s="1354" t="s">
        <v>126</v>
      </c>
      <c r="K9" s="1354"/>
      <c r="L9" s="11" t="s">
        <v>127</v>
      </c>
      <c r="M9" s="11" t="s">
        <v>128</v>
      </c>
      <c r="N9" s="11" t="s">
        <v>129</v>
      </c>
    </row>
    <row r="10" spans="1:18" x14ac:dyDescent="0.25">
      <c r="A10" s="14" t="s">
        <v>8</v>
      </c>
      <c r="B10" s="16">
        <f>SUMIFS(RESER3[Valor total],
RESER3[SALA DE AULA],A10,
RESER3[Ano],Ano,
RESER3[Mês],Mes)</f>
        <v>4</v>
      </c>
      <c r="C10" s="16"/>
      <c r="D10" s="17"/>
      <c r="E10" s="18"/>
      <c r="G10" s="33" t="s">
        <v>130</v>
      </c>
      <c r="H10" s="21" t="s">
        <v>131</v>
      </c>
      <c r="J10" s="22">
        <v>1</v>
      </c>
      <c r="K10" s="14"/>
      <c r="L10" s="16"/>
      <c r="M10" s="17"/>
      <c r="N10" s="17"/>
    </row>
    <row r="11" spans="1:18" x14ac:dyDescent="0.25">
      <c r="A11" s="14" t="s">
        <v>9</v>
      </c>
      <c r="B11" s="16">
        <f>SUMIFS(RESER3[Valor total],
RESER3[SALA DE AULA],A11,
RESER3[Ano],Ano,
RESER3[Mês],Mes)</f>
        <v>8</v>
      </c>
      <c r="C11" s="16"/>
      <c r="D11" s="17"/>
      <c r="E11" s="18"/>
      <c r="G11" s="14">
        <v>2021</v>
      </c>
      <c r="H11" s="15" t="s">
        <v>132</v>
      </c>
      <c r="J11" s="22">
        <v>2</v>
      </c>
      <c r="K11" s="14"/>
      <c r="L11" s="16"/>
      <c r="M11" s="17"/>
      <c r="N11" s="17"/>
    </row>
    <row r="12" spans="1:18" x14ac:dyDescent="0.25">
      <c r="A12" s="14" t="s">
        <v>10</v>
      </c>
      <c r="B12" s="16">
        <f>SUMIFS(RESER3[Valor total],
RESER3[SALA DE AULA],A12,
RESER3[Ano],Ano,
RESER3[Mês],Mes)</f>
        <v>1</v>
      </c>
      <c r="C12" s="16"/>
      <c r="D12" s="17"/>
      <c r="E12" s="18"/>
      <c r="G12" s="14">
        <v>2022</v>
      </c>
      <c r="H12" s="15" t="s">
        <v>133</v>
      </c>
      <c r="J12" s="22">
        <v>3</v>
      </c>
      <c r="K12" s="14"/>
      <c r="L12" s="16"/>
      <c r="M12" s="17"/>
      <c r="N12" s="17"/>
    </row>
    <row r="13" spans="1:18" x14ac:dyDescent="0.25">
      <c r="A13" s="14" t="s">
        <v>113</v>
      </c>
      <c r="B13" s="16">
        <f>SUMIFS(RESER3[Valor total],
RESER3[SALA DE AULA],A13,
RESER3[Ano],Ano,
RESER3[Mês],Mes)</f>
        <v>0</v>
      </c>
      <c r="C13" s="16"/>
      <c r="D13" s="17"/>
      <c r="E13" s="18"/>
      <c r="G13" s="14"/>
      <c r="H13" s="15" t="s">
        <v>134</v>
      </c>
      <c r="J13" s="22">
        <v>4</v>
      </c>
      <c r="K13" s="14"/>
      <c r="L13" s="16"/>
      <c r="M13" s="17"/>
      <c r="N13" s="17"/>
    </row>
    <row r="14" spans="1:18" x14ac:dyDescent="0.25">
      <c r="A14" s="14" t="s">
        <v>13</v>
      </c>
      <c r="B14" s="16">
        <f>SUMIFS(RESER3[Valor total],
RESER3[SALA DE AULA],A14,
RESER3[Ano],Ano,
RESER3[Mês],Mes)</f>
        <v>1</v>
      </c>
      <c r="C14" s="16"/>
      <c r="D14" s="17"/>
      <c r="E14" s="18"/>
      <c r="G14" s="14"/>
      <c r="H14" s="15" t="s">
        <v>135</v>
      </c>
      <c r="J14" s="22">
        <v>5</v>
      </c>
      <c r="K14" s="14"/>
      <c r="L14" s="16"/>
      <c r="M14" s="17"/>
      <c r="N14" s="17"/>
    </row>
    <row r="15" spans="1:18" x14ac:dyDescent="0.25">
      <c r="A15" s="14" t="s">
        <v>14</v>
      </c>
      <c r="B15" s="16">
        <f>SUMIFS(RESER3[Valor total],
RESER3[SALA DE AULA],A15,
RESER3[Ano],Ano,
RESER3[Mês],Mes)</f>
        <v>5</v>
      </c>
      <c r="C15" s="16"/>
      <c r="D15" s="17"/>
      <c r="E15" s="18"/>
      <c r="G15" s="14"/>
      <c r="H15" s="15" t="s">
        <v>136</v>
      </c>
      <c r="J15" s="22">
        <v>6</v>
      </c>
      <c r="K15" s="14"/>
      <c r="L15" s="16"/>
      <c r="M15" s="17"/>
      <c r="N15" s="17"/>
    </row>
    <row r="16" spans="1:18" x14ac:dyDescent="0.25">
      <c r="A16" s="14" t="s">
        <v>15</v>
      </c>
      <c r="B16" s="16">
        <f>SUMIFS(RESER3[Valor total],
RESER3[SALA DE AULA],A16,
RESER3[Ano],Ano,
RESER3[Mês],Mes)</f>
        <v>3</v>
      </c>
      <c r="C16" s="16"/>
      <c r="D16" s="17"/>
      <c r="E16" s="18"/>
      <c r="G16" s="14"/>
      <c r="H16" s="15" t="s">
        <v>137</v>
      </c>
      <c r="J16" s="22">
        <v>7</v>
      </c>
      <c r="K16" s="14"/>
      <c r="L16" s="16"/>
      <c r="M16" s="17"/>
      <c r="N16" s="17"/>
    </row>
    <row r="17" spans="1:14" x14ac:dyDescent="0.25">
      <c r="A17" s="14" t="s">
        <v>16</v>
      </c>
      <c r="B17" s="16">
        <f>SUMIFS(RESER3[Valor total],
RESER3[SALA DE AULA],A17,
RESER3[Ano],Ano,
RESER3[Mês],Mes)</f>
        <v>0</v>
      </c>
      <c r="C17" s="16"/>
      <c r="D17" s="17"/>
      <c r="E17" s="18"/>
      <c r="G17" s="14"/>
      <c r="H17" s="15" t="s">
        <v>138</v>
      </c>
      <c r="J17" s="22">
        <v>8</v>
      </c>
      <c r="K17" s="14"/>
      <c r="L17" s="16"/>
      <c r="M17" s="17"/>
      <c r="N17" s="17"/>
    </row>
    <row r="18" spans="1:14" x14ac:dyDescent="0.25">
      <c r="A18" s="14" t="s">
        <v>17</v>
      </c>
      <c r="B18" s="16">
        <f>SUMIFS(RESER3[Valor total],
RESER3[SALA DE AULA],A18,
RESER3[Ano],Ano,
RESER3[Mês],Mes)</f>
        <v>2</v>
      </c>
      <c r="C18" s="16"/>
      <c r="D18" s="17"/>
      <c r="E18" s="18"/>
      <c r="G18" s="14"/>
      <c r="H18" s="15" t="s">
        <v>139</v>
      </c>
      <c r="J18" s="22">
        <v>9</v>
      </c>
      <c r="K18" s="14"/>
      <c r="L18" s="16"/>
      <c r="M18" s="17"/>
      <c r="N18" s="17"/>
    </row>
    <row r="19" spans="1:14" x14ac:dyDescent="0.25">
      <c r="A19" s="14" t="s">
        <v>18</v>
      </c>
      <c r="B19" s="16">
        <f>SUMIFS(RESER3[Valor total],
RESER3[SALA DE AULA],A19,
RESER3[Ano],Ano,
RESER3[Mês],Mes)</f>
        <v>1</v>
      </c>
      <c r="C19" s="16"/>
      <c r="D19" s="17"/>
      <c r="E19" s="18"/>
      <c r="G19" s="14"/>
      <c r="H19" s="15" t="s">
        <v>140</v>
      </c>
      <c r="J19" s="22">
        <v>10</v>
      </c>
      <c r="K19" s="14"/>
      <c r="L19" s="16"/>
      <c r="M19" s="17"/>
      <c r="N19" s="17"/>
    </row>
    <row r="20" spans="1:14" x14ac:dyDescent="0.25">
      <c r="A20" s="14" t="s">
        <v>98</v>
      </c>
      <c r="B20" s="16">
        <f>SUMIFS(RESER3[Valor total],
RESER3[SALA DE AULA],A20,
RESER3[Ano],Ano,
RESER3[Mês],Mes)</f>
        <v>1</v>
      </c>
      <c r="C20" s="16"/>
      <c r="D20" s="17"/>
      <c r="E20" s="18"/>
      <c r="G20" s="14"/>
      <c r="H20" s="15" t="s">
        <v>141</v>
      </c>
      <c r="J20" s="24">
        <v>11</v>
      </c>
      <c r="K20" s="14"/>
      <c r="L20" s="16"/>
      <c r="N20" s="17"/>
    </row>
    <row r="21" spans="1:14" x14ac:dyDescent="0.25">
      <c r="A21" s="14" t="s">
        <v>19</v>
      </c>
      <c r="B21" s="16">
        <f>SUMIFS(RESER3[Valor total],
RESER3[SALA DE AULA],A21,
RESER3[Ano],Ano,
RESER3[Mês],Mes)</f>
        <v>6</v>
      </c>
      <c r="C21" s="16"/>
      <c r="D21" s="17"/>
      <c r="E21" s="18"/>
      <c r="G21" s="14"/>
      <c r="H21" s="15" t="s">
        <v>142</v>
      </c>
      <c r="J21" s="1349" t="s">
        <v>143</v>
      </c>
      <c r="K21" s="1349"/>
      <c r="L21" s="1349"/>
      <c r="M21" s="1349"/>
      <c r="N21" s="1349"/>
    </row>
    <row r="22" spans="1:14" x14ac:dyDescent="0.25">
      <c r="A22" s="14" t="s">
        <v>20</v>
      </c>
      <c r="B22" s="16">
        <f>SUMIFS(RESER3[Valor total],
RESER3[SALA DE AULA],A22,
RESER3[Ano],Ano,
RESER3[Mês],Mes)</f>
        <v>6</v>
      </c>
      <c r="C22" s="16"/>
      <c r="D22" s="17"/>
      <c r="E22" s="18"/>
      <c r="G22" s="14"/>
      <c r="H22" s="15" t="s">
        <v>144</v>
      </c>
      <c r="J22" s="21" t="s">
        <v>145</v>
      </c>
      <c r="K22" s="21" t="s">
        <v>122</v>
      </c>
      <c r="L22" s="21" t="s">
        <v>146</v>
      </c>
      <c r="M22" s="21" t="s">
        <v>128</v>
      </c>
      <c r="N22" s="21" t="s">
        <v>128</v>
      </c>
    </row>
    <row r="23" spans="1:14" x14ac:dyDescent="0.25">
      <c r="A23" s="14" t="s">
        <v>21</v>
      </c>
      <c r="B23" s="16">
        <f>SUMIFS(RESER3[Valor total],
RESER3[SALA DE AULA],A23,
RESER3[Ano],Ano,
RESER3[Mês],Mes)</f>
        <v>10</v>
      </c>
      <c r="C23" s="16"/>
      <c r="D23" s="17"/>
      <c r="E23" s="18"/>
      <c r="J23" s="22">
        <v>1</v>
      </c>
      <c r="K23" s="23" t="s">
        <v>147</v>
      </c>
      <c r="L23" s="15"/>
      <c r="M23" s="16"/>
      <c r="N23" s="16"/>
    </row>
    <row r="24" spans="1:14" x14ac:dyDescent="0.25">
      <c r="A24" s="14" t="s">
        <v>22</v>
      </c>
      <c r="B24" s="16">
        <f>SUMIFS(RESER3[Valor total],
RESER3[SALA DE AULA],A24,
RESER3[Ano],Ano,
RESER3[Mês],Mes)</f>
        <v>0</v>
      </c>
      <c r="C24" s="16"/>
      <c r="D24" s="17"/>
      <c r="E24" s="18"/>
      <c r="G24" s="1349" t="s">
        <v>148</v>
      </c>
      <c r="H24" s="1349"/>
      <c r="J24" s="22">
        <v>2</v>
      </c>
      <c r="K24" s="23" t="s">
        <v>149</v>
      </c>
      <c r="L24" s="15"/>
      <c r="M24" s="16"/>
      <c r="N24" s="16"/>
    </row>
    <row r="25" spans="1:14" x14ac:dyDescent="0.25">
      <c r="A25" s="14" t="s">
        <v>23</v>
      </c>
      <c r="B25" s="16">
        <f>SUMIFS(RESER3[Valor total],
RESER3[SALA DE AULA],A25,
RESER3[Ano],Ano,
RESER3[Mês],Mes)</f>
        <v>0</v>
      </c>
      <c r="C25" s="16"/>
      <c r="D25" s="17"/>
      <c r="E25" s="18"/>
      <c r="G25" s="25" t="s">
        <v>150</v>
      </c>
      <c r="H25" s="15"/>
      <c r="J25" s="22">
        <v>3</v>
      </c>
      <c r="K25" s="23" t="s">
        <v>151</v>
      </c>
      <c r="L25" s="15"/>
      <c r="M25" s="16"/>
      <c r="N25" s="16"/>
    </row>
    <row r="26" spans="1:14" x14ac:dyDescent="0.25">
      <c r="A26" s="14" t="s">
        <v>24</v>
      </c>
      <c r="B26" s="16">
        <f>SUMIFS(RESER3[Valor total],
RESER3[SALA DE AULA],A26,
RESER3[Ano],Ano,
RESER3[Mês],Mes)</f>
        <v>0</v>
      </c>
      <c r="C26" s="16"/>
      <c r="D26" s="17"/>
      <c r="E26" s="18"/>
      <c r="G26" s="25" t="s">
        <v>152</v>
      </c>
      <c r="H26" s="15"/>
      <c r="J26" s="22">
        <v>4</v>
      </c>
      <c r="K26" s="23" t="s">
        <v>153</v>
      </c>
      <c r="L26" s="15"/>
      <c r="M26" s="16"/>
      <c r="N26" s="16"/>
    </row>
    <row r="27" spans="1:14" x14ac:dyDescent="0.25">
      <c r="A27" s="14" t="s">
        <v>25</v>
      </c>
      <c r="B27" s="16">
        <f>SUMIFS(RESER3[Valor total],
RESER3[SALA DE AULA],A27,
RESER3[Ano],Ano,
RESER3[Mês],Mes)</f>
        <v>0</v>
      </c>
      <c r="C27" s="16"/>
      <c r="D27" s="17"/>
      <c r="E27" s="18"/>
      <c r="G27" s="25" t="s">
        <v>154</v>
      </c>
      <c r="H27" s="15"/>
      <c r="J27" s="22">
        <v>5</v>
      </c>
      <c r="K27" s="23" t="s">
        <v>155</v>
      </c>
      <c r="L27" s="15"/>
      <c r="M27" s="16"/>
      <c r="N27" s="16"/>
    </row>
    <row r="28" spans="1:14" x14ac:dyDescent="0.25">
      <c r="A28" s="14" t="s">
        <v>26</v>
      </c>
      <c r="B28" s="16">
        <f>SUMIFS(RESER3[Valor total],
RESER3[SALA DE AULA],A28,
RESER3[Ano],Ano,
RESER3[Mês],Mes)</f>
        <v>1</v>
      </c>
      <c r="C28" s="16"/>
      <c r="D28" s="17"/>
      <c r="E28" s="18"/>
      <c r="G28" s="25" t="s">
        <v>156</v>
      </c>
      <c r="H28" s="15"/>
      <c r="J28" s="22">
        <v>6</v>
      </c>
      <c r="K28" s="23" t="s">
        <v>157</v>
      </c>
      <c r="L28" s="15"/>
      <c r="M28" s="16"/>
      <c r="N28" s="16"/>
    </row>
    <row r="29" spans="1:14" x14ac:dyDescent="0.25">
      <c r="A29" s="14" t="s">
        <v>27</v>
      </c>
      <c r="B29" s="16">
        <f>SUMIFS(RESER3[Valor total],
RESER3[SALA DE AULA],A29,
RESER3[Ano],Ano,
RESER3[Mês],Mes)</f>
        <v>0</v>
      </c>
      <c r="C29" s="16"/>
      <c r="D29" s="17"/>
      <c r="E29" s="18"/>
      <c r="G29" s="25" t="s">
        <v>158</v>
      </c>
      <c r="J29" s="22">
        <v>7</v>
      </c>
      <c r="K29" s="23" t="s">
        <v>159</v>
      </c>
      <c r="L29" s="15"/>
      <c r="M29" s="16"/>
      <c r="N29" s="16"/>
    </row>
    <row r="30" spans="1:14" x14ac:dyDescent="0.25">
      <c r="A30" s="14" t="s">
        <v>28</v>
      </c>
      <c r="B30" s="16">
        <f>SUMIFS(RESER3[Valor total],
RESER3[SALA DE AULA],A30,
RESER3[Ano],Ano,
RESER3[Mês],Mes)</f>
        <v>0</v>
      </c>
      <c r="C30" s="16"/>
      <c r="D30" s="17"/>
      <c r="E30" s="18"/>
      <c r="G30" s="25" t="s">
        <v>160</v>
      </c>
      <c r="H30" s="26"/>
      <c r="J30" s="22">
        <v>8</v>
      </c>
      <c r="K30" s="23" t="s">
        <v>161</v>
      </c>
      <c r="L30" s="15"/>
      <c r="M30" s="16"/>
      <c r="N30" s="16"/>
    </row>
    <row r="31" spans="1:14" x14ac:dyDescent="0.25">
      <c r="A31" s="14" t="s">
        <v>29</v>
      </c>
      <c r="B31" s="16">
        <f>SUMIFS(RESER3[Valor total],
RESER3[SALA DE AULA],A31,
RESER3[Ano],Ano,
RESER3[Mês],Mes)</f>
        <v>0</v>
      </c>
      <c r="C31" s="16"/>
      <c r="D31" s="17"/>
      <c r="E31" s="18"/>
      <c r="G31" s="25" t="s">
        <v>162</v>
      </c>
      <c r="H31" s="26"/>
      <c r="J31" s="22">
        <v>9</v>
      </c>
      <c r="K31" s="23" t="s">
        <v>163</v>
      </c>
      <c r="L31" s="15"/>
      <c r="M31" s="16"/>
      <c r="N31" s="16"/>
    </row>
    <row r="32" spans="1:14" x14ac:dyDescent="0.25">
      <c r="A32" s="14" t="s">
        <v>30</v>
      </c>
      <c r="B32" s="16">
        <f>SUMIFS(RESER3[Valor total],
RESER3[SALA DE AULA],A32,
RESER3[Ano],Ano,
RESER3[Mês],Mes)</f>
        <v>0</v>
      </c>
      <c r="C32" s="16"/>
      <c r="D32" s="17"/>
      <c r="E32" s="18"/>
      <c r="G32" s="25" t="s">
        <v>164</v>
      </c>
      <c r="H32" s="26"/>
      <c r="J32" s="22">
        <v>10</v>
      </c>
      <c r="K32" s="23" t="s">
        <v>165</v>
      </c>
      <c r="L32" s="15"/>
      <c r="M32" s="16"/>
      <c r="N32" s="16"/>
    </row>
    <row r="33" spans="1:14" x14ac:dyDescent="0.25">
      <c r="A33" s="14" t="s">
        <v>40</v>
      </c>
      <c r="B33" s="16">
        <f>SUMIFS(RESER3[Valor total],
RESER3[SALA DE AULA],A33,
RESER3[Ano],Ano,
RESER3[Mês],Mes)</f>
        <v>4</v>
      </c>
      <c r="C33" s="16"/>
      <c r="D33" s="17"/>
      <c r="E33" s="18"/>
      <c r="G33" s="25" t="s">
        <v>166</v>
      </c>
      <c r="H33" s="26"/>
      <c r="J33" s="22">
        <v>11</v>
      </c>
      <c r="K33" s="23" t="s">
        <v>167</v>
      </c>
      <c r="L33" s="15"/>
      <c r="M33" s="16"/>
      <c r="N33" s="16"/>
    </row>
    <row r="34" spans="1:14" x14ac:dyDescent="0.25">
      <c r="A34" s="14" t="s">
        <v>41</v>
      </c>
      <c r="B34" s="16">
        <f>SUMIFS(RESER3[Valor total],
RESER3[SALA DE AULA],A34,
RESER3[Ano],Ano,
RESER3[Mês],Mes)</f>
        <v>3</v>
      </c>
      <c r="C34" s="16"/>
      <c r="D34" s="17"/>
      <c r="E34" s="18"/>
      <c r="G34" s="25" t="s">
        <v>168</v>
      </c>
      <c r="H34" s="26"/>
      <c r="J34" s="22">
        <v>12</v>
      </c>
      <c r="K34" s="23" t="s">
        <v>169</v>
      </c>
      <c r="L34" s="15"/>
      <c r="M34" s="16"/>
      <c r="N34" s="16"/>
    </row>
    <row r="35" spans="1:14" x14ac:dyDescent="0.25">
      <c r="A35" s="14" t="s">
        <v>384</v>
      </c>
      <c r="B35" s="16">
        <f>SUMIFS(RESER3[Valor total],
RESER3[SALA DE AULA],A35,
RESER3[Ano],Ano,
RESER3[Mês],Mes)</f>
        <v>0</v>
      </c>
      <c r="C35" s="16"/>
      <c r="D35" s="17"/>
      <c r="E35" s="18"/>
      <c r="G35" s="25" t="s">
        <v>170</v>
      </c>
      <c r="H35" s="26"/>
    </row>
    <row r="36" spans="1:14" x14ac:dyDescent="0.25">
      <c r="A36" s="14" t="s">
        <v>386</v>
      </c>
      <c r="B36" s="16">
        <f>SUMIFS(RESER3[Valor total],
RESER3[SALA DE AULA],A36,
RESER3[Ano],Ano,
RESER3[Mês],Mes)</f>
        <v>0</v>
      </c>
      <c r="C36" s="16"/>
      <c r="D36" s="17"/>
      <c r="E36" s="18"/>
      <c r="G36" s="27" t="s">
        <v>171</v>
      </c>
      <c r="H36" s="27"/>
    </row>
    <row r="37" spans="1:14" x14ac:dyDescent="0.25">
      <c r="A37" s="14" t="s">
        <v>172</v>
      </c>
      <c r="B37" s="16">
        <f>SUMIFS(RESER3[Valor total],
RESER3[SALA DE AULA],A37,
RESER3[Ano],Ano,
RESER3[Mês],Mes)</f>
        <v>0</v>
      </c>
      <c r="C37" s="16"/>
      <c r="D37" s="17"/>
      <c r="E37" s="18"/>
      <c r="G37" s="1349" t="s">
        <v>173</v>
      </c>
      <c r="H37" s="1349"/>
    </row>
    <row r="38" spans="1:14" x14ac:dyDescent="0.25">
      <c r="A38" s="14" t="s">
        <v>414</v>
      </c>
      <c r="B38" s="16">
        <f>SUMIFS(RESER3[Valor total],
RESER3[SALA DE AULA],A38,
RESER3[Ano],Ano,
RESER3[Mês],Mes)</f>
        <v>0</v>
      </c>
      <c r="C38" s="16"/>
      <c r="D38" s="17"/>
      <c r="E38" s="18"/>
      <c r="G38" s="25" t="s">
        <v>174</v>
      </c>
      <c r="H38" s="15"/>
    </row>
    <row r="39" spans="1:14" x14ac:dyDescent="0.25">
      <c r="A39" s="14"/>
      <c r="B39" s="16"/>
      <c r="C39" s="16"/>
      <c r="D39" s="17"/>
      <c r="E39" s="18"/>
      <c r="G39" s="25" t="s">
        <v>175</v>
      </c>
      <c r="H39" s="15"/>
    </row>
    <row r="40" spans="1:14" x14ac:dyDescent="0.25">
      <c r="G40" s="25" t="s">
        <v>176</v>
      </c>
      <c r="H40" s="15"/>
    </row>
    <row r="41" spans="1:14" x14ac:dyDescent="0.25">
      <c r="G41" s="25" t="s">
        <v>177</v>
      </c>
      <c r="H41" s="15"/>
    </row>
    <row r="42" spans="1:14" x14ac:dyDescent="0.25">
      <c r="G42" s="25" t="s">
        <v>178</v>
      </c>
      <c r="H42" s="15"/>
    </row>
    <row r="45" spans="1:14" x14ac:dyDescent="0.25">
      <c r="G45" s="1349" t="s">
        <v>403</v>
      </c>
      <c r="H45" s="1349"/>
    </row>
    <row r="46" spans="1:14" x14ac:dyDescent="0.25">
      <c r="G46" s="25" t="s">
        <v>179</v>
      </c>
      <c r="H46" s="15"/>
    </row>
    <row r="47" spans="1:14" x14ac:dyDescent="0.25">
      <c r="G47" s="25" t="s">
        <v>180</v>
      </c>
      <c r="H47" s="15"/>
    </row>
    <row r="48" spans="1:14" x14ac:dyDescent="0.25">
      <c r="G48" s="25" t="s">
        <v>181</v>
      </c>
      <c r="H48" s="15"/>
    </row>
    <row r="49" spans="7:8" x14ac:dyDescent="0.25">
      <c r="G49" s="25"/>
      <c r="H49" s="15"/>
    </row>
    <row r="50" spans="7:8" x14ac:dyDescent="0.25">
      <c r="G50" s="25"/>
      <c r="H50" s="15"/>
    </row>
  </sheetData>
  <mergeCells count="11">
    <mergeCell ref="A1:N1"/>
    <mergeCell ref="J21:N21"/>
    <mergeCell ref="G24:H24"/>
    <mergeCell ref="G37:H37"/>
    <mergeCell ref="G45:H45"/>
    <mergeCell ref="G3:J3"/>
    <mergeCell ref="H4:I4"/>
    <mergeCell ref="H5:I5"/>
    <mergeCell ref="H6:I6"/>
    <mergeCell ref="G9:H9"/>
    <mergeCell ref="J9:K9"/>
  </mergeCells>
  <phoneticPr fontId="5" type="noConversion"/>
  <pageMargins left="0.511811024" right="0.511811024" top="0.78740157499999996" bottom="0.78740157499999996" header="0.31496062000000002" footer="0.31496062000000002"/>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CC"/>
  </sheetPr>
  <dimension ref="A1:R50"/>
  <sheetViews>
    <sheetView zoomScale="130" zoomScaleNormal="130" zoomScalePageLayoutView="130" workbookViewId="0">
      <selection activeCell="C12" sqref="C12"/>
    </sheetView>
  </sheetViews>
  <sheetFormatPr defaultColWidth="8.85546875" defaultRowHeight="15" x14ac:dyDescent="0.25"/>
  <cols>
    <col min="1" max="1" width="30" customWidth="1"/>
    <col min="2" max="2" width="35.28515625" customWidth="1"/>
    <col min="3" max="3" width="14.7109375" customWidth="1"/>
    <col min="4" max="4" width="9.42578125" bestFit="1" customWidth="1"/>
    <col min="5" max="5" width="9.42578125" customWidth="1"/>
    <col min="6" max="6" width="3.7109375" customWidth="1"/>
    <col min="7" max="7" width="20.28515625" customWidth="1"/>
    <col min="8" max="8" width="18.140625" bestFit="1" customWidth="1"/>
    <col min="9" max="9" width="3.7109375" customWidth="1"/>
    <col min="10" max="10" width="8.42578125" bestFit="1" customWidth="1"/>
    <col min="11" max="11" width="17.85546875" customWidth="1"/>
    <col min="12" max="12" width="15.85546875" customWidth="1"/>
    <col min="13" max="13" width="12.7109375" customWidth="1"/>
    <col min="14" max="14" width="14.140625" customWidth="1"/>
    <col min="15" max="15" width="6.42578125" bestFit="1" customWidth="1"/>
    <col min="16" max="16" width="4.7109375" bestFit="1" customWidth="1"/>
    <col min="17" max="17" width="11.42578125" bestFit="1" customWidth="1"/>
    <col min="18" max="18" width="11.85546875" bestFit="1" customWidth="1"/>
  </cols>
  <sheetData>
    <row r="1" spans="1:18" ht="21.75" customHeight="1" x14ac:dyDescent="0.25">
      <c r="A1" s="189" t="s">
        <v>116</v>
      </c>
      <c r="B1" s="189"/>
      <c r="C1" s="189"/>
      <c r="D1" s="189"/>
      <c r="E1" s="189"/>
      <c r="F1" s="189"/>
      <c r="G1" s="189"/>
      <c r="H1" s="189"/>
      <c r="I1" s="189"/>
      <c r="J1" s="189"/>
      <c r="K1" s="189"/>
      <c r="L1" s="189"/>
      <c r="M1" s="189"/>
      <c r="N1" s="189"/>
      <c r="O1" s="31"/>
      <c r="P1" s="31"/>
      <c r="Q1" s="31"/>
      <c r="R1" s="31"/>
    </row>
    <row r="3" spans="1:18" x14ac:dyDescent="0.25">
      <c r="A3" s="10" t="s">
        <v>117</v>
      </c>
      <c r="B3" s="10"/>
      <c r="C3" s="11"/>
      <c r="D3" s="11"/>
      <c r="E3" s="11"/>
      <c r="G3" s="1349" t="s">
        <v>118</v>
      </c>
      <c r="H3" s="1349"/>
      <c r="I3" s="1349"/>
      <c r="J3" s="1349"/>
      <c r="K3" s="11"/>
    </row>
    <row r="4" spans="1:18" ht="15.75" x14ac:dyDescent="0.25">
      <c r="A4" s="32" t="s">
        <v>120</v>
      </c>
      <c r="B4" s="13" t="s">
        <v>459</v>
      </c>
      <c r="C4" s="13" t="s">
        <v>404</v>
      </c>
      <c r="D4" s="13" t="s">
        <v>405</v>
      </c>
      <c r="E4" s="13" t="s">
        <v>119</v>
      </c>
      <c r="H4" s="1350" t="s">
        <v>120</v>
      </c>
      <c r="I4" s="1350"/>
      <c r="J4" s="12" t="s">
        <v>121</v>
      </c>
      <c r="K4" s="12" t="s">
        <v>122</v>
      </c>
    </row>
    <row r="5" spans="1:18" x14ac:dyDescent="0.25">
      <c r="A5" s="14" t="s">
        <v>112</v>
      </c>
      <c r="B5" s="16">
        <f>SUMIFS(CONTROLE_PILHAS[VALOR TOTAL],CONTROLE_PILHAS[SALA DE AULA],A5,CONTROLE_PILHAS[ANO],Ano,CONTROLE_PILHAS[[MÊS ]],Mes)</f>
        <v>0</v>
      </c>
      <c r="C5" s="16"/>
      <c r="D5" s="17"/>
      <c r="E5" s="18"/>
      <c r="G5" s="19" t="s">
        <v>123</v>
      </c>
      <c r="H5" s="1351"/>
      <c r="I5" s="1352"/>
      <c r="J5" s="20">
        <f>INDEX(ListaAnos,IndiceAno)</f>
        <v>2022</v>
      </c>
      <c r="K5" s="13">
        <v>5</v>
      </c>
    </row>
    <row r="6" spans="1:18" x14ac:dyDescent="0.25">
      <c r="A6" s="14" t="s">
        <v>4</v>
      </c>
      <c r="B6" s="16">
        <f>SUMIFS(CONTROLE_PILHAS[VALOR TOTAL],CONTROLE_PILHAS[SALA DE AULA],A6,CONTROLE_PILHAS[ANO],Ano,CONTROLE_PILHAS[[MÊS ]],Mes)</f>
        <v>1</v>
      </c>
      <c r="C6" s="16"/>
      <c r="D6" s="17"/>
      <c r="E6" s="18"/>
      <c r="G6" s="19" t="s">
        <v>124</v>
      </c>
      <c r="H6" s="1353">
        <v>4</v>
      </c>
      <c r="I6" s="1353"/>
      <c r="J6" s="13">
        <v>2</v>
      </c>
    </row>
    <row r="7" spans="1:18" x14ac:dyDescent="0.25">
      <c r="A7" s="14" t="s">
        <v>5</v>
      </c>
      <c r="B7" s="16">
        <f>SUMIFS(CONTROLE_PILHAS[VALOR TOTAL],CONTROLE_PILHAS[SALA DE AULA],A7,CONTROLE_PILHAS[ANO],Ano,CONTROLE_PILHAS[[MÊS ]],Mes)</f>
        <v>1</v>
      </c>
      <c r="C7" s="16"/>
      <c r="D7" s="17"/>
      <c r="E7" s="18"/>
    </row>
    <row r="8" spans="1:18" x14ac:dyDescent="0.25">
      <c r="A8" s="14" t="s">
        <v>6</v>
      </c>
      <c r="B8" s="16">
        <f>SUMIFS(CONTROLE_PILHAS[VALOR TOTAL],CONTROLE_PILHAS[SALA DE AULA],A8,CONTROLE_PILHAS[ANO],Ano,CONTROLE_PILHAS[[MÊS ]],Mes)</f>
        <v>0</v>
      </c>
      <c r="C8" s="16"/>
      <c r="D8" s="17"/>
      <c r="E8" s="18"/>
    </row>
    <row r="9" spans="1:18" x14ac:dyDescent="0.25">
      <c r="A9" s="14" t="s">
        <v>7</v>
      </c>
      <c r="B9" s="16">
        <f>SUMIFS(CONTROLE_PILHAS[VALOR TOTAL],CONTROLE_PILHAS[SALA DE AULA],A9,CONTROLE_PILHAS[ANO],Ano,CONTROLE_PILHAS[[MÊS ]],Mes)</f>
        <v>2</v>
      </c>
      <c r="C9" s="16"/>
      <c r="D9" s="17"/>
      <c r="E9" s="18"/>
      <c r="G9" s="1349" t="s">
        <v>125</v>
      </c>
      <c r="H9" s="1349"/>
      <c r="J9" s="1354" t="s">
        <v>126</v>
      </c>
      <c r="K9" s="1354"/>
      <c r="L9" s="11" t="s">
        <v>127</v>
      </c>
      <c r="M9" s="11" t="s">
        <v>128</v>
      </c>
      <c r="N9" s="11" t="s">
        <v>129</v>
      </c>
    </row>
    <row r="10" spans="1:18" x14ac:dyDescent="0.25">
      <c r="A10" s="14" t="s">
        <v>8</v>
      </c>
      <c r="B10" s="16">
        <f>SUMIFS(CONTROLE_PILHAS[VALOR TOTAL],CONTROLE_PILHAS[SALA DE AULA],A10,CONTROLE_PILHAS[ANO],Ano,CONTROLE_PILHAS[[MÊS ]],Mes)</f>
        <v>1</v>
      </c>
      <c r="C10" s="16"/>
      <c r="D10" s="17"/>
      <c r="E10" s="18"/>
      <c r="G10" s="33" t="s">
        <v>130</v>
      </c>
      <c r="H10" s="21" t="s">
        <v>131</v>
      </c>
      <c r="J10" s="22">
        <v>1</v>
      </c>
      <c r="K10" s="14"/>
      <c r="L10" s="16"/>
      <c r="M10" s="17"/>
      <c r="N10" s="17"/>
    </row>
    <row r="11" spans="1:18" x14ac:dyDescent="0.25">
      <c r="A11" s="14" t="s">
        <v>9</v>
      </c>
      <c r="B11" s="16">
        <f>SUMIFS(CONTROLE_PILHAS[VALOR TOTAL],CONTROLE_PILHAS[SALA DE AULA],A11,CONTROLE_PILHAS[ANO],Ano,CONTROLE_PILHAS[[MÊS ]],Mes)</f>
        <v>2</v>
      </c>
      <c r="C11" s="16"/>
      <c r="D11" s="17"/>
      <c r="E11" s="18"/>
      <c r="G11" s="14">
        <v>2021</v>
      </c>
      <c r="H11" s="15" t="s">
        <v>132</v>
      </c>
      <c r="J11" s="22">
        <v>2</v>
      </c>
      <c r="K11" s="14"/>
      <c r="L11" s="16"/>
      <c r="M11" s="17"/>
      <c r="N11" s="17"/>
    </row>
    <row r="12" spans="1:18" x14ac:dyDescent="0.25">
      <c r="A12" s="14" t="s">
        <v>10</v>
      </c>
      <c r="B12" s="16">
        <f>SUMIFS(CONTROLE_PILHAS[VALOR TOTAL],CONTROLE_PILHAS[SALA DE AULA],A12,CONTROLE_PILHAS[ANO],Ano,CONTROLE_PILHAS[[MÊS ]],Mes)</f>
        <v>0</v>
      </c>
      <c r="C12" s="16"/>
      <c r="D12" s="17"/>
      <c r="E12" s="18"/>
      <c r="G12" s="14">
        <v>2022</v>
      </c>
      <c r="H12" s="15" t="s">
        <v>133</v>
      </c>
      <c r="J12" s="22">
        <v>3</v>
      </c>
      <c r="K12" s="14"/>
      <c r="L12" s="16"/>
      <c r="M12" s="17"/>
      <c r="N12" s="17"/>
    </row>
    <row r="13" spans="1:18" x14ac:dyDescent="0.25">
      <c r="A13" s="14" t="s">
        <v>113</v>
      </c>
      <c r="B13" s="16">
        <f>SUMIFS(CONTROLE_PILHAS[VALOR TOTAL],CONTROLE_PILHAS[SALA DE AULA],A13,CONTROLE_PILHAS[ANO],Ano,CONTROLE_PILHAS[[MÊS ]],Mes)</f>
        <v>0</v>
      </c>
      <c r="C13" s="16"/>
      <c r="D13" s="17"/>
      <c r="E13" s="18"/>
      <c r="G13" s="14"/>
      <c r="H13" s="15" t="s">
        <v>134</v>
      </c>
      <c r="J13" s="22">
        <v>4</v>
      </c>
      <c r="K13" s="14"/>
      <c r="L13" s="16"/>
      <c r="M13" s="17"/>
      <c r="N13" s="17"/>
    </row>
    <row r="14" spans="1:18" x14ac:dyDescent="0.25">
      <c r="A14" s="14" t="s">
        <v>13</v>
      </c>
      <c r="B14" s="16">
        <f>SUMIFS(CONTROLE_PILHAS[VALOR TOTAL],CONTROLE_PILHAS[SALA DE AULA],A14,CONTROLE_PILHAS[ANO],Ano,CONTROLE_PILHAS[[MÊS ]],Mes)</f>
        <v>1</v>
      </c>
      <c r="C14" s="16"/>
      <c r="D14" s="17"/>
      <c r="E14" s="18"/>
      <c r="G14" s="14"/>
      <c r="H14" s="15" t="s">
        <v>135</v>
      </c>
      <c r="J14" s="22">
        <v>5</v>
      </c>
      <c r="K14" s="14"/>
      <c r="L14" s="16"/>
      <c r="M14" s="17"/>
      <c r="N14" s="17"/>
    </row>
    <row r="15" spans="1:18" x14ac:dyDescent="0.25">
      <c r="A15" s="14" t="s">
        <v>14</v>
      </c>
      <c r="B15" s="16">
        <f>SUMIFS(CONTROLE_PILHAS[VALOR TOTAL],CONTROLE_PILHAS[SALA DE AULA],A15,CONTROLE_PILHAS[ANO],Ano,CONTROLE_PILHAS[[MÊS ]],Mes)</f>
        <v>2</v>
      </c>
      <c r="C15" s="16"/>
      <c r="D15" s="17"/>
      <c r="E15" s="18"/>
      <c r="G15" s="14"/>
      <c r="H15" s="15" t="s">
        <v>136</v>
      </c>
      <c r="J15" s="22">
        <v>6</v>
      </c>
      <c r="K15" s="14"/>
      <c r="L15" s="16"/>
      <c r="M15" s="17"/>
      <c r="N15" s="17"/>
    </row>
    <row r="16" spans="1:18" x14ac:dyDescent="0.25">
      <c r="A16" s="14" t="s">
        <v>15</v>
      </c>
      <c r="B16" s="16">
        <f>SUMIFS(CONTROLE_PILHAS[VALOR TOTAL],CONTROLE_PILHAS[SALA DE AULA],A16,CONTROLE_PILHAS[ANO],Ano,CONTROLE_PILHAS[[MÊS ]],Mes)</f>
        <v>2</v>
      </c>
      <c r="C16" s="16"/>
      <c r="D16" s="17"/>
      <c r="E16" s="18"/>
      <c r="G16" s="14"/>
      <c r="H16" s="15" t="s">
        <v>137</v>
      </c>
      <c r="J16" s="22">
        <v>7</v>
      </c>
      <c r="K16" s="14"/>
      <c r="L16" s="16"/>
      <c r="M16" s="17"/>
      <c r="N16" s="17"/>
    </row>
    <row r="17" spans="1:14" x14ac:dyDescent="0.25">
      <c r="A17" s="14" t="s">
        <v>16</v>
      </c>
      <c r="B17" s="16">
        <f>SUMIFS(CONTROLE_PILHAS[VALOR TOTAL],CONTROLE_PILHAS[SALA DE AULA],A17,CONTROLE_PILHAS[ANO],Ano,CONTROLE_PILHAS[[MÊS ]],Mes)</f>
        <v>1</v>
      </c>
      <c r="C17" s="16"/>
      <c r="D17" s="17"/>
      <c r="E17" s="18"/>
      <c r="G17" s="14"/>
      <c r="H17" s="15" t="s">
        <v>138</v>
      </c>
      <c r="J17" s="22">
        <v>8</v>
      </c>
      <c r="K17" s="14"/>
      <c r="L17" s="16"/>
      <c r="M17" s="17"/>
      <c r="N17" s="17"/>
    </row>
    <row r="18" spans="1:14" x14ac:dyDescent="0.25">
      <c r="A18" s="14" t="s">
        <v>17</v>
      </c>
      <c r="B18" s="16">
        <f>SUMIFS(CONTROLE_PILHAS[VALOR TOTAL],CONTROLE_PILHAS[SALA DE AULA],A18,CONTROLE_PILHAS[ANO],Ano,CONTROLE_PILHAS[[MÊS ]],Mes)</f>
        <v>1</v>
      </c>
      <c r="C18" s="16"/>
      <c r="D18" s="17"/>
      <c r="E18" s="18"/>
      <c r="G18" s="14"/>
      <c r="H18" s="15" t="s">
        <v>139</v>
      </c>
      <c r="J18" s="22">
        <v>9</v>
      </c>
      <c r="K18" s="14"/>
      <c r="L18" s="16"/>
      <c r="M18" s="17"/>
      <c r="N18" s="17"/>
    </row>
    <row r="19" spans="1:14" x14ac:dyDescent="0.25">
      <c r="A19" s="14" t="s">
        <v>18</v>
      </c>
      <c r="B19" s="16">
        <f>SUMIFS(CONTROLE_PILHAS[VALOR TOTAL],CONTROLE_PILHAS[SALA DE AULA],A19,CONTROLE_PILHAS[ANO],Ano,CONTROLE_PILHAS[[MÊS ]],Mes)</f>
        <v>3</v>
      </c>
      <c r="C19" s="16"/>
      <c r="D19" s="17"/>
      <c r="E19" s="18"/>
      <c r="G19" s="14"/>
      <c r="H19" s="15" t="s">
        <v>140</v>
      </c>
      <c r="J19" s="22">
        <v>10</v>
      </c>
      <c r="K19" s="14"/>
      <c r="L19" s="16"/>
      <c r="M19" s="17"/>
      <c r="N19" s="17"/>
    </row>
    <row r="20" spans="1:14" x14ac:dyDescent="0.25">
      <c r="A20" s="14" t="s">
        <v>98</v>
      </c>
      <c r="B20" s="16">
        <f>SUMIFS(CONTROLE_PILHAS[VALOR TOTAL],CONTROLE_PILHAS[SALA DE AULA],A20,CONTROLE_PILHAS[ANO],Ano,CONTROLE_PILHAS[[MÊS ]],Mes)</f>
        <v>2</v>
      </c>
      <c r="C20" s="16"/>
      <c r="D20" s="17"/>
      <c r="E20" s="18"/>
      <c r="G20" s="14"/>
      <c r="H20" s="15" t="s">
        <v>141</v>
      </c>
      <c r="J20" s="24">
        <v>11</v>
      </c>
      <c r="K20" s="14"/>
      <c r="L20" s="16"/>
      <c r="N20" s="17"/>
    </row>
    <row r="21" spans="1:14" x14ac:dyDescent="0.25">
      <c r="A21" s="14" t="s">
        <v>19</v>
      </c>
      <c r="B21" s="16">
        <f>SUMIFS(CONTROLE_PILHAS[VALOR TOTAL],CONTROLE_PILHAS[SALA DE AULA],A21,CONTROLE_PILHAS[ANO],Ano,CONTROLE_PILHAS[[MÊS ]],Mes)</f>
        <v>0</v>
      </c>
      <c r="C21" s="16"/>
      <c r="D21" s="17"/>
      <c r="E21" s="18"/>
      <c r="G21" s="14"/>
      <c r="H21" s="15" t="s">
        <v>142</v>
      </c>
      <c r="J21" s="1349" t="s">
        <v>143</v>
      </c>
      <c r="K21" s="1349"/>
      <c r="L21" s="1349"/>
      <c r="M21" s="1349"/>
      <c r="N21" s="1349"/>
    </row>
    <row r="22" spans="1:14" x14ac:dyDescent="0.25">
      <c r="A22" s="14" t="s">
        <v>20</v>
      </c>
      <c r="B22" s="16">
        <f>SUMIFS(CONTROLE_PILHAS[VALOR TOTAL],CONTROLE_PILHAS[SALA DE AULA],A22,CONTROLE_PILHAS[ANO],Ano,CONTROLE_PILHAS[[MÊS ]],Mes)</f>
        <v>1</v>
      </c>
      <c r="C22" s="16"/>
      <c r="D22" s="17"/>
      <c r="E22" s="18"/>
      <c r="G22" s="14"/>
      <c r="H22" s="15" t="s">
        <v>144</v>
      </c>
      <c r="J22" s="21" t="s">
        <v>145</v>
      </c>
      <c r="K22" s="21" t="s">
        <v>122</v>
      </c>
      <c r="L22" s="21" t="s">
        <v>146</v>
      </c>
      <c r="M22" s="21" t="s">
        <v>128</v>
      </c>
      <c r="N22" s="21" t="s">
        <v>128</v>
      </c>
    </row>
    <row r="23" spans="1:14" x14ac:dyDescent="0.25">
      <c r="A23" s="14" t="s">
        <v>21</v>
      </c>
      <c r="B23" s="16">
        <f>SUMIFS(CONTROLE_PILHAS[VALOR TOTAL],CONTROLE_PILHAS[SALA DE AULA],A23,CONTROLE_PILHAS[ANO],Ano,CONTROLE_PILHAS[[MÊS ]],Mes)</f>
        <v>1</v>
      </c>
      <c r="C23" s="16"/>
      <c r="D23" s="17"/>
      <c r="E23" s="18"/>
      <c r="J23" s="22">
        <v>1</v>
      </c>
      <c r="K23" s="23" t="s">
        <v>147</v>
      </c>
      <c r="L23" s="15"/>
      <c r="M23" s="16"/>
      <c r="N23" s="16"/>
    </row>
    <row r="24" spans="1:14" x14ac:dyDescent="0.25">
      <c r="A24" s="14" t="s">
        <v>22</v>
      </c>
      <c r="B24" s="16">
        <f>SUMIFS(CONTROLE_PILHAS[VALOR TOTAL],CONTROLE_PILHAS[SALA DE AULA],A24,CONTROLE_PILHAS[ANO],Ano,CONTROLE_PILHAS[[MÊS ]],Mes)</f>
        <v>0</v>
      </c>
      <c r="C24" s="16"/>
      <c r="D24" s="17"/>
      <c r="E24" s="18"/>
      <c r="G24" s="1349" t="s">
        <v>148</v>
      </c>
      <c r="H24" s="1349"/>
      <c r="J24" s="22">
        <v>2</v>
      </c>
      <c r="K24" s="23" t="s">
        <v>149</v>
      </c>
      <c r="L24" s="15"/>
      <c r="M24" s="16"/>
      <c r="N24" s="16"/>
    </row>
    <row r="25" spans="1:14" x14ac:dyDescent="0.25">
      <c r="A25" s="14" t="s">
        <v>23</v>
      </c>
      <c r="B25" s="16">
        <f>SUMIFS(CONTROLE_PILHAS[VALOR TOTAL],CONTROLE_PILHAS[SALA DE AULA],A25,CONTROLE_PILHAS[ANO],Ano,CONTROLE_PILHAS[[MÊS ]],Mes)</f>
        <v>0</v>
      </c>
      <c r="C25" s="16"/>
      <c r="D25" s="17"/>
      <c r="E25" s="18"/>
      <c r="G25" s="25" t="s">
        <v>150</v>
      </c>
      <c r="H25" s="15"/>
      <c r="J25" s="22">
        <v>3</v>
      </c>
      <c r="K25" s="23" t="s">
        <v>151</v>
      </c>
      <c r="L25" s="15"/>
      <c r="M25" s="16"/>
      <c r="N25" s="16"/>
    </row>
    <row r="26" spans="1:14" x14ac:dyDescent="0.25">
      <c r="A26" s="14" t="s">
        <v>24</v>
      </c>
      <c r="B26" s="16">
        <f>SUMIFS(CONTROLE_PILHAS[VALOR TOTAL],CONTROLE_PILHAS[SALA DE AULA],A26,CONTROLE_PILHAS[ANO],Ano,CONTROLE_PILHAS[[MÊS ]],Mes)</f>
        <v>0</v>
      </c>
      <c r="C26" s="16"/>
      <c r="D26" s="17"/>
      <c r="E26" s="18"/>
      <c r="G26" s="25" t="s">
        <v>152</v>
      </c>
      <c r="H26" s="15"/>
      <c r="J26" s="22">
        <v>4</v>
      </c>
      <c r="K26" s="23" t="s">
        <v>153</v>
      </c>
      <c r="L26" s="15"/>
      <c r="M26" s="16"/>
      <c r="N26" s="16"/>
    </row>
    <row r="27" spans="1:14" x14ac:dyDescent="0.25">
      <c r="A27" s="14" t="s">
        <v>25</v>
      </c>
      <c r="B27" s="16">
        <f>SUMIFS(CONTROLE_PILHAS[VALOR TOTAL],CONTROLE_PILHAS[SALA DE AULA],A27,CONTROLE_PILHAS[ANO],Ano,CONTROLE_PILHAS[[MÊS ]],Mes)</f>
        <v>0</v>
      </c>
      <c r="C27" s="16"/>
      <c r="D27" s="17"/>
      <c r="E27" s="18"/>
      <c r="G27" s="25" t="s">
        <v>154</v>
      </c>
      <c r="H27" s="15"/>
      <c r="J27" s="22">
        <v>5</v>
      </c>
      <c r="K27" s="23" t="s">
        <v>155</v>
      </c>
      <c r="L27" s="15"/>
      <c r="M27" s="16"/>
      <c r="N27" s="16"/>
    </row>
    <row r="28" spans="1:14" x14ac:dyDescent="0.25">
      <c r="A28" s="14" t="s">
        <v>26</v>
      </c>
      <c r="B28" s="16">
        <f>SUMIFS(CONTROLE_PILHAS[VALOR TOTAL],CONTROLE_PILHAS[SALA DE AULA],A28,CONTROLE_PILHAS[ANO],Ano,CONTROLE_PILHAS[[MÊS ]],Mes)</f>
        <v>0</v>
      </c>
      <c r="C28" s="16"/>
      <c r="D28" s="17"/>
      <c r="E28" s="18"/>
      <c r="G28" s="25" t="s">
        <v>156</v>
      </c>
      <c r="H28" s="15"/>
      <c r="J28" s="22">
        <v>6</v>
      </c>
      <c r="K28" s="23" t="s">
        <v>157</v>
      </c>
      <c r="L28" s="15"/>
      <c r="M28" s="16"/>
      <c r="N28" s="16"/>
    </row>
    <row r="29" spans="1:14" x14ac:dyDescent="0.25">
      <c r="A29" s="14" t="s">
        <v>27</v>
      </c>
      <c r="B29" s="16">
        <f>SUMIFS(CONTROLE_PILHAS[VALOR TOTAL],CONTROLE_PILHAS[SALA DE AULA],A29,CONTROLE_PILHAS[ANO],Ano,CONTROLE_PILHAS[[MÊS ]],Mes)</f>
        <v>0</v>
      </c>
      <c r="C29" s="16"/>
      <c r="D29" s="17"/>
      <c r="E29" s="18"/>
      <c r="G29" s="25" t="s">
        <v>158</v>
      </c>
      <c r="J29" s="22">
        <v>7</v>
      </c>
      <c r="K29" s="23" t="s">
        <v>159</v>
      </c>
      <c r="L29" s="15"/>
      <c r="M29" s="16"/>
      <c r="N29" s="16"/>
    </row>
    <row r="30" spans="1:14" x14ac:dyDescent="0.25">
      <c r="A30" s="14" t="s">
        <v>28</v>
      </c>
      <c r="B30" s="16">
        <f>SUMIFS(CONTROLE_PILHAS[VALOR TOTAL],CONTROLE_PILHAS[SALA DE AULA],A30,CONTROLE_PILHAS[ANO],Ano,CONTROLE_PILHAS[[MÊS ]],Mes)</f>
        <v>0</v>
      </c>
      <c r="C30" s="16"/>
      <c r="D30" s="17"/>
      <c r="E30" s="18"/>
      <c r="G30" s="25" t="s">
        <v>160</v>
      </c>
      <c r="H30" s="26"/>
      <c r="J30" s="22">
        <v>8</v>
      </c>
      <c r="K30" s="23" t="s">
        <v>161</v>
      </c>
      <c r="L30" s="15"/>
      <c r="M30" s="16"/>
      <c r="N30" s="16"/>
    </row>
    <row r="31" spans="1:14" x14ac:dyDescent="0.25">
      <c r="A31" s="14" t="s">
        <v>29</v>
      </c>
      <c r="B31" s="16">
        <f>SUMIFS(CONTROLE_PILHAS[VALOR TOTAL],CONTROLE_PILHAS[SALA DE AULA],A31,CONTROLE_PILHAS[ANO],Ano,CONTROLE_PILHAS[[MÊS ]],Mes)</f>
        <v>0</v>
      </c>
      <c r="C31" s="16"/>
      <c r="D31" s="17"/>
      <c r="E31" s="18"/>
      <c r="G31" s="25" t="s">
        <v>162</v>
      </c>
      <c r="H31" s="26"/>
      <c r="J31" s="22">
        <v>9</v>
      </c>
      <c r="K31" s="23" t="s">
        <v>163</v>
      </c>
      <c r="L31" s="15"/>
      <c r="M31" s="16"/>
      <c r="N31" s="16"/>
    </row>
    <row r="32" spans="1:14" x14ac:dyDescent="0.25">
      <c r="A32" s="14" t="s">
        <v>30</v>
      </c>
      <c r="B32" s="16">
        <f>SUMIFS(CONTROLE_PILHAS[VALOR TOTAL],CONTROLE_PILHAS[SALA DE AULA],A32,CONTROLE_PILHAS[ANO],Ano,CONTROLE_PILHAS[[MÊS ]],Mes)</f>
        <v>0</v>
      </c>
      <c r="C32" s="16"/>
      <c r="D32" s="17"/>
      <c r="E32" s="18"/>
      <c r="G32" s="25" t="s">
        <v>164</v>
      </c>
      <c r="H32" s="26"/>
      <c r="J32" s="22">
        <v>10</v>
      </c>
      <c r="K32" s="23" t="s">
        <v>165</v>
      </c>
      <c r="L32" s="15"/>
      <c r="M32" s="16"/>
      <c r="N32" s="16"/>
    </row>
    <row r="33" spans="1:14" x14ac:dyDescent="0.25">
      <c r="A33" s="14" t="s">
        <v>40</v>
      </c>
      <c r="B33" s="16">
        <f>SUMIFS(CONTROLE_PILHAS[VALOR TOTAL],CONTROLE_PILHAS[SALA DE AULA],A33,CONTROLE_PILHAS[ANO],Ano,CONTROLE_PILHAS[[MÊS ]],Mes)</f>
        <v>2</v>
      </c>
      <c r="C33" s="16"/>
      <c r="D33" s="17"/>
      <c r="E33" s="18"/>
      <c r="G33" s="25" t="s">
        <v>166</v>
      </c>
      <c r="H33" s="26"/>
      <c r="J33" s="22">
        <v>11</v>
      </c>
      <c r="K33" s="23" t="s">
        <v>167</v>
      </c>
      <c r="L33" s="15"/>
      <c r="M33" s="16"/>
      <c r="N33" s="16"/>
    </row>
    <row r="34" spans="1:14" x14ac:dyDescent="0.25">
      <c r="A34" s="14" t="s">
        <v>41</v>
      </c>
      <c r="B34" s="16">
        <f>SUMIFS(CONTROLE_PILHAS[VALOR TOTAL],CONTROLE_PILHAS[SALA DE AULA],A34,CONTROLE_PILHAS[ANO],Ano,CONTROLE_PILHAS[[MÊS ]],Mes)</f>
        <v>1</v>
      </c>
      <c r="C34" s="16"/>
      <c r="D34" s="17"/>
      <c r="E34" s="18"/>
      <c r="G34" s="25" t="s">
        <v>168</v>
      </c>
      <c r="H34" s="26"/>
      <c r="J34" s="22">
        <v>12</v>
      </c>
      <c r="K34" s="23" t="s">
        <v>169</v>
      </c>
      <c r="L34" s="15"/>
      <c r="M34" s="16"/>
      <c r="N34" s="16"/>
    </row>
    <row r="35" spans="1:14" x14ac:dyDescent="0.25">
      <c r="A35" s="14" t="s">
        <v>384</v>
      </c>
      <c r="B35" s="16">
        <f>SUMIFS(CONTROLE_PILHAS[VALOR TOTAL],CONTROLE_PILHAS[SALA DE AULA],A35,CONTROLE_PILHAS[ANO],Ano,CONTROLE_PILHAS[[MÊS ]],Mes)</f>
        <v>0</v>
      </c>
      <c r="C35" s="16"/>
      <c r="D35" s="17"/>
      <c r="E35" s="18"/>
      <c r="G35" s="25" t="s">
        <v>170</v>
      </c>
      <c r="H35" s="26"/>
    </row>
    <row r="36" spans="1:14" x14ac:dyDescent="0.25">
      <c r="A36" s="14" t="s">
        <v>386</v>
      </c>
      <c r="B36" s="16">
        <f>SUMIFS(CONTROLE_PILHAS[VALOR TOTAL],CONTROLE_PILHAS[SALA DE AULA],A36,CONTROLE_PILHAS[ANO],Ano,CONTROLE_PILHAS[[MÊS ]],Mes)</f>
        <v>0</v>
      </c>
      <c r="C36" s="16"/>
      <c r="D36" s="17"/>
      <c r="E36" s="18"/>
      <c r="G36" s="27" t="s">
        <v>171</v>
      </c>
      <c r="H36" s="27"/>
    </row>
    <row r="37" spans="1:14" x14ac:dyDescent="0.25">
      <c r="A37" s="14" t="s">
        <v>172</v>
      </c>
      <c r="B37" s="16">
        <f>SUMIFS(CONTROLE_PILHAS[VALOR TOTAL],CONTROLE_PILHAS[SALA DE AULA],A37,CONTROLE_PILHAS[ANO],Ano,CONTROLE_PILHAS[[MÊS ]],Mes)</f>
        <v>0</v>
      </c>
      <c r="C37" s="16"/>
      <c r="D37" s="17"/>
      <c r="E37" s="18"/>
      <c r="G37" s="1349" t="s">
        <v>173</v>
      </c>
      <c r="H37" s="1349"/>
    </row>
    <row r="38" spans="1:14" x14ac:dyDescent="0.25">
      <c r="A38" s="14" t="s">
        <v>414</v>
      </c>
      <c r="B38" s="16">
        <f>SUMIFS(CONTROLE_PILHAS[VALOR TOTAL],CONTROLE_PILHAS[SALA DE AULA],A38,CONTROLE_PILHAS[ANO],Ano,CONTROLE_PILHAS[[MÊS ]],Mes)</f>
        <v>0</v>
      </c>
      <c r="C38" s="16"/>
      <c r="D38" s="17"/>
      <c r="E38" s="18"/>
      <c r="G38" s="25" t="s">
        <v>174</v>
      </c>
      <c r="H38" s="15"/>
    </row>
    <row r="39" spans="1:14" x14ac:dyDescent="0.25">
      <c r="A39" s="14"/>
      <c r="B39" s="16"/>
      <c r="C39" s="16"/>
      <c r="D39" s="17"/>
      <c r="E39" s="18"/>
      <c r="G39" s="25" t="s">
        <v>175</v>
      </c>
      <c r="H39" s="15"/>
    </row>
    <row r="40" spans="1:14" x14ac:dyDescent="0.25">
      <c r="G40" s="25" t="s">
        <v>176</v>
      </c>
      <c r="H40" s="15"/>
    </row>
    <row r="41" spans="1:14" x14ac:dyDescent="0.25">
      <c r="G41" s="25" t="s">
        <v>177</v>
      </c>
      <c r="H41" s="15"/>
    </row>
    <row r="42" spans="1:14" x14ac:dyDescent="0.25">
      <c r="G42" s="25" t="s">
        <v>178</v>
      </c>
      <c r="H42" s="15"/>
    </row>
    <row r="45" spans="1:14" x14ac:dyDescent="0.25">
      <c r="G45" s="1349" t="s">
        <v>403</v>
      </c>
      <c r="H45" s="1349"/>
    </row>
    <row r="46" spans="1:14" x14ac:dyDescent="0.25">
      <c r="G46" s="25" t="s">
        <v>179</v>
      </c>
      <c r="H46" s="15"/>
    </row>
    <row r="47" spans="1:14" x14ac:dyDescent="0.25">
      <c r="G47" s="25" t="s">
        <v>180</v>
      </c>
      <c r="H47" s="15"/>
    </row>
    <row r="48" spans="1:14" x14ac:dyDescent="0.25">
      <c r="G48" s="25" t="s">
        <v>181</v>
      </c>
      <c r="H48" s="15"/>
    </row>
    <row r="49" spans="7:8" x14ac:dyDescent="0.25">
      <c r="G49" s="25"/>
      <c r="H49" s="15"/>
    </row>
    <row r="50" spans="7:8" x14ac:dyDescent="0.25">
      <c r="G50" s="25"/>
      <c r="H50" s="15"/>
    </row>
  </sheetData>
  <mergeCells count="11">
    <mergeCell ref="J21:N21"/>
    <mergeCell ref="G24:H24"/>
    <mergeCell ref="G37:H37"/>
    <mergeCell ref="G45:H45"/>
    <mergeCell ref="A1:N1"/>
    <mergeCell ref="G3:J3"/>
    <mergeCell ref="H4:I4"/>
    <mergeCell ref="H5:I5"/>
    <mergeCell ref="H6:I6"/>
    <mergeCell ref="G9:H9"/>
    <mergeCell ref="J9:K9"/>
  </mergeCells>
  <phoneticPr fontId="5" type="noConversion"/>
  <pageMargins left="0.511811024" right="0.511811024" top="0.78740157499999996" bottom="0.78740157499999996" header="0.31496062000000002" footer="0.31496062000000002"/>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F772D"/>
  </sheetPr>
  <dimension ref="A1:S242"/>
  <sheetViews>
    <sheetView showGridLines="0" showRowColHeaders="0" workbookViewId="0">
      <pane ySplit="6" topLeftCell="A28" activePane="bottomLeft" state="frozen"/>
      <selection pane="bottomLeft" activeCell="P8" sqref="P8"/>
    </sheetView>
  </sheetViews>
  <sheetFormatPr defaultColWidth="9.140625" defaultRowHeight="15" x14ac:dyDescent="0.25"/>
  <cols>
    <col min="1" max="1" width="3.140625" style="1" customWidth="1"/>
    <col min="2" max="18" width="9.140625" style="1"/>
    <col min="19" max="19" width="8" style="1" customWidth="1"/>
    <col min="20" max="16384" width="9.140625" style="1"/>
  </cols>
  <sheetData>
    <row r="1" spans="1:19" s="150" customFormat="1" x14ac:dyDescent="0.25"/>
    <row r="2" spans="1:19" s="150" customFormat="1" x14ac:dyDescent="0.25"/>
    <row r="3" spans="1:19" s="150" customFormat="1" x14ac:dyDescent="0.25"/>
    <row r="4" spans="1:19" s="150" customFormat="1" x14ac:dyDescent="0.25"/>
    <row r="5" spans="1:19" s="150" customFormat="1" x14ac:dyDescent="0.25"/>
    <row r="6" spans="1:19" s="150" customFormat="1" x14ac:dyDescent="0.25"/>
    <row r="7" spans="1:19" s="153" customFormat="1" ht="21" customHeight="1" x14ac:dyDescent="0.25">
      <c r="A7" s="582" t="s">
        <v>693</v>
      </c>
      <c r="B7" s="582"/>
      <c r="C7" s="582"/>
      <c r="D7" s="582"/>
      <c r="E7" s="582"/>
      <c r="F7" s="582"/>
      <c r="G7" s="582"/>
      <c r="H7" s="582"/>
      <c r="I7" s="582"/>
      <c r="J7" s="582"/>
      <c r="K7" s="582"/>
      <c r="L7" s="582"/>
      <c r="M7" s="582"/>
      <c r="N7" s="582"/>
      <c r="O7" s="582"/>
      <c r="P7" s="582"/>
      <c r="Q7" s="582"/>
      <c r="R7" s="582"/>
      <c r="S7" s="582"/>
    </row>
    <row r="30" spans="1:19" s="150" customFormat="1" ht="23.25" x14ac:dyDescent="0.25">
      <c r="A30" s="582" t="s">
        <v>692</v>
      </c>
      <c r="B30" s="582"/>
      <c r="C30" s="582"/>
      <c r="D30" s="582"/>
      <c r="E30" s="582"/>
      <c r="F30" s="582"/>
      <c r="G30" s="582"/>
      <c r="H30" s="582"/>
      <c r="I30" s="582"/>
      <c r="J30" s="582"/>
      <c r="K30" s="582"/>
      <c r="L30" s="582"/>
      <c r="M30" s="582"/>
      <c r="N30" s="582"/>
      <c r="O30" s="582"/>
      <c r="P30" s="582"/>
      <c r="Q30" s="582"/>
      <c r="R30" s="582"/>
      <c r="S30" s="582"/>
    </row>
    <row r="47" spans="1:19" s="150" customFormat="1" ht="23.25" x14ac:dyDescent="0.25">
      <c r="A47" s="582" t="s">
        <v>691</v>
      </c>
      <c r="B47" s="582"/>
      <c r="C47" s="582"/>
      <c r="D47" s="582"/>
      <c r="E47" s="582"/>
      <c r="F47" s="582"/>
      <c r="G47" s="582"/>
      <c r="H47" s="582"/>
      <c r="I47" s="582"/>
      <c r="J47" s="582"/>
      <c r="K47" s="582"/>
      <c r="L47" s="582"/>
      <c r="M47" s="582"/>
      <c r="N47" s="582"/>
      <c r="O47" s="582"/>
      <c r="P47" s="582"/>
      <c r="Q47" s="582"/>
      <c r="R47" s="582"/>
      <c r="S47" s="582"/>
    </row>
    <row r="48" spans="1:19" s="150" customFormat="1" x14ac:dyDescent="0.25"/>
    <row r="49" s="150" customFormat="1" x14ac:dyDescent="0.25"/>
    <row r="50" s="150" customFormat="1" x14ac:dyDescent="0.25"/>
    <row r="51" s="150" customFormat="1" x14ac:dyDescent="0.25"/>
    <row r="52" s="150" customFormat="1" x14ac:dyDescent="0.25"/>
    <row r="53" s="150" customFormat="1" x14ac:dyDescent="0.25"/>
    <row r="54" s="150" customFormat="1" x14ac:dyDescent="0.25"/>
    <row r="55" s="150" customFormat="1" x14ac:dyDescent="0.25"/>
    <row r="56" s="150" customFormat="1" x14ac:dyDescent="0.25"/>
    <row r="57" s="150" customFormat="1" x14ac:dyDescent="0.25"/>
    <row r="58" s="150" customFormat="1" x14ac:dyDescent="0.25"/>
    <row r="59" s="150" customFormat="1" x14ac:dyDescent="0.25"/>
    <row r="60" s="150" customFormat="1" x14ac:dyDescent="0.25"/>
    <row r="61" s="150" customFormat="1" x14ac:dyDescent="0.25"/>
    <row r="62" s="150" customFormat="1" x14ac:dyDescent="0.25"/>
    <row r="63" s="150" customFormat="1" x14ac:dyDescent="0.25"/>
    <row r="64" s="150" customFormat="1" x14ac:dyDescent="0.25"/>
    <row r="65" spans="1:19" s="150" customFormat="1" x14ac:dyDescent="0.25"/>
    <row r="66" spans="1:19" s="150" customFormat="1" x14ac:dyDescent="0.25"/>
    <row r="67" spans="1:19" s="150" customFormat="1" x14ac:dyDescent="0.25"/>
    <row r="68" spans="1:19" s="150" customFormat="1" x14ac:dyDescent="0.25"/>
    <row r="69" spans="1:19" s="150" customFormat="1" x14ac:dyDescent="0.25"/>
    <row r="70" spans="1:19" s="150" customFormat="1" x14ac:dyDescent="0.25"/>
    <row r="71" spans="1:19" s="150" customFormat="1" x14ac:dyDescent="0.25"/>
    <row r="72" spans="1:19" s="150" customFormat="1" x14ac:dyDescent="0.25"/>
    <row r="73" spans="1:19" s="150" customFormat="1" ht="23.25" x14ac:dyDescent="0.25">
      <c r="A73" s="582" t="s">
        <v>827</v>
      </c>
      <c r="B73" s="582"/>
      <c r="C73" s="582"/>
      <c r="D73" s="582"/>
      <c r="E73" s="582"/>
      <c r="F73" s="582"/>
      <c r="G73" s="582"/>
      <c r="H73" s="582"/>
      <c r="I73" s="582"/>
      <c r="J73" s="582"/>
      <c r="K73" s="582"/>
      <c r="L73" s="582"/>
      <c r="M73" s="582"/>
      <c r="N73" s="582"/>
      <c r="O73" s="582"/>
      <c r="P73" s="582"/>
      <c r="Q73" s="582"/>
      <c r="R73" s="582"/>
      <c r="S73" s="582"/>
    </row>
    <row r="228" spans="1:19" s="150" customFormat="1" ht="23.25" x14ac:dyDescent="0.25">
      <c r="A228" s="582" t="s">
        <v>493</v>
      </c>
      <c r="B228" s="582"/>
      <c r="C228" s="582"/>
      <c r="D228" s="582"/>
      <c r="E228" s="582"/>
      <c r="F228" s="582"/>
      <c r="G228" s="582"/>
      <c r="H228" s="582"/>
      <c r="I228" s="582"/>
      <c r="J228" s="582"/>
      <c r="K228" s="582"/>
      <c r="L228" s="582"/>
      <c r="M228" s="582"/>
      <c r="N228" s="582"/>
      <c r="O228" s="582"/>
      <c r="P228" s="582"/>
      <c r="Q228" s="582"/>
      <c r="R228" s="582"/>
      <c r="S228" s="582"/>
    </row>
    <row r="229" spans="1:19" s="150" customFormat="1" x14ac:dyDescent="0.25"/>
    <row r="230" spans="1:19" s="150" customFormat="1" x14ac:dyDescent="0.25"/>
    <row r="231" spans="1:19" s="150" customFormat="1" ht="15" customHeight="1" x14ac:dyDescent="0.25">
      <c r="C231" s="1355" t="s">
        <v>733</v>
      </c>
      <c r="D231" s="1355"/>
      <c r="E231" s="1355"/>
      <c r="F231" s="1355"/>
    </row>
    <row r="232" spans="1:19" s="150" customFormat="1" ht="15" customHeight="1" x14ac:dyDescent="0.25">
      <c r="C232" s="1355"/>
      <c r="D232" s="1355"/>
      <c r="E232" s="1355"/>
      <c r="F232" s="1355"/>
    </row>
    <row r="233" spans="1:19" s="150" customFormat="1" ht="23.25" customHeight="1" x14ac:dyDescent="0.25">
      <c r="C233" s="1356">
        <f>GETPIVOTDATA("Total de Atendimento",'3D-PLANI'!$A$4)</f>
        <v>13</v>
      </c>
      <c r="D233" s="1356"/>
      <c r="E233" s="1356"/>
      <c r="F233" s="1356"/>
    </row>
    <row r="234" spans="1:19" s="150" customFormat="1" ht="23.25" customHeight="1" x14ac:dyDescent="0.25">
      <c r="C234" s="1356"/>
      <c r="D234" s="1356"/>
      <c r="E234" s="1356"/>
      <c r="F234" s="1356"/>
    </row>
    <row r="235" spans="1:19" s="150" customFormat="1" ht="23.25" customHeight="1" x14ac:dyDescent="0.25">
      <c r="C235" s="1356"/>
      <c r="D235" s="1356"/>
      <c r="E235" s="1356"/>
      <c r="F235" s="1356"/>
    </row>
    <row r="236" spans="1:19" s="150" customFormat="1" ht="15" customHeight="1" x14ac:dyDescent="0.25">
      <c r="C236" s="1356"/>
      <c r="D236" s="1356"/>
      <c r="E236" s="1356"/>
      <c r="F236" s="1356"/>
    </row>
    <row r="237" spans="1:19" s="150" customFormat="1" ht="15" customHeight="1" x14ac:dyDescent="0.25">
      <c r="C237" s="1356"/>
      <c r="D237" s="1356"/>
      <c r="E237" s="1356"/>
      <c r="F237" s="1356"/>
    </row>
    <row r="238" spans="1:19" s="150" customFormat="1" ht="15" customHeight="1" x14ac:dyDescent="0.25">
      <c r="C238" s="1356"/>
      <c r="D238" s="1356"/>
      <c r="E238" s="1356"/>
      <c r="F238" s="1356"/>
    </row>
    <row r="239" spans="1:19" s="150" customFormat="1" ht="15" customHeight="1" x14ac:dyDescent="0.25">
      <c r="C239" s="1356"/>
      <c r="D239" s="1356"/>
      <c r="E239" s="1356"/>
      <c r="F239" s="1356"/>
    </row>
    <row r="240" spans="1:19" s="150" customFormat="1" ht="15" customHeight="1" x14ac:dyDescent="0.25">
      <c r="C240" s="1356"/>
      <c r="D240" s="1356"/>
      <c r="E240" s="1356"/>
      <c r="F240" s="1356"/>
    </row>
    <row r="241" spans="3:6" s="150" customFormat="1" ht="15" customHeight="1" x14ac:dyDescent="0.25">
      <c r="C241" s="1356"/>
      <c r="D241" s="1356"/>
      <c r="E241" s="1356"/>
      <c r="F241" s="1356"/>
    </row>
    <row r="242" spans="3:6" s="150" customFormat="1" x14ac:dyDescent="0.25"/>
  </sheetData>
  <mergeCells count="7">
    <mergeCell ref="C231:F232"/>
    <mergeCell ref="C233:F241"/>
    <mergeCell ref="A228:S228"/>
    <mergeCell ref="A7:S7"/>
    <mergeCell ref="A30:S30"/>
    <mergeCell ref="A47:S47"/>
    <mergeCell ref="A73:S73"/>
  </mergeCells>
  <pageMargins left="0.511811024" right="0.511811024" top="0.78740157499999996" bottom="0.78740157499999996" header="0.31496062000000002" footer="0.31496062000000002"/>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4" r:id="rId4" name="Drop Down 4">
              <controlPr defaultSize="0" autoLine="0" autoPict="0">
                <anchor moveWithCells="1">
                  <from>
                    <xdr:col>14</xdr:col>
                    <xdr:colOff>466725</xdr:colOff>
                    <xdr:row>6</xdr:row>
                    <xdr:rowOff>47625</xdr:rowOff>
                  </from>
                  <to>
                    <xdr:col>16</xdr:col>
                    <xdr:colOff>66675</xdr:colOff>
                    <xdr:row>6</xdr:row>
                    <xdr:rowOff>228600</xdr:rowOff>
                  </to>
                </anchor>
              </controlPr>
            </control>
          </mc:Choice>
        </mc:AlternateContent>
        <mc:AlternateContent xmlns:mc="http://schemas.openxmlformats.org/markup-compatibility/2006">
          <mc:Choice Requires="x14">
            <control shapeId="10245" r:id="rId5" name="Drop Down 5">
              <controlPr defaultSize="0" autoLine="0" autoPict="0">
                <anchor moveWithCells="1">
                  <from>
                    <xdr:col>16</xdr:col>
                    <xdr:colOff>342900</xdr:colOff>
                    <xdr:row>6</xdr:row>
                    <xdr:rowOff>66675</xdr:rowOff>
                  </from>
                  <to>
                    <xdr:col>17</xdr:col>
                    <xdr:colOff>304800</xdr:colOff>
                    <xdr:row>6</xdr:row>
                    <xdr:rowOff>228600</xdr:rowOff>
                  </to>
                </anchor>
              </controlPr>
            </control>
          </mc:Choice>
        </mc:AlternateContent>
        <mc:AlternateContent xmlns:mc="http://schemas.openxmlformats.org/markup-compatibility/2006">
          <mc:Choice Requires="x14">
            <control shapeId="30" r:id="rId6" name="Drop Down 14">
              <controlPr defaultSize="0" autoLine="0" autoPict="0">
                <anchor moveWithCells="1">
                  <from>
                    <xdr:col>16</xdr:col>
                    <xdr:colOff>447675</xdr:colOff>
                    <xdr:row>29</xdr:row>
                    <xdr:rowOff>66675</xdr:rowOff>
                  </from>
                  <to>
                    <xdr:col>18</xdr:col>
                    <xdr:colOff>0</xdr:colOff>
                    <xdr:row>29</xdr:row>
                    <xdr:rowOff>257175</xdr:rowOff>
                  </to>
                </anchor>
              </controlPr>
            </control>
          </mc:Choice>
        </mc:AlternateContent>
        <mc:AlternateContent xmlns:mc="http://schemas.openxmlformats.org/markup-compatibility/2006">
          <mc:Choice Requires="x14">
            <control shapeId="38" r:id="rId7" name="Drop Down 15">
              <controlPr defaultSize="0" autoLine="0" autoPict="0">
                <anchor moveWithCells="1">
                  <from>
                    <xdr:col>14</xdr:col>
                    <xdr:colOff>466725</xdr:colOff>
                    <xdr:row>29</xdr:row>
                    <xdr:rowOff>66675</xdr:rowOff>
                  </from>
                  <to>
                    <xdr:col>16</xdr:col>
                    <xdr:colOff>142875</xdr:colOff>
                    <xdr:row>29</xdr:row>
                    <xdr:rowOff>257175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9074-CD73-40D8-80F1-159FF9D041C1}">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0EA"/>
  </sheetPr>
  <dimension ref="A1:G1281"/>
  <sheetViews>
    <sheetView zoomScale="130" zoomScaleNormal="130" zoomScalePageLayoutView="130" workbookViewId="0">
      <selection activeCell="K395" sqref="K395"/>
    </sheetView>
  </sheetViews>
  <sheetFormatPr defaultColWidth="8.85546875" defaultRowHeight="15" x14ac:dyDescent="0.25"/>
  <cols>
    <col min="1" max="1" width="25" customWidth="1"/>
    <col min="2" max="2" width="11.7109375" bestFit="1" customWidth="1"/>
    <col min="4" max="4" width="3.42578125" customWidth="1"/>
    <col min="5" max="5" width="18.42578125" customWidth="1"/>
    <col min="6" max="6" width="11" customWidth="1"/>
  </cols>
  <sheetData>
    <row r="1" spans="1:7" ht="15.75" thickBot="1" x14ac:dyDescent="0.3"/>
    <row r="2" spans="1:7" ht="16.5" thickBot="1" x14ac:dyDescent="0.3">
      <c r="A2" s="1368" t="s">
        <v>421</v>
      </c>
      <c r="B2" s="1369"/>
      <c r="C2" s="1369"/>
      <c r="D2" s="1369"/>
      <c r="E2" s="1369"/>
      <c r="F2" s="1369"/>
      <c r="G2" s="1370"/>
    </row>
    <row r="3" spans="1:7" x14ac:dyDescent="0.25">
      <c r="A3" s="37" t="s">
        <v>426</v>
      </c>
      <c r="B3" s="36"/>
      <c r="G3" s="35"/>
    </row>
    <row r="4" spans="1:7" ht="18.75" x14ac:dyDescent="0.3">
      <c r="A4" s="38" t="s">
        <v>388</v>
      </c>
      <c r="B4" s="54">
        <v>3600</v>
      </c>
      <c r="C4" s="36" t="s">
        <v>417</v>
      </c>
      <c r="D4" s="36"/>
      <c r="E4" t="s">
        <v>423</v>
      </c>
      <c r="F4">
        <f>B4</f>
        <v>3600</v>
      </c>
      <c r="G4" s="35"/>
    </row>
    <row r="5" spans="1:7" x14ac:dyDescent="0.25">
      <c r="A5" s="34" t="s">
        <v>132</v>
      </c>
      <c r="B5" s="36">
        <v>121</v>
      </c>
      <c r="C5" s="36" t="s">
        <v>417</v>
      </c>
      <c r="D5" s="36"/>
      <c r="E5" s="1366" t="s">
        <v>425</v>
      </c>
      <c r="F5" s="1366"/>
      <c r="G5" s="1367"/>
    </row>
    <row r="6" spans="1:7" x14ac:dyDescent="0.25">
      <c r="A6" s="34" t="s">
        <v>133</v>
      </c>
      <c r="B6" s="36"/>
      <c r="C6" s="36" t="s">
        <v>417</v>
      </c>
      <c r="D6" s="36"/>
      <c r="E6" s="48" t="s">
        <v>416</v>
      </c>
      <c r="F6" s="49">
        <v>0.5</v>
      </c>
      <c r="G6" s="50">
        <f>$F$4*F6</f>
        <v>1800</v>
      </c>
    </row>
    <row r="7" spans="1:7" x14ac:dyDescent="0.25">
      <c r="A7" s="34" t="s">
        <v>134</v>
      </c>
      <c r="B7" s="36"/>
      <c r="C7" s="36" t="s">
        <v>417</v>
      </c>
      <c r="D7" s="36"/>
      <c r="E7" s="48" t="s">
        <v>424</v>
      </c>
      <c r="F7" s="49">
        <v>0.4</v>
      </c>
      <c r="G7" s="50">
        <f>$F$4*F7</f>
        <v>1440</v>
      </c>
    </row>
    <row r="8" spans="1:7" x14ac:dyDescent="0.25">
      <c r="A8" s="34" t="s">
        <v>135</v>
      </c>
      <c r="B8" s="36"/>
      <c r="C8" s="36" t="s">
        <v>417</v>
      </c>
      <c r="D8" s="36"/>
      <c r="E8" s="48" t="s">
        <v>415</v>
      </c>
      <c r="F8" s="49">
        <v>0.1</v>
      </c>
      <c r="G8" s="50">
        <f>$F$4*F8</f>
        <v>360</v>
      </c>
    </row>
    <row r="9" spans="1:7" x14ac:dyDescent="0.25">
      <c r="A9" s="34" t="s">
        <v>136</v>
      </c>
      <c r="B9" s="36"/>
      <c r="C9" s="36" t="s">
        <v>417</v>
      </c>
      <c r="D9" s="36"/>
      <c r="E9" s="48" t="s">
        <v>404</v>
      </c>
      <c r="F9" s="49">
        <f>SUM(F6:F8)</f>
        <v>1</v>
      </c>
      <c r="G9" s="50">
        <f>$F$4*F9</f>
        <v>3600</v>
      </c>
    </row>
    <row r="10" spans="1:7" x14ac:dyDescent="0.25">
      <c r="A10" s="34" t="s">
        <v>137</v>
      </c>
      <c r="B10" s="36"/>
      <c r="C10" s="36" t="s">
        <v>417</v>
      </c>
      <c r="D10" s="36"/>
      <c r="G10" s="35"/>
    </row>
    <row r="11" spans="1:7" x14ac:dyDescent="0.25">
      <c r="A11" s="34" t="s">
        <v>138</v>
      </c>
      <c r="B11" s="36"/>
      <c r="C11" s="36" t="s">
        <v>417</v>
      </c>
      <c r="D11" s="36"/>
      <c r="E11" s="1365" t="s">
        <v>418</v>
      </c>
      <c r="F11" s="1365"/>
      <c r="G11" s="35"/>
    </row>
    <row r="12" spans="1:7" x14ac:dyDescent="0.25">
      <c r="A12" s="34" t="s">
        <v>139</v>
      </c>
      <c r="B12" s="36"/>
      <c r="C12" s="36" t="s">
        <v>417</v>
      </c>
      <c r="D12" s="36"/>
      <c r="E12" s="48"/>
      <c r="F12" s="48"/>
      <c r="G12" s="35"/>
    </row>
    <row r="13" spans="1:7" x14ac:dyDescent="0.25">
      <c r="A13" s="34" t="s">
        <v>140</v>
      </c>
      <c r="B13" s="36"/>
      <c r="C13" s="36" t="s">
        <v>417</v>
      </c>
      <c r="D13" s="36"/>
      <c r="E13" s="48" t="s">
        <v>423</v>
      </c>
      <c r="F13" s="51">
        <f>B18</f>
        <v>121</v>
      </c>
      <c r="G13" s="35"/>
    </row>
    <row r="14" spans="1:7" x14ac:dyDescent="0.25">
      <c r="A14" s="34" t="s">
        <v>141</v>
      </c>
      <c r="B14" s="36"/>
      <c r="C14" s="36" t="s">
        <v>417</v>
      </c>
      <c r="D14" s="36"/>
      <c r="E14" s="48" t="s">
        <v>418</v>
      </c>
      <c r="F14" s="52">
        <f>IF(F13&gt;F4,0,30)</f>
        <v>30</v>
      </c>
      <c r="G14" s="35"/>
    </row>
    <row r="15" spans="1:7" x14ac:dyDescent="0.25">
      <c r="A15" s="34" t="s">
        <v>142</v>
      </c>
      <c r="B15" s="36"/>
      <c r="C15" s="36" t="s">
        <v>417</v>
      </c>
      <c r="D15" s="36"/>
      <c r="E15" s="48" t="s">
        <v>419</v>
      </c>
      <c r="F15" s="53">
        <f>SUM(G6:G9)-F13-F14</f>
        <v>7049</v>
      </c>
      <c r="G15" s="35"/>
    </row>
    <row r="16" spans="1:7" x14ac:dyDescent="0.25">
      <c r="A16" s="34" t="s">
        <v>144</v>
      </c>
      <c r="B16" s="36"/>
      <c r="C16" s="36" t="s">
        <v>417</v>
      </c>
      <c r="D16" s="36"/>
      <c r="G16" s="35"/>
    </row>
    <row r="17" spans="1:7" ht="15.75" thickBot="1" x14ac:dyDescent="0.3">
      <c r="A17" s="1357"/>
      <c r="B17" s="1358"/>
      <c r="C17" s="1358"/>
      <c r="E17" s="39" t="s">
        <v>420</v>
      </c>
      <c r="G17" s="35"/>
    </row>
    <row r="18" spans="1:7" ht="15.75" thickBot="1" x14ac:dyDescent="0.3">
      <c r="A18" s="40" t="s">
        <v>422</v>
      </c>
      <c r="B18" s="42">
        <f>SUM(B5:B17)</f>
        <v>121</v>
      </c>
      <c r="C18" s="42" t="s">
        <v>417</v>
      </c>
      <c r="D18" s="41"/>
      <c r="E18" s="42">
        <f>IF(F13&gt;F4,"O Projetor atigiu o pior nível de Imagem! É necessário uma troca urgente!",B18)</f>
        <v>121</v>
      </c>
      <c r="F18" s="41"/>
      <c r="G18" s="43"/>
    </row>
    <row r="20" spans="1:7" ht="15.75" thickBot="1" x14ac:dyDescent="0.3"/>
    <row r="21" spans="1:7" ht="15.75" thickBot="1" x14ac:dyDescent="0.3">
      <c r="A21" s="1371" t="s">
        <v>427</v>
      </c>
      <c r="B21" s="1372"/>
      <c r="C21" s="1372"/>
      <c r="D21" s="1372"/>
      <c r="E21" s="1372"/>
      <c r="F21" s="1372"/>
      <c r="G21" s="1373"/>
    </row>
    <row r="22" spans="1:7" x14ac:dyDescent="0.25">
      <c r="A22" s="37" t="s">
        <v>426</v>
      </c>
      <c r="B22" s="36"/>
      <c r="G22" s="35"/>
    </row>
    <row r="23" spans="1:7" ht="18.75" x14ac:dyDescent="0.3">
      <c r="A23" s="38" t="s">
        <v>388</v>
      </c>
      <c r="B23" s="54">
        <v>3600</v>
      </c>
      <c r="C23" s="36" t="s">
        <v>417</v>
      </c>
      <c r="D23" s="36"/>
      <c r="E23" t="s">
        <v>423</v>
      </c>
      <c r="F23">
        <f>B23</f>
        <v>3600</v>
      </c>
      <c r="G23" s="35"/>
    </row>
    <row r="24" spans="1:7" x14ac:dyDescent="0.25">
      <c r="A24" s="34" t="s">
        <v>132</v>
      </c>
      <c r="B24" s="36">
        <v>121</v>
      </c>
      <c r="C24" s="36" t="s">
        <v>417</v>
      </c>
      <c r="D24" s="36"/>
      <c r="E24" s="1366" t="s">
        <v>425</v>
      </c>
      <c r="F24" s="1366"/>
      <c r="G24" s="1367"/>
    </row>
    <row r="25" spans="1:7" x14ac:dyDescent="0.25">
      <c r="A25" s="34" t="s">
        <v>133</v>
      </c>
      <c r="B25" s="36">
        <v>300</v>
      </c>
      <c r="C25" s="36" t="s">
        <v>417</v>
      </c>
      <c r="D25" s="36"/>
      <c r="E25" s="48" t="s">
        <v>416</v>
      </c>
      <c r="F25" s="49">
        <v>0.5</v>
      </c>
      <c r="G25" s="50">
        <f>$F$4*F25</f>
        <v>1800</v>
      </c>
    </row>
    <row r="26" spans="1:7" x14ac:dyDescent="0.25">
      <c r="A26" s="34" t="s">
        <v>134</v>
      </c>
      <c r="B26" s="36">
        <v>300</v>
      </c>
      <c r="C26" s="36" t="s">
        <v>417</v>
      </c>
      <c r="D26" s="36"/>
      <c r="E26" s="48" t="s">
        <v>424</v>
      </c>
      <c r="F26" s="49">
        <v>0.4</v>
      </c>
      <c r="G26" s="50">
        <f>$F$4*F26</f>
        <v>1440</v>
      </c>
    </row>
    <row r="27" spans="1:7" x14ac:dyDescent="0.25">
      <c r="A27" s="34" t="s">
        <v>135</v>
      </c>
      <c r="B27" s="36"/>
      <c r="C27" s="36" t="s">
        <v>417</v>
      </c>
      <c r="D27" s="36"/>
      <c r="E27" s="48" t="s">
        <v>415</v>
      </c>
      <c r="F27" s="49">
        <v>0.1</v>
      </c>
      <c r="G27" s="50">
        <f>$F$4*F27</f>
        <v>360</v>
      </c>
    </row>
    <row r="28" spans="1:7" x14ac:dyDescent="0.25">
      <c r="A28" s="34" t="s">
        <v>136</v>
      </c>
      <c r="B28" s="36"/>
      <c r="C28" s="36" t="s">
        <v>417</v>
      </c>
      <c r="D28" s="36"/>
      <c r="E28" s="48" t="s">
        <v>404</v>
      </c>
      <c r="F28" s="49">
        <f>SUM(F25:F27)</f>
        <v>1</v>
      </c>
      <c r="G28" s="50">
        <f>$F$4*F28</f>
        <v>3600</v>
      </c>
    </row>
    <row r="29" spans="1:7" x14ac:dyDescent="0.25">
      <c r="A29" s="34" t="s">
        <v>137</v>
      </c>
      <c r="B29" s="36"/>
      <c r="C29" s="36" t="s">
        <v>417</v>
      </c>
      <c r="D29" s="36"/>
      <c r="G29" s="35"/>
    </row>
    <row r="30" spans="1:7" x14ac:dyDescent="0.25">
      <c r="A30" s="34" t="s">
        <v>138</v>
      </c>
      <c r="B30" s="36"/>
      <c r="C30" s="36" t="s">
        <v>417</v>
      </c>
      <c r="D30" s="36"/>
      <c r="E30" s="1374" t="s">
        <v>418</v>
      </c>
      <c r="F30" s="1375"/>
      <c r="G30" s="35"/>
    </row>
    <row r="31" spans="1:7" x14ac:dyDescent="0.25">
      <c r="A31" s="34" t="s">
        <v>139</v>
      </c>
      <c r="B31" s="36"/>
      <c r="C31" s="36" t="s">
        <v>417</v>
      </c>
      <c r="D31" s="36"/>
      <c r="E31" s="48">
        <v>3</v>
      </c>
      <c r="F31" s="48"/>
      <c r="G31" s="35"/>
    </row>
    <row r="32" spans="1:7" x14ac:dyDescent="0.25">
      <c r="A32" s="34" t="s">
        <v>140</v>
      </c>
      <c r="B32" s="36"/>
      <c r="C32" s="36" t="s">
        <v>417</v>
      </c>
      <c r="D32" s="36"/>
      <c r="E32" s="48" t="s">
        <v>423</v>
      </c>
      <c r="F32" s="51">
        <f>B37</f>
        <v>721</v>
      </c>
      <c r="G32" s="35"/>
    </row>
    <row r="33" spans="1:7" x14ac:dyDescent="0.25">
      <c r="A33" s="34" t="s">
        <v>141</v>
      </c>
      <c r="B33" s="36"/>
      <c r="C33" s="36" t="s">
        <v>417</v>
      </c>
      <c r="D33" s="36"/>
      <c r="E33" s="48" t="s">
        <v>418</v>
      </c>
      <c r="F33" s="52">
        <f>IF(F32&gt;F23,0,30)</f>
        <v>30</v>
      </c>
      <c r="G33" s="35"/>
    </row>
    <row r="34" spans="1:7" x14ac:dyDescent="0.25">
      <c r="A34" s="34" t="s">
        <v>142</v>
      </c>
      <c r="B34" s="36"/>
      <c r="C34" s="36" t="s">
        <v>417</v>
      </c>
      <c r="D34" s="36"/>
      <c r="E34" s="48" t="s">
        <v>419</v>
      </c>
      <c r="F34" s="53">
        <f>SUM(G25:G28)-F32-F33</f>
        <v>6449</v>
      </c>
      <c r="G34" s="35"/>
    </row>
    <row r="35" spans="1:7" x14ac:dyDescent="0.25">
      <c r="A35" s="34" t="s">
        <v>144</v>
      </c>
      <c r="B35" s="36"/>
      <c r="C35" s="36" t="s">
        <v>417</v>
      </c>
      <c r="D35" s="36"/>
      <c r="G35" s="35"/>
    </row>
    <row r="36" spans="1:7" ht="15.75" thickBot="1" x14ac:dyDescent="0.3">
      <c r="A36" s="1357"/>
      <c r="B36" s="1358"/>
      <c r="C36" s="1358"/>
      <c r="E36" s="39" t="s">
        <v>420</v>
      </c>
      <c r="G36" s="35"/>
    </row>
    <row r="37" spans="1:7" ht="15.75" thickBot="1" x14ac:dyDescent="0.3">
      <c r="A37" s="40" t="s">
        <v>422</v>
      </c>
      <c r="B37" s="42">
        <f>SUM(B24:B36)</f>
        <v>721</v>
      </c>
      <c r="C37" s="42" t="s">
        <v>417</v>
      </c>
      <c r="D37" s="41"/>
      <c r="E37" s="42">
        <f>IF(F32&gt;F23,"O Projetor atigiu o pior nível de Imagem! É necessário uma troca urgente!",B37)</f>
        <v>721</v>
      </c>
      <c r="F37" s="41"/>
      <c r="G37" s="43"/>
    </row>
    <row r="38" spans="1:7" ht="15.75" thickBot="1" x14ac:dyDescent="0.3"/>
    <row r="39" spans="1:7" ht="15.75" thickBot="1" x14ac:dyDescent="0.3">
      <c r="A39" s="1371" t="s">
        <v>428</v>
      </c>
      <c r="B39" s="1372"/>
      <c r="C39" s="1372"/>
      <c r="D39" s="1372"/>
      <c r="E39" s="1372"/>
      <c r="F39" s="1372"/>
      <c r="G39" s="1373"/>
    </row>
    <row r="40" spans="1:7" x14ac:dyDescent="0.25">
      <c r="A40" s="37" t="s">
        <v>426</v>
      </c>
      <c r="B40" s="36"/>
      <c r="G40" s="35"/>
    </row>
    <row r="41" spans="1:7" ht="18.75" x14ac:dyDescent="0.3">
      <c r="A41" s="38" t="s">
        <v>388</v>
      </c>
      <c r="B41" s="54">
        <v>3600</v>
      </c>
      <c r="C41" s="36" t="s">
        <v>417</v>
      </c>
      <c r="D41" s="36"/>
      <c r="E41" t="s">
        <v>423</v>
      </c>
      <c r="F41">
        <f>B41</f>
        <v>3600</v>
      </c>
      <c r="G41" s="35"/>
    </row>
    <row r="42" spans="1:7" x14ac:dyDescent="0.25">
      <c r="A42" s="34" t="s">
        <v>132</v>
      </c>
      <c r="B42" s="36">
        <v>121</v>
      </c>
      <c r="C42" s="36" t="s">
        <v>417</v>
      </c>
      <c r="D42" s="36"/>
      <c r="E42" s="1366" t="s">
        <v>425</v>
      </c>
      <c r="F42" s="1366"/>
      <c r="G42" s="1367"/>
    </row>
    <row r="43" spans="1:7" x14ac:dyDescent="0.25">
      <c r="A43" s="34" t="s">
        <v>133</v>
      </c>
      <c r="B43" s="36"/>
      <c r="C43" s="36" t="s">
        <v>417</v>
      </c>
      <c r="D43" s="36"/>
      <c r="E43" s="48" t="s">
        <v>416</v>
      </c>
      <c r="F43" s="49">
        <v>0.5</v>
      </c>
      <c r="G43" s="50">
        <f>$F$4*F43</f>
        <v>1800</v>
      </c>
    </row>
    <row r="44" spans="1:7" x14ac:dyDescent="0.25">
      <c r="A44" s="34" t="s">
        <v>134</v>
      </c>
      <c r="B44" s="36"/>
      <c r="C44" s="36" t="s">
        <v>417</v>
      </c>
      <c r="D44" s="36"/>
      <c r="E44" s="48" t="s">
        <v>424</v>
      </c>
      <c r="F44" s="49">
        <v>0.4</v>
      </c>
      <c r="G44" s="50">
        <f>$F$4*F44</f>
        <v>1440</v>
      </c>
    </row>
    <row r="45" spans="1:7" x14ac:dyDescent="0.25">
      <c r="A45" s="34" t="s">
        <v>135</v>
      </c>
      <c r="B45" s="36"/>
      <c r="C45" s="36" t="s">
        <v>417</v>
      </c>
      <c r="D45" s="36"/>
      <c r="E45" s="48" t="s">
        <v>415</v>
      </c>
      <c r="F45" s="49">
        <v>0.1</v>
      </c>
      <c r="G45" s="50">
        <f>$F$4*F45</f>
        <v>360</v>
      </c>
    </row>
    <row r="46" spans="1:7" x14ac:dyDescent="0.25">
      <c r="A46" s="34" t="s">
        <v>136</v>
      </c>
      <c r="B46" s="36"/>
      <c r="C46" s="36" t="s">
        <v>417</v>
      </c>
      <c r="D46" s="36"/>
      <c r="E46" s="48" t="s">
        <v>404</v>
      </c>
      <c r="F46" s="49">
        <f>SUM(F43:F45)</f>
        <v>1</v>
      </c>
      <c r="G46" s="50">
        <f>$F$4*F46</f>
        <v>3600</v>
      </c>
    </row>
    <row r="47" spans="1:7" x14ac:dyDescent="0.25">
      <c r="A47" s="34" t="s">
        <v>137</v>
      </c>
      <c r="B47" s="36"/>
      <c r="C47" s="36" t="s">
        <v>417</v>
      </c>
      <c r="D47" s="36"/>
      <c r="G47" s="35"/>
    </row>
    <row r="48" spans="1:7" x14ac:dyDescent="0.25">
      <c r="A48" s="34" t="s">
        <v>138</v>
      </c>
      <c r="B48" s="36"/>
      <c r="C48" s="36" t="s">
        <v>417</v>
      </c>
      <c r="D48" s="36"/>
      <c r="E48" s="1365" t="s">
        <v>418</v>
      </c>
      <c r="F48" s="1365"/>
      <c r="G48" s="35"/>
    </row>
    <row r="49" spans="1:7" x14ac:dyDescent="0.25">
      <c r="A49" s="34" t="s">
        <v>139</v>
      </c>
      <c r="B49" s="36"/>
      <c r="C49" s="36" t="s">
        <v>417</v>
      </c>
      <c r="D49" s="36"/>
      <c r="E49" s="48"/>
      <c r="F49" s="48"/>
      <c r="G49" s="35"/>
    </row>
    <row r="50" spans="1:7" x14ac:dyDescent="0.25">
      <c r="A50" s="34" t="s">
        <v>140</v>
      </c>
      <c r="B50" s="36"/>
      <c r="C50" s="36" t="s">
        <v>417</v>
      </c>
      <c r="D50" s="36"/>
      <c r="E50" s="48" t="s">
        <v>423</v>
      </c>
      <c r="F50" s="51">
        <f>B55</f>
        <v>121</v>
      </c>
      <c r="G50" s="35"/>
    </row>
    <row r="51" spans="1:7" x14ac:dyDescent="0.25">
      <c r="A51" s="34" t="s">
        <v>141</v>
      </c>
      <c r="B51" s="36"/>
      <c r="C51" s="36" t="s">
        <v>417</v>
      </c>
      <c r="D51" s="36"/>
      <c r="E51" s="48" t="s">
        <v>418</v>
      </c>
      <c r="F51" s="52">
        <f>IF(F50&gt;F41,0,30)</f>
        <v>30</v>
      </c>
      <c r="G51" s="35"/>
    </row>
    <row r="52" spans="1:7" x14ac:dyDescent="0.25">
      <c r="A52" s="34" t="s">
        <v>142</v>
      </c>
      <c r="B52" s="36"/>
      <c r="C52" s="36" t="s">
        <v>417</v>
      </c>
      <c r="D52" s="36"/>
      <c r="E52" s="48" t="s">
        <v>419</v>
      </c>
      <c r="F52" s="53">
        <f>SUM(G43:G46)-F50-F51</f>
        <v>7049</v>
      </c>
      <c r="G52" s="35"/>
    </row>
    <row r="53" spans="1:7" x14ac:dyDescent="0.25">
      <c r="A53" s="34" t="s">
        <v>144</v>
      </c>
      <c r="B53" s="36"/>
      <c r="C53" s="36" t="s">
        <v>417</v>
      </c>
      <c r="D53" s="36"/>
      <c r="G53" s="35"/>
    </row>
    <row r="54" spans="1:7" ht="15.75" thickBot="1" x14ac:dyDescent="0.3">
      <c r="A54" s="1357"/>
      <c r="B54" s="1358"/>
      <c r="C54" s="1358"/>
      <c r="E54" s="39" t="s">
        <v>420</v>
      </c>
      <c r="G54" s="35"/>
    </row>
    <row r="55" spans="1:7" ht="15.75" thickBot="1" x14ac:dyDescent="0.3">
      <c r="A55" s="40" t="s">
        <v>422</v>
      </c>
      <c r="B55" s="42">
        <f>SUM(B42:B54)</f>
        <v>121</v>
      </c>
      <c r="C55" s="42" t="s">
        <v>417</v>
      </c>
      <c r="D55" s="41"/>
      <c r="E55" s="42">
        <f>IF(F50&gt;F41,"O Projetor atigiu o pior nível de Imagem! É necessário uma troca urgente!",B55)</f>
        <v>121</v>
      </c>
      <c r="F55" s="41"/>
      <c r="G55" s="43"/>
    </row>
    <row r="57" spans="1:7" ht="15.75" thickBot="1" x14ac:dyDescent="0.3"/>
    <row r="58" spans="1:7" ht="15.75" thickBot="1" x14ac:dyDescent="0.3">
      <c r="A58" s="1371" t="s">
        <v>429</v>
      </c>
      <c r="B58" s="1372"/>
      <c r="C58" s="1372"/>
      <c r="D58" s="1372"/>
      <c r="E58" s="1372"/>
      <c r="F58" s="1372"/>
      <c r="G58" s="1373"/>
    </row>
    <row r="59" spans="1:7" x14ac:dyDescent="0.25">
      <c r="A59" s="37" t="s">
        <v>426</v>
      </c>
      <c r="B59" s="36"/>
      <c r="G59" s="35"/>
    </row>
    <row r="60" spans="1:7" ht="18.75" x14ac:dyDescent="0.3">
      <c r="A60" s="38" t="s">
        <v>388</v>
      </c>
      <c r="B60" s="54">
        <v>3600</v>
      </c>
      <c r="C60" s="36" t="s">
        <v>417</v>
      </c>
      <c r="D60" s="36"/>
      <c r="E60" t="s">
        <v>423</v>
      </c>
      <c r="F60">
        <f>B60</f>
        <v>3600</v>
      </c>
      <c r="G60" s="35"/>
    </row>
    <row r="61" spans="1:7" x14ac:dyDescent="0.25">
      <c r="A61" s="34" t="s">
        <v>132</v>
      </c>
      <c r="B61" s="36">
        <v>121</v>
      </c>
      <c r="C61" s="36" t="s">
        <v>417</v>
      </c>
      <c r="D61" s="36"/>
      <c r="E61" s="1366" t="s">
        <v>425</v>
      </c>
      <c r="F61" s="1366"/>
      <c r="G61" s="1367"/>
    </row>
    <row r="62" spans="1:7" x14ac:dyDescent="0.25">
      <c r="A62" s="34" t="s">
        <v>133</v>
      </c>
      <c r="B62" s="36"/>
      <c r="C62" s="36" t="s">
        <v>417</v>
      </c>
      <c r="D62" s="36"/>
      <c r="E62" s="48" t="s">
        <v>416</v>
      </c>
      <c r="F62" s="49">
        <v>0.5</v>
      </c>
      <c r="G62" s="50">
        <f>$F$4*F62</f>
        <v>1800</v>
      </c>
    </row>
    <row r="63" spans="1:7" x14ac:dyDescent="0.25">
      <c r="A63" s="34" t="s">
        <v>134</v>
      </c>
      <c r="B63" s="36"/>
      <c r="C63" s="36" t="s">
        <v>417</v>
      </c>
      <c r="D63" s="36"/>
      <c r="E63" s="48" t="s">
        <v>424</v>
      </c>
      <c r="F63" s="49">
        <v>0.4</v>
      </c>
      <c r="G63" s="50">
        <f>$F$4*F63</f>
        <v>1440</v>
      </c>
    </row>
    <row r="64" spans="1:7" x14ac:dyDescent="0.25">
      <c r="A64" s="34" t="s">
        <v>135</v>
      </c>
      <c r="B64" s="36"/>
      <c r="C64" s="36" t="s">
        <v>417</v>
      </c>
      <c r="D64" s="36"/>
      <c r="E64" s="48" t="s">
        <v>415</v>
      </c>
      <c r="F64" s="49">
        <v>0.1</v>
      </c>
      <c r="G64" s="50">
        <f>$F$4*F64</f>
        <v>360</v>
      </c>
    </row>
    <row r="65" spans="1:7" x14ac:dyDescent="0.25">
      <c r="A65" s="34" t="s">
        <v>136</v>
      </c>
      <c r="B65" s="36"/>
      <c r="C65" s="36" t="s">
        <v>417</v>
      </c>
      <c r="D65" s="36"/>
      <c r="E65" s="48" t="s">
        <v>404</v>
      </c>
      <c r="F65" s="49">
        <f>SUM(F62:F64)</f>
        <v>1</v>
      </c>
      <c r="G65" s="50">
        <f>$F$4*F65</f>
        <v>3600</v>
      </c>
    </row>
    <row r="66" spans="1:7" x14ac:dyDescent="0.25">
      <c r="A66" s="34" t="s">
        <v>137</v>
      </c>
      <c r="B66" s="36"/>
      <c r="C66" s="36" t="s">
        <v>417</v>
      </c>
      <c r="D66" s="36"/>
      <c r="G66" s="35"/>
    </row>
    <row r="67" spans="1:7" x14ac:dyDescent="0.25">
      <c r="A67" s="34" t="s">
        <v>138</v>
      </c>
      <c r="B67" s="36"/>
      <c r="C67" s="36" t="s">
        <v>417</v>
      </c>
      <c r="D67" s="36"/>
      <c r="E67" s="1365" t="s">
        <v>418</v>
      </c>
      <c r="F67" s="1365"/>
      <c r="G67" s="35"/>
    </row>
    <row r="68" spans="1:7" x14ac:dyDescent="0.25">
      <c r="A68" s="34" t="s">
        <v>139</v>
      </c>
      <c r="B68" s="36"/>
      <c r="C68" s="36" t="s">
        <v>417</v>
      </c>
      <c r="D68" s="36"/>
      <c r="E68" s="48"/>
      <c r="F68" s="48"/>
      <c r="G68" s="35"/>
    </row>
    <row r="69" spans="1:7" x14ac:dyDescent="0.25">
      <c r="A69" s="34" t="s">
        <v>140</v>
      </c>
      <c r="B69" s="36"/>
      <c r="C69" s="36" t="s">
        <v>417</v>
      </c>
      <c r="D69" s="36"/>
      <c r="E69" s="48" t="s">
        <v>423</v>
      </c>
      <c r="F69" s="51">
        <f>B74</f>
        <v>121</v>
      </c>
      <c r="G69" s="35"/>
    </row>
    <row r="70" spans="1:7" x14ac:dyDescent="0.25">
      <c r="A70" s="34" t="s">
        <v>141</v>
      </c>
      <c r="B70" s="36"/>
      <c r="C70" s="36" t="s">
        <v>417</v>
      </c>
      <c r="D70" s="36"/>
      <c r="E70" s="48" t="s">
        <v>418</v>
      </c>
      <c r="F70" s="52">
        <f>IF(F69&gt;F60,0,30)</f>
        <v>30</v>
      </c>
      <c r="G70" s="35"/>
    </row>
    <row r="71" spans="1:7" x14ac:dyDescent="0.25">
      <c r="A71" s="34" t="s">
        <v>142</v>
      </c>
      <c r="B71" s="36"/>
      <c r="C71" s="36" t="s">
        <v>417</v>
      </c>
      <c r="D71" s="36"/>
      <c r="E71" s="48" t="s">
        <v>419</v>
      </c>
      <c r="F71" s="53">
        <f>SUM(G62:G65)-F69-F70</f>
        <v>7049</v>
      </c>
      <c r="G71" s="35"/>
    </row>
    <row r="72" spans="1:7" x14ac:dyDescent="0.25">
      <c r="A72" s="34" t="s">
        <v>144</v>
      </c>
      <c r="B72" s="36"/>
      <c r="C72" s="36" t="s">
        <v>417</v>
      </c>
      <c r="D72" s="36"/>
      <c r="G72" s="35"/>
    </row>
    <row r="73" spans="1:7" ht="15.75" thickBot="1" x14ac:dyDescent="0.3">
      <c r="A73" s="1357"/>
      <c r="B73" s="1358"/>
      <c r="C73" s="1358"/>
      <c r="E73" s="39" t="s">
        <v>420</v>
      </c>
      <c r="G73" s="35"/>
    </row>
    <row r="74" spans="1:7" ht="15.75" thickBot="1" x14ac:dyDescent="0.3">
      <c r="A74" s="40" t="s">
        <v>422</v>
      </c>
      <c r="B74" s="42">
        <f>SUM(B61:B73)</f>
        <v>121</v>
      </c>
      <c r="C74" s="42" t="s">
        <v>417</v>
      </c>
      <c r="D74" s="41"/>
      <c r="E74" s="42">
        <f>IF(F69&gt;F60,"O Projetor atigiu o pior nível de Imagem! É necessário uma troca urgente!",B74)</f>
        <v>121</v>
      </c>
      <c r="F74" s="41"/>
      <c r="G74" s="43"/>
    </row>
    <row r="76" spans="1:7" ht="15.75" thickBot="1" x14ac:dyDescent="0.3"/>
    <row r="77" spans="1:7" ht="15.75" thickBot="1" x14ac:dyDescent="0.3">
      <c r="A77" s="1371" t="s">
        <v>430</v>
      </c>
      <c r="B77" s="1372"/>
      <c r="C77" s="1372"/>
      <c r="D77" s="1372"/>
      <c r="E77" s="1372"/>
      <c r="F77" s="1372"/>
      <c r="G77" s="1373"/>
    </row>
    <row r="78" spans="1:7" x14ac:dyDescent="0.25">
      <c r="A78" s="37" t="s">
        <v>426</v>
      </c>
      <c r="B78" s="36"/>
      <c r="G78" s="35"/>
    </row>
    <row r="79" spans="1:7" ht="18.75" x14ac:dyDescent="0.3">
      <c r="A79" s="38" t="s">
        <v>388</v>
      </c>
      <c r="B79" s="54">
        <v>3600</v>
      </c>
      <c r="C79" s="36" t="s">
        <v>417</v>
      </c>
      <c r="D79" s="36"/>
      <c r="E79" t="s">
        <v>423</v>
      </c>
      <c r="F79">
        <f>B79</f>
        <v>3600</v>
      </c>
      <c r="G79" s="35"/>
    </row>
    <row r="80" spans="1:7" x14ac:dyDescent="0.25">
      <c r="A80" s="34" t="s">
        <v>132</v>
      </c>
      <c r="B80" s="36">
        <v>121</v>
      </c>
      <c r="C80" s="36" t="s">
        <v>417</v>
      </c>
      <c r="D80" s="36"/>
      <c r="E80" s="1366" t="s">
        <v>425</v>
      </c>
      <c r="F80" s="1366"/>
      <c r="G80" s="1367"/>
    </row>
    <row r="81" spans="1:7" x14ac:dyDescent="0.25">
      <c r="A81" s="34" t="s">
        <v>133</v>
      </c>
      <c r="B81" s="36">
        <v>300</v>
      </c>
      <c r="C81" s="36" t="s">
        <v>417</v>
      </c>
      <c r="D81" s="36"/>
      <c r="E81" s="48" t="s">
        <v>416</v>
      </c>
      <c r="F81" s="49">
        <v>0.5</v>
      </c>
      <c r="G81" s="50">
        <f>$F$4*F81</f>
        <v>1800</v>
      </c>
    </row>
    <row r="82" spans="1:7" x14ac:dyDescent="0.25">
      <c r="A82" s="34" t="s">
        <v>134</v>
      </c>
      <c r="B82" s="36">
        <v>300</v>
      </c>
      <c r="C82" s="36" t="s">
        <v>417</v>
      </c>
      <c r="D82" s="36"/>
      <c r="E82" s="48" t="s">
        <v>424</v>
      </c>
      <c r="F82" s="49">
        <v>0.4</v>
      </c>
      <c r="G82" s="50">
        <f>$F$4*F82</f>
        <v>1440</v>
      </c>
    </row>
    <row r="83" spans="1:7" x14ac:dyDescent="0.25">
      <c r="A83" s="34" t="s">
        <v>135</v>
      </c>
      <c r="B83" s="36">
        <v>300</v>
      </c>
      <c r="C83" s="36" t="s">
        <v>417</v>
      </c>
      <c r="D83" s="36"/>
      <c r="E83" s="48" t="s">
        <v>415</v>
      </c>
      <c r="F83" s="49">
        <v>0.1</v>
      </c>
      <c r="G83" s="50">
        <f>$F$4*F83</f>
        <v>360</v>
      </c>
    </row>
    <row r="84" spans="1:7" x14ac:dyDescent="0.25">
      <c r="A84" s="34" t="s">
        <v>136</v>
      </c>
      <c r="B84" s="36">
        <v>300</v>
      </c>
      <c r="C84" s="36" t="s">
        <v>417</v>
      </c>
      <c r="D84" s="36"/>
      <c r="E84" s="48" t="s">
        <v>404</v>
      </c>
      <c r="F84" s="49">
        <f>SUM(F81:F83)</f>
        <v>1</v>
      </c>
      <c r="G84" s="50">
        <f>$F$4*F84</f>
        <v>3600</v>
      </c>
    </row>
    <row r="85" spans="1:7" x14ac:dyDescent="0.25">
      <c r="A85" s="34" t="s">
        <v>137</v>
      </c>
      <c r="B85" s="36">
        <v>350</v>
      </c>
      <c r="C85" s="36" t="s">
        <v>417</v>
      </c>
      <c r="D85" s="36"/>
      <c r="G85" s="35"/>
    </row>
    <row r="86" spans="1:7" x14ac:dyDescent="0.25">
      <c r="A86" s="34" t="s">
        <v>138</v>
      </c>
      <c r="B86" s="36"/>
      <c r="C86" s="36" t="s">
        <v>417</v>
      </c>
      <c r="D86" s="36"/>
      <c r="E86" s="1365" t="s">
        <v>418</v>
      </c>
      <c r="F86" s="1365"/>
      <c r="G86" s="35"/>
    </row>
    <row r="87" spans="1:7" x14ac:dyDescent="0.25">
      <c r="A87" s="34" t="s">
        <v>139</v>
      </c>
      <c r="B87" s="36"/>
      <c r="C87" s="36" t="s">
        <v>417</v>
      </c>
      <c r="D87" s="36"/>
      <c r="E87" s="48"/>
      <c r="F87" s="48"/>
      <c r="G87" s="35"/>
    </row>
    <row r="88" spans="1:7" x14ac:dyDescent="0.25">
      <c r="A88" s="34" t="s">
        <v>140</v>
      </c>
      <c r="B88" s="36"/>
      <c r="C88" s="36" t="s">
        <v>417</v>
      </c>
      <c r="D88" s="36"/>
      <c r="E88" s="48" t="s">
        <v>423</v>
      </c>
      <c r="F88" s="51">
        <f>B93</f>
        <v>1671</v>
      </c>
      <c r="G88" s="35"/>
    </row>
    <row r="89" spans="1:7" x14ac:dyDescent="0.25">
      <c r="A89" s="34" t="s">
        <v>141</v>
      </c>
      <c r="B89" s="36"/>
      <c r="C89" s="36" t="s">
        <v>417</v>
      </c>
      <c r="D89" s="36"/>
      <c r="E89" s="48" t="s">
        <v>418</v>
      </c>
      <c r="F89" s="52">
        <v>30</v>
      </c>
      <c r="G89" s="35"/>
    </row>
    <row r="90" spans="1:7" x14ac:dyDescent="0.25">
      <c r="A90" s="34" t="s">
        <v>142</v>
      </c>
      <c r="B90" s="36"/>
      <c r="C90" s="36" t="s">
        <v>417</v>
      </c>
      <c r="D90" s="36"/>
      <c r="E90" s="48" t="s">
        <v>419</v>
      </c>
      <c r="F90" s="53">
        <f>SUM(G81:G84)-F88-F89</f>
        <v>5499</v>
      </c>
      <c r="G90" s="35"/>
    </row>
    <row r="91" spans="1:7" x14ac:dyDescent="0.25">
      <c r="A91" s="34" t="s">
        <v>144</v>
      </c>
      <c r="B91" s="36"/>
      <c r="C91" s="36" t="s">
        <v>417</v>
      </c>
      <c r="D91" s="36"/>
      <c r="G91" s="35"/>
    </row>
    <row r="92" spans="1:7" ht="15.75" thickBot="1" x14ac:dyDescent="0.3">
      <c r="A92" s="1357"/>
      <c r="B92" s="1358"/>
      <c r="C92" s="1358"/>
      <c r="E92" s="39" t="s">
        <v>420</v>
      </c>
      <c r="G92" s="35"/>
    </row>
    <row r="93" spans="1:7" ht="15.75" thickBot="1" x14ac:dyDescent="0.3">
      <c r="A93" s="40" t="s">
        <v>422</v>
      </c>
      <c r="B93" s="42">
        <f>SUM(B80:B92)</f>
        <v>1671</v>
      </c>
      <c r="C93" s="42" t="s">
        <v>417</v>
      </c>
      <c r="D93" s="41"/>
      <c r="E93" s="42">
        <f>IF(F88&gt;F79,"O Projetor atigiu o pior nível de Imagem! É necessário uma troca urgente!",B93)</f>
        <v>1671</v>
      </c>
      <c r="F93" s="41"/>
      <c r="G93" s="43"/>
    </row>
    <row r="95" spans="1:7" ht="15.75" thickBot="1" x14ac:dyDescent="0.3"/>
    <row r="96" spans="1:7" ht="15.75" thickBot="1" x14ac:dyDescent="0.3">
      <c r="A96" s="1371" t="s">
        <v>431</v>
      </c>
      <c r="B96" s="1372"/>
      <c r="C96" s="1372"/>
      <c r="D96" s="1372"/>
      <c r="E96" s="1372"/>
      <c r="F96" s="1372"/>
      <c r="G96" s="1373"/>
    </row>
    <row r="97" spans="1:7" x14ac:dyDescent="0.25">
      <c r="A97" s="37" t="s">
        <v>426</v>
      </c>
      <c r="B97" s="36"/>
      <c r="G97" s="35"/>
    </row>
    <row r="98" spans="1:7" ht="18.75" x14ac:dyDescent="0.3">
      <c r="A98" s="38" t="s">
        <v>388</v>
      </c>
      <c r="B98" s="54">
        <v>3600</v>
      </c>
      <c r="C98" s="36" t="s">
        <v>417</v>
      </c>
      <c r="D98" s="36"/>
      <c r="E98" t="s">
        <v>423</v>
      </c>
      <c r="F98">
        <f>B98</f>
        <v>3600</v>
      </c>
      <c r="G98" s="35"/>
    </row>
    <row r="99" spans="1:7" x14ac:dyDescent="0.25">
      <c r="A99" s="34" t="s">
        <v>132</v>
      </c>
      <c r="B99" s="36">
        <v>121</v>
      </c>
      <c r="C99" s="36" t="s">
        <v>417</v>
      </c>
      <c r="D99" s="36"/>
      <c r="E99" s="1366" t="s">
        <v>425</v>
      </c>
      <c r="F99" s="1366"/>
      <c r="G99" s="1367"/>
    </row>
    <row r="100" spans="1:7" x14ac:dyDescent="0.25">
      <c r="A100" s="34" t="s">
        <v>133</v>
      </c>
      <c r="B100" s="36">
        <v>300</v>
      </c>
      <c r="C100" s="36" t="s">
        <v>417</v>
      </c>
      <c r="D100" s="36"/>
      <c r="E100" s="48" t="s">
        <v>416</v>
      </c>
      <c r="F100" s="49">
        <v>0.5</v>
      </c>
      <c r="G100" s="50">
        <f>$F$4*F100</f>
        <v>1800</v>
      </c>
    </row>
    <row r="101" spans="1:7" x14ac:dyDescent="0.25">
      <c r="A101" s="34" t="s">
        <v>134</v>
      </c>
      <c r="B101" s="36"/>
      <c r="C101" s="36" t="s">
        <v>417</v>
      </c>
      <c r="D101" s="36"/>
      <c r="E101" s="48" t="s">
        <v>424</v>
      </c>
      <c r="F101" s="49">
        <v>0.4</v>
      </c>
      <c r="G101" s="50">
        <f>$F$4*F101</f>
        <v>1440</v>
      </c>
    </row>
    <row r="102" spans="1:7" x14ac:dyDescent="0.25">
      <c r="A102" s="34" t="s">
        <v>135</v>
      </c>
      <c r="B102" s="36"/>
      <c r="C102" s="36" t="s">
        <v>417</v>
      </c>
      <c r="D102" s="36"/>
      <c r="E102" s="48" t="s">
        <v>415</v>
      </c>
      <c r="F102" s="49">
        <v>0.1</v>
      </c>
      <c r="G102" s="50">
        <f>$F$4*F102</f>
        <v>360</v>
      </c>
    </row>
    <row r="103" spans="1:7" x14ac:dyDescent="0.25">
      <c r="A103" s="34" t="s">
        <v>136</v>
      </c>
      <c r="B103" s="36"/>
      <c r="C103" s="36" t="s">
        <v>417</v>
      </c>
      <c r="D103" s="36"/>
      <c r="E103" s="48" t="s">
        <v>404</v>
      </c>
      <c r="F103" s="49">
        <f>SUM(F100:F102)</f>
        <v>1</v>
      </c>
      <c r="G103" s="50">
        <f>$F$4*F103</f>
        <v>3600</v>
      </c>
    </row>
    <row r="104" spans="1:7" x14ac:dyDescent="0.25">
      <c r="A104" s="34" t="s">
        <v>137</v>
      </c>
      <c r="B104" s="36"/>
      <c r="C104" s="36" t="s">
        <v>417</v>
      </c>
      <c r="D104" s="36"/>
      <c r="G104" s="35"/>
    </row>
    <row r="105" spans="1:7" x14ac:dyDescent="0.25">
      <c r="A105" s="34" t="s">
        <v>138</v>
      </c>
      <c r="B105" s="36"/>
      <c r="C105" s="36" t="s">
        <v>417</v>
      </c>
      <c r="D105" s="36"/>
      <c r="E105" s="1365" t="s">
        <v>418</v>
      </c>
      <c r="F105" s="1365"/>
      <c r="G105" s="35"/>
    </row>
    <row r="106" spans="1:7" x14ac:dyDescent="0.25">
      <c r="A106" s="34" t="s">
        <v>139</v>
      </c>
      <c r="B106" s="36"/>
      <c r="C106" s="36" t="s">
        <v>417</v>
      </c>
      <c r="D106" s="36"/>
      <c r="E106" s="48"/>
      <c r="F106" s="48"/>
      <c r="G106" s="35"/>
    </row>
    <row r="107" spans="1:7" x14ac:dyDescent="0.25">
      <c r="A107" s="34" t="s">
        <v>140</v>
      </c>
      <c r="B107" s="36"/>
      <c r="C107" s="36" t="s">
        <v>417</v>
      </c>
      <c r="D107" s="36"/>
      <c r="E107" s="48" t="s">
        <v>423</v>
      </c>
      <c r="F107" s="51">
        <f>B112</f>
        <v>421</v>
      </c>
      <c r="G107" s="35"/>
    </row>
    <row r="108" spans="1:7" x14ac:dyDescent="0.25">
      <c r="A108" s="34" t="s">
        <v>141</v>
      </c>
      <c r="B108" s="36"/>
      <c r="C108" s="36" t="s">
        <v>417</v>
      </c>
      <c r="D108" s="36"/>
      <c r="E108" s="48" t="s">
        <v>418</v>
      </c>
      <c r="F108" s="52">
        <v>30</v>
      </c>
      <c r="G108" s="35"/>
    </row>
    <row r="109" spans="1:7" x14ac:dyDescent="0.25">
      <c r="A109" s="34" t="s">
        <v>142</v>
      </c>
      <c r="B109" s="36"/>
      <c r="C109" s="36" t="s">
        <v>417</v>
      </c>
      <c r="D109" s="36"/>
      <c r="E109" s="48" t="s">
        <v>419</v>
      </c>
      <c r="F109" s="53">
        <f>SUM(G100:G103)-F107-F108</f>
        <v>6749</v>
      </c>
      <c r="G109" s="35"/>
    </row>
    <row r="110" spans="1:7" x14ac:dyDescent="0.25">
      <c r="A110" s="34" t="s">
        <v>144</v>
      </c>
      <c r="B110" s="36"/>
      <c r="C110" s="36" t="s">
        <v>417</v>
      </c>
      <c r="D110" s="36"/>
      <c r="G110" s="35"/>
    </row>
    <row r="111" spans="1:7" ht="15.75" thickBot="1" x14ac:dyDescent="0.3">
      <c r="A111" s="1357"/>
      <c r="B111" s="1358"/>
      <c r="C111" s="1358"/>
      <c r="E111" s="39" t="s">
        <v>420</v>
      </c>
      <c r="G111" s="35"/>
    </row>
    <row r="112" spans="1:7" ht="15.75" thickBot="1" x14ac:dyDescent="0.3">
      <c r="A112" s="40" t="s">
        <v>422</v>
      </c>
      <c r="B112" s="42">
        <f>SUM(B99:B111)</f>
        <v>421</v>
      </c>
      <c r="C112" s="42" t="s">
        <v>417</v>
      </c>
      <c r="D112" s="41"/>
      <c r="E112" s="42">
        <f>IF(F107&gt;F98,"O Projetor atigiu o pior nível de Imagem! É necessário uma troca urgente!",B112)</f>
        <v>421</v>
      </c>
      <c r="F112" s="41"/>
      <c r="G112" s="43"/>
    </row>
    <row r="114" spans="1:7" ht="15.75" thickBot="1" x14ac:dyDescent="0.3"/>
    <row r="115" spans="1:7" ht="15.75" thickBot="1" x14ac:dyDescent="0.3">
      <c r="A115" s="1371" t="s">
        <v>432</v>
      </c>
      <c r="B115" s="1372"/>
      <c r="C115" s="1372"/>
      <c r="D115" s="1372"/>
      <c r="E115" s="1372"/>
      <c r="F115" s="1372"/>
      <c r="G115" s="1373"/>
    </row>
    <row r="116" spans="1:7" x14ac:dyDescent="0.25">
      <c r="A116" s="37" t="s">
        <v>426</v>
      </c>
      <c r="B116" s="36"/>
      <c r="G116" s="35"/>
    </row>
    <row r="117" spans="1:7" ht="18.75" x14ac:dyDescent="0.3">
      <c r="A117" s="38" t="s">
        <v>388</v>
      </c>
      <c r="B117" s="54">
        <v>3600</v>
      </c>
      <c r="C117" s="36" t="s">
        <v>417</v>
      </c>
      <c r="D117" s="36"/>
      <c r="E117" t="s">
        <v>423</v>
      </c>
      <c r="F117">
        <f>B117</f>
        <v>3600</v>
      </c>
      <c r="G117" s="35"/>
    </row>
    <row r="118" spans="1:7" x14ac:dyDescent="0.25">
      <c r="A118" s="34" t="s">
        <v>132</v>
      </c>
      <c r="B118" s="36">
        <v>121</v>
      </c>
      <c r="C118" s="36" t="s">
        <v>417</v>
      </c>
      <c r="D118" s="36"/>
      <c r="E118" s="1366" t="s">
        <v>425</v>
      </c>
      <c r="F118" s="1366"/>
      <c r="G118" s="1367"/>
    </row>
    <row r="119" spans="1:7" x14ac:dyDescent="0.25">
      <c r="A119" s="34" t="s">
        <v>133</v>
      </c>
      <c r="B119" s="36"/>
      <c r="C119" s="36" t="s">
        <v>417</v>
      </c>
      <c r="D119" s="36"/>
      <c r="E119" s="48" t="s">
        <v>416</v>
      </c>
      <c r="F119" s="49">
        <v>0.5</v>
      </c>
      <c r="G119" s="50">
        <f>$F$4*F119</f>
        <v>1800</v>
      </c>
    </row>
    <row r="120" spans="1:7" x14ac:dyDescent="0.25">
      <c r="A120" s="34" t="s">
        <v>134</v>
      </c>
      <c r="B120" s="36"/>
      <c r="C120" s="36" t="s">
        <v>417</v>
      </c>
      <c r="D120" s="36"/>
      <c r="E120" s="48" t="s">
        <v>424</v>
      </c>
      <c r="F120" s="49">
        <v>0.4</v>
      </c>
      <c r="G120" s="50">
        <f>$F$4*F120</f>
        <v>1440</v>
      </c>
    </row>
    <row r="121" spans="1:7" x14ac:dyDescent="0.25">
      <c r="A121" s="34" t="s">
        <v>135</v>
      </c>
      <c r="B121" s="36"/>
      <c r="C121" s="36" t="s">
        <v>417</v>
      </c>
      <c r="D121" s="36"/>
      <c r="E121" s="48" t="s">
        <v>415</v>
      </c>
      <c r="F121" s="49">
        <v>0.1</v>
      </c>
      <c r="G121" s="50">
        <f>$F$4*F121</f>
        <v>360</v>
      </c>
    </row>
    <row r="122" spans="1:7" x14ac:dyDescent="0.25">
      <c r="A122" s="34" t="s">
        <v>136</v>
      </c>
      <c r="B122" s="36"/>
      <c r="C122" s="36" t="s">
        <v>417</v>
      </c>
      <c r="D122" s="36"/>
      <c r="E122" s="48" t="s">
        <v>404</v>
      </c>
      <c r="F122" s="49">
        <f>SUM(F119:F121)</f>
        <v>1</v>
      </c>
      <c r="G122" s="50">
        <f>$F$4*F122</f>
        <v>3600</v>
      </c>
    </row>
    <row r="123" spans="1:7" x14ac:dyDescent="0.25">
      <c r="A123" s="34" t="s">
        <v>137</v>
      </c>
      <c r="B123" s="36"/>
      <c r="C123" s="36" t="s">
        <v>417</v>
      </c>
      <c r="D123" s="36"/>
      <c r="G123" s="35"/>
    </row>
    <row r="124" spans="1:7" x14ac:dyDescent="0.25">
      <c r="A124" s="34" t="s">
        <v>138</v>
      </c>
      <c r="B124" s="36"/>
      <c r="C124" s="36" t="s">
        <v>417</v>
      </c>
      <c r="D124" s="36"/>
      <c r="E124" s="1365" t="s">
        <v>418</v>
      </c>
      <c r="F124" s="1365"/>
      <c r="G124" s="35"/>
    </row>
    <row r="125" spans="1:7" x14ac:dyDescent="0.25">
      <c r="A125" s="34" t="s">
        <v>139</v>
      </c>
      <c r="B125" s="36"/>
      <c r="C125" s="36" t="s">
        <v>417</v>
      </c>
      <c r="D125" s="36"/>
      <c r="E125" s="48"/>
      <c r="F125" s="48"/>
      <c r="G125" s="35"/>
    </row>
    <row r="126" spans="1:7" x14ac:dyDescent="0.25">
      <c r="A126" s="34" t="s">
        <v>140</v>
      </c>
      <c r="B126" s="36"/>
      <c r="C126" s="36" t="s">
        <v>417</v>
      </c>
      <c r="D126" s="36"/>
      <c r="E126" s="48" t="s">
        <v>423</v>
      </c>
      <c r="F126" s="51">
        <f>B131</f>
        <v>121</v>
      </c>
      <c r="G126" s="35"/>
    </row>
    <row r="127" spans="1:7" x14ac:dyDescent="0.25">
      <c r="A127" s="34" t="s">
        <v>141</v>
      </c>
      <c r="B127" s="36"/>
      <c r="C127" s="36" t="s">
        <v>417</v>
      </c>
      <c r="D127" s="36"/>
      <c r="E127" s="48" t="s">
        <v>418</v>
      </c>
      <c r="F127" s="52">
        <v>30</v>
      </c>
      <c r="G127" s="35"/>
    </row>
    <row r="128" spans="1:7" x14ac:dyDescent="0.25">
      <c r="A128" s="34" t="s">
        <v>142</v>
      </c>
      <c r="B128" s="36"/>
      <c r="C128" s="36" t="s">
        <v>417</v>
      </c>
      <c r="D128" s="36"/>
      <c r="E128" s="48" t="s">
        <v>419</v>
      </c>
      <c r="F128" s="53">
        <f>SUM(G119:G122)-F126-F127</f>
        <v>7049</v>
      </c>
      <c r="G128" s="35"/>
    </row>
    <row r="129" spans="1:7" x14ac:dyDescent="0.25">
      <c r="A129" s="34" t="s">
        <v>144</v>
      </c>
      <c r="B129" s="36"/>
      <c r="C129" s="36" t="s">
        <v>417</v>
      </c>
      <c r="D129" s="36"/>
      <c r="G129" s="35"/>
    </row>
    <row r="130" spans="1:7" ht="15.75" thickBot="1" x14ac:dyDescent="0.3">
      <c r="A130" s="1357"/>
      <c r="B130" s="1358"/>
      <c r="C130" s="1358"/>
      <c r="E130" s="39" t="s">
        <v>420</v>
      </c>
      <c r="G130" s="35"/>
    </row>
    <row r="131" spans="1:7" ht="15.75" thickBot="1" x14ac:dyDescent="0.3">
      <c r="A131" s="40" t="s">
        <v>422</v>
      </c>
      <c r="B131" s="42">
        <f>SUM(B118:B130)</f>
        <v>121</v>
      </c>
      <c r="C131" s="42" t="s">
        <v>417</v>
      </c>
      <c r="D131" s="41"/>
      <c r="E131" s="42">
        <f>IF(F126&gt;F117,"O Projetor atigiu o pior nível de Imagem! É necessário uma troca urgente!",B131)</f>
        <v>121</v>
      </c>
      <c r="F131" s="41"/>
      <c r="G131" s="43"/>
    </row>
    <row r="133" spans="1:7" ht="15.75" thickBot="1" x14ac:dyDescent="0.3"/>
    <row r="134" spans="1:7" ht="15.75" thickBot="1" x14ac:dyDescent="0.3">
      <c r="A134" s="1371" t="s">
        <v>433</v>
      </c>
      <c r="B134" s="1372"/>
      <c r="C134" s="1372"/>
      <c r="D134" s="1372"/>
      <c r="E134" s="1372"/>
      <c r="F134" s="1372"/>
      <c r="G134" s="1373"/>
    </row>
    <row r="135" spans="1:7" x14ac:dyDescent="0.25">
      <c r="A135" s="37" t="s">
        <v>426</v>
      </c>
      <c r="B135" s="36"/>
      <c r="G135" s="35"/>
    </row>
    <row r="136" spans="1:7" ht="18.75" x14ac:dyDescent="0.3">
      <c r="A136" s="38" t="s">
        <v>388</v>
      </c>
      <c r="B136" s="54">
        <v>3600</v>
      </c>
      <c r="C136" s="36" t="s">
        <v>417</v>
      </c>
      <c r="D136" s="36"/>
      <c r="E136" t="s">
        <v>423</v>
      </c>
      <c r="F136">
        <f>B136</f>
        <v>3600</v>
      </c>
      <c r="G136" s="35"/>
    </row>
    <row r="137" spans="1:7" x14ac:dyDescent="0.25">
      <c r="A137" s="34" t="s">
        <v>132</v>
      </c>
      <c r="B137" s="36">
        <v>121</v>
      </c>
      <c r="C137" s="36" t="s">
        <v>417</v>
      </c>
      <c r="D137" s="36"/>
      <c r="E137" s="1366" t="s">
        <v>425</v>
      </c>
      <c r="F137" s="1366"/>
      <c r="G137" s="1367"/>
    </row>
    <row r="138" spans="1:7" x14ac:dyDescent="0.25">
      <c r="A138" s="34" t="s">
        <v>133</v>
      </c>
      <c r="B138" s="36">
        <v>300</v>
      </c>
      <c r="C138" s="36" t="s">
        <v>417</v>
      </c>
      <c r="D138" s="36"/>
      <c r="E138" s="48" t="s">
        <v>416</v>
      </c>
      <c r="F138" s="49">
        <v>0.5</v>
      </c>
      <c r="G138" s="50">
        <f>$F$4*F138</f>
        <v>1800</v>
      </c>
    </row>
    <row r="139" spans="1:7" x14ac:dyDescent="0.25">
      <c r="A139" s="34" t="s">
        <v>134</v>
      </c>
      <c r="B139" s="36">
        <v>300</v>
      </c>
      <c r="C139" s="36" t="s">
        <v>417</v>
      </c>
      <c r="D139" s="36"/>
      <c r="E139" s="48" t="s">
        <v>424</v>
      </c>
      <c r="F139" s="49">
        <v>0.4</v>
      </c>
      <c r="G139" s="50">
        <f>$F$4*F139</f>
        <v>1440</v>
      </c>
    </row>
    <row r="140" spans="1:7" x14ac:dyDescent="0.25">
      <c r="A140" s="34" t="s">
        <v>135</v>
      </c>
      <c r="B140" s="36"/>
      <c r="C140" s="36" t="s">
        <v>417</v>
      </c>
      <c r="D140" s="36"/>
      <c r="E140" s="48" t="s">
        <v>415</v>
      </c>
      <c r="F140" s="49">
        <v>0.1</v>
      </c>
      <c r="G140" s="50">
        <f>$F$4*F140</f>
        <v>360</v>
      </c>
    </row>
    <row r="141" spans="1:7" x14ac:dyDescent="0.25">
      <c r="A141" s="34" t="s">
        <v>136</v>
      </c>
      <c r="B141" s="36"/>
      <c r="C141" s="36" t="s">
        <v>417</v>
      </c>
      <c r="D141" s="36"/>
      <c r="E141" s="48" t="s">
        <v>404</v>
      </c>
      <c r="F141" s="49">
        <f>SUM(F138:F140)</f>
        <v>1</v>
      </c>
      <c r="G141" s="50">
        <f>$F$4*F141</f>
        <v>3600</v>
      </c>
    </row>
    <row r="142" spans="1:7" x14ac:dyDescent="0.25">
      <c r="A142" s="34" t="s">
        <v>137</v>
      </c>
      <c r="B142" s="36"/>
      <c r="C142" s="36" t="s">
        <v>417</v>
      </c>
      <c r="D142" s="36"/>
      <c r="G142" s="35"/>
    </row>
    <row r="143" spans="1:7" x14ac:dyDescent="0.25">
      <c r="A143" s="34" t="s">
        <v>138</v>
      </c>
      <c r="B143" s="36"/>
      <c r="C143" s="36" t="s">
        <v>417</v>
      </c>
      <c r="D143" s="36"/>
      <c r="E143" s="1365" t="s">
        <v>418</v>
      </c>
      <c r="F143" s="1365"/>
      <c r="G143" s="35"/>
    </row>
    <row r="144" spans="1:7" x14ac:dyDescent="0.25">
      <c r="A144" s="34" t="s">
        <v>139</v>
      </c>
      <c r="B144" s="36"/>
      <c r="C144" s="36" t="s">
        <v>417</v>
      </c>
      <c r="D144" s="36"/>
      <c r="E144" s="48"/>
      <c r="F144" s="48"/>
      <c r="G144" s="35"/>
    </row>
    <row r="145" spans="1:7" x14ac:dyDescent="0.25">
      <c r="A145" s="34" t="s">
        <v>140</v>
      </c>
      <c r="B145" s="36"/>
      <c r="C145" s="36" t="s">
        <v>417</v>
      </c>
      <c r="D145" s="36"/>
      <c r="E145" s="48" t="s">
        <v>423</v>
      </c>
      <c r="F145" s="51">
        <f>B150</f>
        <v>721</v>
      </c>
      <c r="G145" s="35"/>
    </row>
    <row r="146" spans="1:7" x14ac:dyDescent="0.25">
      <c r="A146" s="34" t="s">
        <v>141</v>
      </c>
      <c r="B146" s="36"/>
      <c r="C146" s="36" t="s">
        <v>417</v>
      </c>
      <c r="D146" s="36"/>
      <c r="E146" s="48" t="s">
        <v>418</v>
      </c>
      <c r="F146" s="52">
        <v>30</v>
      </c>
      <c r="G146" s="35"/>
    </row>
    <row r="147" spans="1:7" x14ac:dyDescent="0.25">
      <c r="A147" s="34" t="s">
        <v>142</v>
      </c>
      <c r="B147" s="36"/>
      <c r="C147" s="36" t="s">
        <v>417</v>
      </c>
      <c r="D147" s="36"/>
      <c r="E147" s="48" t="s">
        <v>419</v>
      </c>
      <c r="F147" s="53">
        <f>SUM(G138:G141)-F145-F146</f>
        <v>6449</v>
      </c>
      <c r="G147" s="35"/>
    </row>
    <row r="148" spans="1:7" x14ac:dyDescent="0.25">
      <c r="A148" s="34" t="s">
        <v>144</v>
      </c>
      <c r="B148" s="36"/>
      <c r="C148" s="36" t="s">
        <v>417</v>
      </c>
      <c r="D148" s="36"/>
      <c r="G148" s="35"/>
    </row>
    <row r="149" spans="1:7" ht="15.75" thickBot="1" x14ac:dyDescent="0.3">
      <c r="A149" s="1357"/>
      <c r="B149" s="1358"/>
      <c r="C149" s="1358"/>
      <c r="E149" s="39" t="s">
        <v>420</v>
      </c>
      <c r="G149" s="35"/>
    </row>
    <row r="150" spans="1:7" ht="15.75" thickBot="1" x14ac:dyDescent="0.3">
      <c r="A150" s="40" t="s">
        <v>422</v>
      </c>
      <c r="B150" s="42">
        <f>SUM(B137:B149)</f>
        <v>721</v>
      </c>
      <c r="C150" s="42" t="s">
        <v>417</v>
      </c>
      <c r="D150" s="41"/>
      <c r="E150" s="42">
        <f>IF(F145&gt;F136,"O Projetor atigiu o pior nível de Imagem! É necessário uma troca urgente!",B150)</f>
        <v>721</v>
      </c>
      <c r="F150" s="41"/>
      <c r="G150" s="43"/>
    </row>
    <row r="152" spans="1:7" ht="15.75" thickBot="1" x14ac:dyDescent="0.3"/>
    <row r="153" spans="1:7" ht="15.75" thickBot="1" x14ac:dyDescent="0.3">
      <c r="A153" s="1376" t="s">
        <v>434</v>
      </c>
      <c r="B153" s="1377"/>
      <c r="C153" s="1377"/>
      <c r="D153" s="1377"/>
      <c r="E153" s="1377"/>
      <c r="F153" s="1377"/>
      <c r="G153" s="1378"/>
    </row>
    <row r="154" spans="1:7" x14ac:dyDescent="0.25">
      <c r="A154" s="37" t="s">
        <v>426</v>
      </c>
      <c r="B154" s="36"/>
      <c r="G154" s="35"/>
    </row>
    <row r="155" spans="1:7" ht="18.75" x14ac:dyDescent="0.3">
      <c r="A155" s="38" t="s">
        <v>388</v>
      </c>
      <c r="B155" s="54">
        <v>3600</v>
      </c>
      <c r="C155" s="36" t="s">
        <v>417</v>
      </c>
      <c r="D155" s="36"/>
      <c r="E155" t="s">
        <v>423</v>
      </c>
      <c r="F155">
        <f>B155</f>
        <v>3600</v>
      </c>
      <c r="G155" s="35"/>
    </row>
    <row r="156" spans="1:7" x14ac:dyDescent="0.25">
      <c r="A156" s="34" t="s">
        <v>132</v>
      </c>
      <c r="B156" s="36">
        <v>301</v>
      </c>
      <c r="C156" s="36" t="s">
        <v>417</v>
      </c>
      <c r="D156" s="36"/>
      <c r="E156" s="1366" t="s">
        <v>425</v>
      </c>
      <c r="F156" s="1366"/>
      <c r="G156" s="1367"/>
    </row>
    <row r="157" spans="1:7" x14ac:dyDescent="0.25">
      <c r="A157" s="34" t="s">
        <v>133</v>
      </c>
      <c r="B157" s="36">
        <v>300</v>
      </c>
      <c r="C157" s="36" t="s">
        <v>417</v>
      </c>
      <c r="D157" s="36"/>
      <c r="E157" s="48" t="s">
        <v>416</v>
      </c>
      <c r="F157" s="49">
        <v>0.5</v>
      </c>
      <c r="G157" s="50">
        <f>$F$4*F157</f>
        <v>1800</v>
      </c>
    </row>
    <row r="158" spans="1:7" x14ac:dyDescent="0.25">
      <c r="A158" s="34" t="s">
        <v>134</v>
      </c>
      <c r="B158" s="36">
        <v>300</v>
      </c>
      <c r="C158" s="36" t="s">
        <v>417</v>
      </c>
      <c r="D158" s="36"/>
      <c r="E158" s="48" t="s">
        <v>424</v>
      </c>
      <c r="F158" s="49">
        <v>0.4</v>
      </c>
      <c r="G158" s="50">
        <f>$F$4*F158</f>
        <v>1440</v>
      </c>
    </row>
    <row r="159" spans="1:7" x14ac:dyDescent="0.25">
      <c r="A159" s="34" t="s">
        <v>135</v>
      </c>
      <c r="B159" s="36">
        <v>300</v>
      </c>
      <c r="C159" s="36" t="s">
        <v>417</v>
      </c>
      <c r="D159" s="36"/>
      <c r="E159" s="48" t="s">
        <v>415</v>
      </c>
      <c r="F159" s="49">
        <v>0.1</v>
      </c>
      <c r="G159" s="50">
        <f>$F$4*F159</f>
        <v>360</v>
      </c>
    </row>
    <row r="160" spans="1:7" x14ac:dyDescent="0.25">
      <c r="A160" s="34" t="s">
        <v>136</v>
      </c>
      <c r="B160" s="36">
        <v>300</v>
      </c>
      <c r="C160" s="36" t="s">
        <v>417</v>
      </c>
      <c r="D160" s="36"/>
      <c r="E160" s="48" t="s">
        <v>404</v>
      </c>
      <c r="F160" s="49">
        <f>SUM(F157:F159)</f>
        <v>1</v>
      </c>
      <c r="G160" s="50">
        <f>$F$4*F160</f>
        <v>3600</v>
      </c>
    </row>
    <row r="161" spans="1:7" x14ac:dyDescent="0.25">
      <c r="A161" s="34" t="s">
        <v>137</v>
      </c>
      <c r="B161" s="36">
        <v>300</v>
      </c>
      <c r="C161" s="36" t="s">
        <v>417</v>
      </c>
      <c r="D161" s="36"/>
      <c r="G161" s="35"/>
    </row>
    <row r="162" spans="1:7" x14ac:dyDescent="0.25">
      <c r="A162" s="34" t="s">
        <v>138</v>
      </c>
      <c r="B162" s="36">
        <v>300</v>
      </c>
      <c r="C162" s="36" t="s">
        <v>417</v>
      </c>
      <c r="D162" s="36"/>
      <c r="E162" s="1365" t="s">
        <v>418</v>
      </c>
      <c r="F162" s="1365"/>
      <c r="G162" s="35"/>
    </row>
    <row r="163" spans="1:7" x14ac:dyDescent="0.25">
      <c r="A163" s="34" t="s">
        <v>139</v>
      </c>
      <c r="B163" s="36">
        <v>300</v>
      </c>
      <c r="C163" s="36" t="s">
        <v>417</v>
      </c>
      <c r="D163" s="36"/>
      <c r="E163" s="48"/>
      <c r="F163" s="48"/>
      <c r="G163" s="35"/>
    </row>
    <row r="164" spans="1:7" x14ac:dyDescent="0.25">
      <c r="A164" s="34" t="s">
        <v>140</v>
      </c>
      <c r="B164" s="36">
        <v>300</v>
      </c>
      <c r="C164" s="36" t="s">
        <v>417</v>
      </c>
      <c r="D164" s="36"/>
      <c r="E164" s="48" t="s">
        <v>423</v>
      </c>
      <c r="F164" s="51">
        <f>B169</f>
        <v>2701</v>
      </c>
      <c r="G164" s="35"/>
    </row>
    <row r="165" spans="1:7" x14ac:dyDescent="0.25">
      <c r="A165" s="34" t="s">
        <v>141</v>
      </c>
      <c r="B165" s="36"/>
      <c r="C165" s="36" t="s">
        <v>417</v>
      </c>
      <c r="D165" s="36"/>
      <c r="E165" s="48" t="s">
        <v>418</v>
      </c>
      <c r="F165" s="52">
        <v>30</v>
      </c>
      <c r="G165" s="35"/>
    </row>
    <row r="166" spans="1:7" x14ac:dyDescent="0.25">
      <c r="A166" s="34" t="s">
        <v>142</v>
      </c>
      <c r="B166" s="36"/>
      <c r="C166" s="36" t="s">
        <v>417</v>
      </c>
      <c r="D166" s="36"/>
      <c r="E166" s="48" t="s">
        <v>419</v>
      </c>
      <c r="F166" s="53">
        <f>SUM(G157:G160)-F164-F165</f>
        <v>4469</v>
      </c>
      <c r="G166" s="35"/>
    </row>
    <row r="167" spans="1:7" x14ac:dyDescent="0.25">
      <c r="A167" s="34" t="s">
        <v>144</v>
      </c>
      <c r="B167" s="36"/>
      <c r="C167" s="36" t="s">
        <v>417</v>
      </c>
      <c r="D167" s="36"/>
      <c r="G167" s="35"/>
    </row>
    <row r="168" spans="1:7" ht="15.75" thickBot="1" x14ac:dyDescent="0.3">
      <c r="A168" s="1357"/>
      <c r="B168" s="1358"/>
      <c r="C168" s="1358"/>
      <c r="E168" s="39" t="s">
        <v>420</v>
      </c>
      <c r="G168" s="35"/>
    </row>
    <row r="169" spans="1:7" ht="15.75" thickBot="1" x14ac:dyDescent="0.3">
      <c r="A169" s="40" t="s">
        <v>422</v>
      </c>
      <c r="B169" s="42">
        <f>SUM(B156:B168)</f>
        <v>2701</v>
      </c>
      <c r="C169" s="42" t="s">
        <v>417</v>
      </c>
      <c r="D169" s="41"/>
      <c r="E169" s="42">
        <f>IF(F164&gt;F155,"O Projetor atigiu o pior nível de Imagem! É necessário uma troca urgente!",B169)</f>
        <v>2701</v>
      </c>
      <c r="F169" s="41"/>
      <c r="G169" s="43"/>
    </row>
    <row r="171" spans="1:7" ht="15.75" thickBot="1" x14ac:dyDescent="0.3"/>
    <row r="172" spans="1:7" ht="15.75" thickBot="1" x14ac:dyDescent="0.3">
      <c r="A172" s="1376" t="s">
        <v>435</v>
      </c>
      <c r="B172" s="1377"/>
      <c r="C172" s="1377"/>
      <c r="D172" s="1377"/>
      <c r="E172" s="1377"/>
      <c r="F172" s="1377"/>
      <c r="G172" s="1378"/>
    </row>
    <row r="173" spans="1:7" x14ac:dyDescent="0.25">
      <c r="A173" s="37" t="s">
        <v>426</v>
      </c>
      <c r="B173" s="36"/>
      <c r="G173" s="35"/>
    </row>
    <row r="174" spans="1:7" ht="18.75" x14ac:dyDescent="0.3">
      <c r="A174" s="38" t="s">
        <v>388</v>
      </c>
      <c r="B174" s="54">
        <v>3600</v>
      </c>
      <c r="C174" s="36" t="s">
        <v>417</v>
      </c>
      <c r="D174" s="36"/>
      <c r="E174" t="s">
        <v>423</v>
      </c>
      <c r="F174">
        <f>B174</f>
        <v>3600</v>
      </c>
      <c r="G174" s="35"/>
    </row>
    <row r="175" spans="1:7" x14ac:dyDescent="0.25">
      <c r="A175" s="34" t="s">
        <v>132</v>
      </c>
      <c r="B175" s="36">
        <v>301</v>
      </c>
      <c r="C175" s="36" t="s">
        <v>417</v>
      </c>
      <c r="D175" s="36"/>
      <c r="E175" s="1366" t="s">
        <v>425</v>
      </c>
      <c r="F175" s="1366"/>
      <c r="G175" s="1367"/>
    </row>
    <row r="176" spans="1:7" x14ac:dyDescent="0.25">
      <c r="A176" s="34" t="s">
        <v>133</v>
      </c>
      <c r="B176" s="36">
        <v>300</v>
      </c>
      <c r="C176" s="36" t="s">
        <v>417</v>
      </c>
      <c r="D176" s="36"/>
      <c r="E176" s="48" t="s">
        <v>416</v>
      </c>
      <c r="F176" s="49">
        <v>0.5</v>
      </c>
      <c r="G176" s="50">
        <f>$F$4*F176</f>
        <v>1800</v>
      </c>
    </row>
    <row r="177" spans="1:7" x14ac:dyDescent="0.25">
      <c r="A177" s="34" t="s">
        <v>134</v>
      </c>
      <c r="B177" s="36">
        <v>300</v>
      </c>
      <c r="C177" s="36" t="s">
        <v>417</v>
      </c>
      <c r="D177" s="36"/>
      <c r="E177" s="48" t="s">
        <v>424</v>
      </c>
      <c r="F177" s="49">
        <v>0.4</v>
      </c>
      <c r="G177" s="50">
        <f>$F$4*F177</f>
        <v>1440</v>
      </c>
    </row>
    <row r="178" spans="1:7" x14ac:dyDescent="0.25">
      <c r="A178" s="34" t="s">
        <v>135</v>
      </c>
      <c r="B178" s="36">
        <v>300</v>
      </c>
      <c r="C178" s="36" t="s">
        <v>417</v>
      </c>
      <c r="D178" s="36"/>
      <c r="E178" s="48" t="s">
        <v>415</v>
      </c>
      <c r="F178" s="49">
        <v>0.1</v>
      </c>
      <c r="G178" s="50">
        <f>$F$4*F178</f>
        <v>360</v>
      </c>
    </row>
    <row r="179" spans="1:7" x14ac:dyDescent="0.25">
      <c r="A179" s="34" t="s">
        <v>136</v>
      </c>
      <c r="B179" s="36">
        <v>300</v>
      </c>
      <c r="C179" s="36" t="s">
        <v>417</v>
      </c>
      <c r="D179" s="36"/>
      <c r="E179" s="48" t="s">
        <v>404</v>
      </c>
      <c r="F179" s="49">
        <f>SUM(F176:F178)</f>
        <v>1</v>
      </c>
      <c r="G179" s="50">
        <f>$F$4*F179</f>
        <v>3600</v>
      </c>
    </row>
    <row r="180" spans="1:7" x14ac:dyDescent="0.25">
      <c r="A180" s="34" t="s">
        <v>137</v>
      </c>
      <c r="B180" s="36">
        <v>300</v>
      </c>
      <c r="C180" s="36" t="s">
        <v>417</v>
      </c>
      <c r="D180" s="36"/>
      <c r="G180" s="35"/>
    </row>
    <row r="181" spans="1:7" x14ac:dyDescent="0.25">
      <c r="A181" s="34" t="s">
        <v>138</v>
      </c>
      <c r="B181" s="36">
        <v>300</v>
      </c>
      <c r="C181" s="36" t="s">
        <v>417</v>
      </c>
      <c r="D181" s="36"/>
      <c r="E181" s="1365" t="s">
        <v>418</v>
      </c>
      <c r="F181" s="1365"/>
      <c r="G181" s="35"/>
    </row>
    <row r="182" spans="1:7" x14ac:dyDescent="0.25">
      <c r="A182" s="34" t="s">
        <v>139</v>
      </c>
      <c r="B182" s="36">
        <v>300</v>
      </c>
      <c r="C182" s="36" t="s">
        <v>417</v>
      </c>
      <c r="D182" s="36"/>
      <c r="E182" s="48"/>
      <c r="F182" s="48"/>
      <c r="G182" s="35"/>
    </row>
    <row r="183" spans="1:7" x14ac:dyDescent="0.25">
      <c r="A183" s="34" t="s">
        <v>140</v>
      </c>
      <c r="B183" s="36">
        <v>300</v>
      </c>
      <c r="C183" s="36" t="s">
        <v>417</v>
      </c>
      <c r="D183" s="36"/>
      <c r="E183" s="48" t="s">
        <v>423</v>
      </c>
      <c r="F183" s="51">
        <f>B188</f>
        <v>2701</v>
      </c>
      <c r="G183" s="35"/>
    </row>
    <row r="184" spans="1:7" x14ac:dyDescent="0.25">
      <c r="A184" s="34" t="s">
        <v>141</v>
      </c>
      <c r="B184" s="36"/>
      <c r="C184" s="36" t="s">
        <v>417</v>
      </c>
      <c r="D184" s="36"/>
      <c r="E184" s="48" t="s">
        <v>418</v>
      </c>
      <c r="F184" s="52">
        <v>30</v>
      </c>
      <c r="G184" s="35"/>
    </row>
    <row r="185" spans="1:7" x14ac:dyDescent="0.25">
      <c r="A185" s="34" t="s">
        <v>142</v>
      </c>
      <c r="B185" s="36"/>
      <c r="C185" s="36" t="s">
        <v>417</v>
      </c>
      <c r="D185" s="36"/>
      <c r="E185" s="48" t="s">
        <v>419</v>
      </c>
      <c r="F185" s="53">
        <f>SUM(G176:G179)-F183-F184</f>
        <v>4469</v>
      </c>
      <c r="G185" s="35"/>
    </row>
    <row r="186" spans="1:7" x14ac:dyDescent="0.25">
      <c r="A186" s="34" t="s">
        <v>144</v>
      </c>
      <c r="B186" s="36"/>
      <c r="C186" s="36" t="s">
        <v>417</v>
      </c>
      <c r="D186" s="36"/>
      <c r="G186" s="35"/>
    </row>
    <row r="187" spans="1:7" ht="15.75" thickBot="1" x14ac:dyDescent="0.3">
      <c r="A187" s="1357"/>
      <c r="B187" s="1358"/>
      <c r="C187" s="1358"/>
      <c r="E187" s="39" t="s">
        <v>420</v>
      </c>
      <c r="G187" s="35"/>
    </row>
    <row r="188" spans="1:7" ht="15.75" thickBot="1" x14ac:dyDescent="0.3">
      <c r="A188" s="40" t="s">
        <v>422</v>
      </c>
      <c r="B188" s="42">
        <f>SUM(B175:B187)</f>
        <v>2701</v>
      </c>
      <c r="C188" s="42" t="s">
        <v>417</v>
      </c>
      <c r="D188" s="41"/>
      <c r="E188" s="42">
        <f>IF(F183&gt;F174,"O Projetor atigiu o pior nível de Imagem! É necessário uma troca urgente!",B188)</f>
        <v>2701</v>
      </c>
      <c r="F188" s="41"/>
      <c r="G188" s="43"/>
    </row>
    <row r="190" spans="1:7" ht="15.75" thickBot="1" x14ac:dyDescent="0.3"/>
    <row r="191" spans="1:7" ht="15.75" thickBot="1" x14ac:dyDescent="0.3">
      <c r="A191" s="1376" t="s">
        <v>436</v>
      </c>
      <c r="B191" s="1377"/>
      <c r="C191" s="1377"/>
      <c r="D191" s="1377"/>
      <c r="E191" s="1377"/>
      <c r="F191" s="1377"/>
      <c r="G191" s="1378"/>
    </row>
    <row r="192" spans="1:7" x14ac:dyDescent="0.25">
      <c r="A192" s="37" t="s">
        <v>426</v>
      </c>
      <c r="B192" s="36"/>
      <c r="G192" s="35"/>
    </row>
    <row r="193" spans="1:7" ht="18.75" x14ac:dyDescent="0.3">
      <c r="A193" s="38" t="s">
        <v>388</v>
      </c>
      <c r="B193" s="54">
        <v>3600</v>
      </c>
      <c r="C193" s="36" t="s">
        <v>417</v>
      </c>
      <c r="D193" s="36"/>
      <c r="E193" t="s">
        <v>423</v>
      </c>
      <c r="F193">
        <f>B193</f>
        <v>3600</v>
      </c>
      <c r="G193" s="35"/>
    </row>
    <row r="194" spans="1:7" x14ac:dyDescent="0.25">
      <c r="A194" s="34" t="s">
        <v>132</v>
      </c>
      <c r="B194" s="36">
        <v>301</v>
      </c>
      <c r="C194" s="36" t="s">
        <v>417</v>
      </c>
      <c r="D194" s="36"/>
      <c r="E194" s="1366" t="s">
        <v>425</v>
      </c>
      <c r="F194" s="1366"/>
      <c r="G194" s="1367"/>
    </row>
    <row r="195" spans="1:7" x14ac:dyDescent="0.25">
      <c r="A195" s="34" t="s">
        <v>133</v>
      </c>
      <c r="B195" s="36">
        <v>300</v>
      </c>
      <c r="C195" s="36" t="s">
        <v>417</v>
      </c>
      <c r="D195" s="36"/>
      <c r="E195" s="48" t="s">
        <v>416</v>
      </c>
      <c r="F195" s="49">
        <v>0.5</v>
      </c>
      <c r="G195" s="50">
        <f>$F$4*F195</f>
        <v>1800</v>
      </c>
    </row>
    <row r="196" spans="1:7" x14ac:dyDescent="0.25">
      <c r="A196" s="34" t="s">
        <v>134</v>
      </c>
      <c r="B196" s="36">
        <v>300</v>
      </c>
      <c r="C196" s="36" t="s">
        <v>417</v>
      </c>
      <c r="D196" s="36"/>
      <c r="E196" s="48" t="s">
        <v>424</v>
      </c>
      <c r="F196" s="49">
        <v>0.4</v>
      </c>
      <c r="G196" s="50">
        <f>$F$4*F196</f>
        <v>1440</v>
      </c>
    </row>
    <row r="197" spans="1:7" x14ac:dyDescent="0.25">
      <c r="A197" s="34" t="s">
        <v>135</v>
      </c>
      <c r="B197" s="36">
        <v>300</v>
      </c>
      <c r="C197" s="36" t="s">
        <v>417</v>
      </c>
      <c r="D197" s="36"/>
      <c r="E197" s="48" t="s">
        <v>415</v>
      </c>
      <c r="F197" s="49">
        <v>0.1</v>
      </c>
      <c r="G197" s="50">
        <f>$F$4*F197</f>
        <v>360</v>
      </c>
    </row>
    <row r="198" spans="1:7" x14ac:dyDescent="0.25">
      <c r="A198" s="34" t="s">
        <v>136</v>
      </c>
      <c r="B198" s="36">
        <v>300</v>
      </c>
      <c r="C198" s="36" t="s">
        <v>417</v>
      </c>
      <c r="D198" s="36"/>
      <c r="E198" s="48" t="s">
        <v>404</v>
      </c>
      <c r="F198" s="49">
        <f>SUM(F195:F197)</f>
        <v>1</v>
      </c>
      <c r="G198" s="50">
        <f>$F$4*F198</f>
        <v>3600</v>
      </c>
    </row>
    <row r="199" spans="1:7" x14ac:dyDescent="0.25">
      <c r="A199" s="34" t="s">
        <v>137</v>
      </c>
      <c r="B199" s="36">
        <v>300</v>
      </c>
      <c r="C199" s="36" t="s">
        <v>417</v>
      </c>
      <c r="D199" s="36"/>
      <c r="G199" s="35"/>
    </row>
    <row r="200" spans="1:7" x14ac:dyDescent="0.25">
      <c r="A200" s="34" t="s">
        <v>138</v>
      </c>
      <c r="B200" s="36">
        <v>300</v>
      </c>
      <c r="C200" s="36" t="s">
        <v>417</v>
      </c>
      <c r="D200" s="36"/>
      <c r="E200" s="1365" t="s">
        <v>418</v>
      </c>
      <c r="F200" s="1365"/>
      <c r="G200" s="35"/>
    </row>
    <row r="201" spans="1:7" x14ac:dyDescent="0.25">
      <c r="A201" s="34" t="s">
        <v>139</v>
      </c>
      <c r="B201" s="36">
        <v>300</v>
      </c>
      <c r="C201" s="36" t="s">
        <v>417</v>
      </c>
      <c r="D201" s="36"/>
      <c r="E201" s="48"/>
      <c r="F201" s="48"/>
      <c r="G201" s="35"/>
    </row>
    <row r="202" spans="1:7" x14ac:dyDescent="0.25">
      <c r="A202" s="34" t="s">
        <v>140</v>
      </c>
      <c r="B202" s="36">
        <v>300</v>
      </c>
      <c r="C202" s="36" t="s">
        <v>417</v>
      </c>
      <c r="D202" s="36"/>
      <c r="E202" s="48" t="s">
        <v>423</v>
      </c>
      <c r="F202" s="51">
        <f>B207</f>
        <v>2851</v>
      </c>
      <c r="G202" s="35"/>
    </row>
    <row r="203" spans="1:7" x14ac:dyDescent="0.25">
      <c r="A203" s="34" t="s">
        <v>141</v>
      </c>
      <c r="B203" s="36">
        <v>150</v>
      </c>
      <c r="C203" s="36" t="s">
        <v>417</v>
      </c>
      <c r="D203" s="36"/>
      <c r="E203" s="48" t="s">
        <v>418</v>
      </c>
      <c r="F203" s="52">
        <v>30</v>
      </c>
      <c r="G203" s="35"/>
    </row>
    <row r="204" spans="1:7" x14ac:dyDescent="0.25">
      <c r="A204" s="34" t="s">
        <v>142</v>
      </c>
      <c r="B204" s="36"/>
      <c r="C204" s="36" t="s">
        <v>417</v>
      </c>
      <c r="D204" s="36"/>
      <c r="E204" s="48" t="s">
        <v>419</v>
      </c>
      <c r="F204" s="53">
        <f>SUM(G195:G198)-F202-F203</f>
        <v>4319</v>
      </c>
      <c r="G204" s="35"/>
    </row>
    <row r="205" spans="1:7" x14ac:dyDescent="0.25">
      <c r="A205" s="34" t="s">
        <v>144</v>
      </c>
      <c r="B205" s="36"/>
      <c r="C205" s="36" t="s">
        <v>417</v>
      </c>
      <c r="D205" s="36"/>
      <c r="G205" s="35"/>
    </row>
    <row r="206" spans="1:7" ht="15.75" thickBot="1" x14ac:dyDescent="0.3">
      <c r="A206" s="1357"/>
      <c r="B206" s="1358"/>
      <c r="C206" s="1358"/>
      <c r="E206" s="39" t="s">
        <v>420</v>
      </c>
      <c r="G206" s="35"/>
    </row>
    <row r="207" spans="1:7" ht="15.75" thickBot="1" x14ac:dyDescent="0.3">
      <c r="A207" s="40" t="s">
        <v>422</v>
      </c>
      <c r="B207" s="42">
        <f>SUM(B194:B206)</f>
        <v>2851</v>
      </c>
      <c r="C207" s="42" t="s">
        <v>417</v>
      </c>
      <c r="D207" s="41"/>
      <c r="E207" s="42">
        <f>IF(F202&gt;F193,"O Projetor atigiu o pior nível de Imagem! É necessário uma troca urgente!",B207)</f>
        <v>2851</v>
      </c>
      <c r="F207" s="41"/>
      <c r="G207" s="43"/>
    </row>
    <row r="209" spans="1:7" ht="15.75" thickBot="1" x14ac:dyDescent="0.3"/>
    <row r="210" spans="1:7" ht="15.75" thickBot="1" x14ac:dyDescent="0.3">
      <c r="A210" s="1376" t="s">
        <v>437</v>
      </c>
      <c r="B210" s="1377"/>
      <c r="C210" s="1377"/>
      <c r="D210" s="1377"/>
      <c r="E210" s="1377"/>
      <c r="F210" s="1377"/>
      <c r="G210" s="1378"/>
    </row>
    <row r="211" spans="1:7" x14ac:dyDescent="0.25">
      <c r="A211" s="37" t="s">
        <v>426</v>
      </c>
      <c r="B211" s="36"/>
      <c r="G211" s="35"/>
    </row>
    <row r="212" spans="1:7" ht="18.75" x14ac:dyDescent="0.3">
      <c r="A212" s="38" t="s">
        <v>388</v>
      </c>
      <c r="B212" s="54">
        <v>3600</v>
      </c>
      <c r="C212" s="36" t="s">
        <v>417</v>
      </c>
      <c r="D212" s="36"/>
      <c r="E212" t="s">
        <v>423</v>
      </c>
      <c r="F212">
        <f>B212</f>
        <v>3600</v>
      </c>
      <c r="G212" s="35"/>
    </row>
    <row r="213" spans="1:7" x14ac:dyDescent="0.25">
      <c r="A213" s="34" t="s">
        <v>132</v>
      </c>
      <c r="B213" s="36">
        <v>301</v>
      </c>
      <c r="C213" s="36" t="s">
        <v>417</v>
      </c>
      <c r="D213" s="36"/>
      <c r="E213" s="1366" t="s">
        <v>425</v>
      </c>
      <c r="F213" s="1366"/>
      <c r="G213" s="1367"/>
    </row>
    <row r="214" spans="1:7" x14ac:dyDescent="0.25">
      <c r="A214" s="34" t="s">
        <v>133</v>
      </c>
      <c r="B214" s="36">
        <v>300</v>
      </c>
      <c r="C214" s="36" t="s">
        <v>417</v>
      </c>
      <c r="D214" s="36"/>
      <c r="E214" s="48" t="s">
        <v>416</v>
      </c>
      <c r="F214" s="49">
        <v>0.5</v>
      </c>
      <c r="G214" s="50">
        <f>$F$4*F214</f>
        <v>1800</v>
      </c>
    </row>
    <row r="215" spans="1:7" x14ac:dyDescent="0.25">
      <c r="A215" s="34" t="s">
        <v>134</v>
      </c>
      <c r="B215" s="36">
        <v>300</v>
      </c>
      <c r="C215" s="36" t="s">
        <v>417</v>
      </c>
      <c r="D215" s="36"/>
      <c r="E215" s="48" t="s">
        <v>424</v>
      </c>
      <c r="F215" s="49">
        <v>0.4</v>
      </c>
      <c r="G215" s="50">
        <f>$F$4*F215</f>
        <v>1440</v>
      </c>
    </row>
    <row r="216" spans="1:7" x14ac:dyDescent="0.25">
      <c r="A216" s="34" t="s">
        <v>135</v>
      </c>
      <c r="B216" s="36"/>
      <c r="C216" s="36" t="s">
        <v>417</v>
      </c>
      <c r="D216" s="36"/>
      <c r="E216" s="48" t="s">
        <v>415</v>
      </c>
      <c r="F216" s="49">
        <v>0.1</v>
      </c>
      <c r="G216" s="50">
        <f>$F$4*F216</f>
        <v>360</v>
      </c>
    </row>
    <row r="217" spans="1:7" x14ac:dyDescent="0.25">
      <c r="A217" s="34" t="s">
        <v>136</v>
      </c>
      <c r="B217" s="36"/>
      <c r="C217" s="36" t="s">
        <v>417</v>
      </c>
      <c r="D217" s="36"/>
      <c r="E217" s="48" t="s">
        <v>404</v>
      </c>
      <c r="F217" s="49">
        <f>SUM(F214:F216)</f>
        <v>1</v>
      </c>
      <c r="G217" s="50">
        <f>$F$4*F217</f>
        <v>3600</v>
      </c>
    </row>
    <row r="218" spans="1:7" x14ac:dyDescent="0.25">
      <c r="A218" s="34" t="s">
        <v>137</v>
      </c>
      <c r="B218" s="36"/>
      <c r="C218" s="36" t="s">
        <v>417</v>
      </c>
      <c r="D218" s="36"/>
      <c r="G218" s="35"/>
    </row>
    <row r="219" spans="1:7" x14ac:dyDescent="0.25">
      <c r="A219" s="34" t="s">
        <v>138</v>
      </c>
      <c r="B219" s="36"/>
      <c r="C219" s="36" t="s">
        <v>417</v>
      </c>
      <c r="D219" s="36"/>
      <c r="E219" s="1365" t="s">
        <v>418</v>
      </c>
      <c r="F219" s="1365"/>
      <c r="G219" s="35"/>
    </row>
    <row r="220" spans="1:7" x14ac:dyDescent="0.25">
      <c r="A220" s="34" t="s">
        <v>139</v>
      </c>
      <c r="B220" s="36"/>
      <c r="C220" s="36" t="s">
        <v>417</v>
      </c>
      <c r="D220" s="36"/>
      <c r="E220" s="48"/>
      <c r="F220" s="48"/>
      <c r="G220" s="35"/>
    </row>
    <row r="221" spans="1:7" x14ac:dyDescent="0.25">
      <c r="A221" s="34" t="s">
        <v>140</v>
      </c>
      <c r="B221" s="36"/>
      <c r="C221" s="36" t="s">
        <v>417</v>
      </c>
      <c r="D221" s="36"/>
      <c r="E221" s="48" t="s">
        <v>423</v>
      </c>
      <c r="F221" s="51">
        <f>B226</f>
        <v>901</v>
      </c>
      <c r="G221" s="35"/>
    </row>
    <row r="222" spans="1:7" x14ac:dyDescent="0.25">
      <c r="A222" s="34" t="s">
        <v>141</v>
      </c>
      <c r="B222" s="36"/>
      <c r="C222" s="36" t="s">
        <v>417</v>
      </c>
      <c r="D222" s="36"/>
      <c r="E222" s="48" t="s">
        <v>418</v>
      </c>
      <c r="F222" s="52">
        <v>30</v>
      </c>
      <c r="G222" s="35"/>
    </row>
    <row r="223" spans="1:7" x14ac:dyDescent="0.25">
      <c r="A223" s="34" t="s">
        <v>142</v>
      </c>
      <c r="B223" s="36"/>
      <c r="C223" s="36" t="s">
        <v>417</v>
      </c>
      <c r="D223" s="36"/>
      <c r="E223" s="48" t="s">
        <v>419</v>
      </c>
      <c r="F223" s="53">
        <f>SUM(G214:G217)-F221-F222</f>
        <v>6269</v>
      </c>
      <c r="G223" s="35"/>
    </row>
    <row r="224" spans="1:7" x14ac:dyDescent="0.25">
      <c r="A224" s="34" t="s">
        <v>144</v>
      </c>
      <c r="B224" s="36"/>
      <c r="C224" s="36" t="s">
        <v>417</v>
      </c>
      <c r="D224" s="36"/>
      <c r="G224" s="35"/>
    </row>
    <row r="225" spans="1:7" ht="15.75" thickBot="1" x14ac:dyDescent="0.3">
      <c r="A225" s="1357"/>
      <c r="B225" s="1358"/>
      <c r="C225" s="1358"/>
      <c r="E225" s="39" t="s">
        <v>420</v>
      </c>
      <c r="G225" s="35"/>
    </row>
    <row r="226" spans="1:7" ht="15.75" thickBot="1" x14ac:dyDescent="0.3">
      <c r="A226" s="40" t="s">
        <v>422</v>
      </c>
      <c r="B226" s="42">
        <f>SUM(B213:B225)</f>
        <v>901</v>
      </c>
      <c r="C226" s="42" t="s">
        <v>417</v>
      </c>
      <c r="D226" s="41"/>
      <c r="E226" s="42">
        <f>IF(F221&gt;F212,"O Projetor atigiu o pior nível de Imagem! É necessário uma troca urgente!",B226)</f>
        <v>901</v>
      </c>
      <c r="F226" s="41"/>
      <c r="G226" s="43"/>
    </row>
    <row r="228" spans="1:7" ht="15.75" thickBot="1" x14ac:dyDescent="0.3"/>
    <row r="229" spans="1:7" ht="15.75" thickBot="1" x14ac:dyDescent="0.3">
      <c r="A229" s="1376" t="s">
        <v>438</v>
      </c>
      <c r="B229" s="1377"/>
      <c r="C229" s="1377"/>
      <c r="D229" s="1377"/>
      <c r="E229" s="1377"/>
      <c r="F229" s="1377"/>
      <c r="G229" s="1378"/>
    </row>
    <row r="230" spans="1:7" x14ac:dyDescent="0.25">
      <c r="A230" s="37" t="s">
        <v>426</v>
      </c>
      <c r="B230" s="36"/>
      <c r="G230" s="35"/>
    </row>
    <row r="231" spans="1:7" ht="18.75" x14ac:dyDescent="0.3">
      <c r="A231" s="38" t="s">
        <v>388</v>
      </c>
      <c r="B231" s="54">
        <v>3600</v>
      </c>
      <c r="C231" s="36" t="s">
        <v>417</v>
      </c>
      <c r="D231" s="36"/>
      <c r="E231" t="s">
        <v>423</v>
      </c>
      <c r="F231">
        <f>B231</f>
        <v>3600</v>
      </c>
      <c r="G231" s="35"/>
    </row>
    <row r="232" spans="1:7" x14ac:dyDescent="0.25">
      <c r="A232" s="34" t="s">
        <v>132</v>
      </c>
      <c r="B232" s="36">
        <v>121</v>
      </c>
      <c r="C232" s="36" t="s">
        <v>417</v>
      </c>
      <c r="D232" s="36"/>
      <c r="E232" s="1366" t="s">
        <v>425</v>
      </c>
      <c r="F232" s="1366"/>
      <c r="G232" s="1367"/>
    </row>
    <row r="233" spans="1:7" x14ac:dyDescent="0.25">
      <c r="A233" s="34" t="s">
        <v>133</v>
      </c>
      <c r="B233" s="36"/>
      <c r="C233" s="36" t="s">
        <v>417</v>
      </c>
      <c r="D233" s="36"/>
      <c r="E233" s="48" t="s">
        <v>416</v>
      </c>
      <c r="F233" s="49">
        <v>0.5</v>
      </c>
      <c r="G233" s="50">
        <f>$F$4*F233</f>
        <v>1800</v>
      </c>
    </row>
    <row r="234" spans="1:7" x14ac:dyDescent="0.25">
      <c r="A234" s="34" t="s">
        <v>134</v>
      </c>
      <c r="B234" s="36"/>
      <c r="C234" s="36" t="s">
        <v>417</v>
      </c>
      <c r="D234" s="36"/>
      <c r="E234" s="48" t="s">
        <v>424</v>
      </c>
      <c r="F234" s="49">
        <v>0.4</v>
      </c>
      <c r="G234" s="50">
        <f>$F$4*F234</f>
        <v>1440</v>
      </c>
    </row>
    <row r="235" spans="1:7" x14ac:dyDescent="0.25">
      <c r="A235" s="34" t="s">
        <v>135</v>
      </c>
      <c r="B235" s="36"/>
      <c r="C235" s="36" t="s">
        <v>417</v>
      </c>
      <c r="D235" s="36"/>
      <c r="E235" s="48" t="s">
        <v>415</v>
      </c>
      <c r="F235" s="49">
        <v>0.1</v>
      </c>
      <c r="G235" s="50">
        <f>$F$4*F235</f>
        <v>360</v>
      </c>
    </row>
    <row r="236" spans="1:7" x14ac:dyDescent="0.25">
      <c r="A236" s="34" t="s">
        <v>136</v>
      </c>
      <c r="B236" s="36"/>
      <c r="C236" s="36" t="s">
        <v>417</v>
      </c>
      <c r="D236" s="36"/>
      <c r="E236" s="48" t="s">
        <v>404</v>
      </c>
      <c r="F236" s="49">
        <f>SUM(F233:F235)</f>
        <v>1</v>
      </c>
      <c r="G236" s="50">
        <f>$F$4*F236</f>
        <v>3600</v>
      </c>
    </row>
    <row r="237" spans="1:7" x14ac:dyDescent="0.25">
      <c r="A237" s="34" t="s">
        <v>137</v>
      </c>
      <c r="B237" s="36"/>
      <c r="C237" s="36" t="s">
        <v>417</v>
      </c>
      <c r="D237" s="36"/>
      <c r="G237" s="35"/>
    </row>
    <row r="238" spans="1:7" x14ac:dyDescent="0.25">
      <c r="A238" s="34" t="s">
        <v>138</v>
      </c>
      <c r="B238" s="36"/>
      <c r="C238" s="36" t="s">
        <v>417</v>
      </c>
      <c r="D238" s="36"/>
      <c r="E238" s="1365" t="s">
        <v>418</v>
      </c>
      <c r="F238" s="1365"/>
      <c r="G238" s="35"/>
    </row>
    <row r="239" spans="1:7" x14ac:dyDescent="0.25">
      <c r="A239" s="34" t="s">
        <v>139</v>
      </c>
      <c r="B239" s="36"/>
      <c r="C239" s="36" t="s">
        <v>417</v>
      </c>
      <c r="D239" s="36"/>
      <c r="E239" s="48"/>
      <c r="F239" s="48"/>
      <c r="G239" s="35"/>
    </row>
    <row r="240" spans="1:7" x14ac:dyDescent="0.25">
      <c r="A240" s="34" t="s">
        <v>140</v>
      </c>
      <c r="B240" s="36"/>
      <c r="C240" s="36" t="s">
        <v>417</v>
      </c>
      <c r="D240" s="36"/>
      <c r="E240" s="48" t="s">
        <v>423</v>
      </c>
      <c r="F240" s="51">
        <f>B245</f>
        <v>121</v>
      </c>
      <c r="G240" s="35"/>
    </row>
    <row r="241" spans="1:7" x14ac:dyDescent="0.25">
      <c r="A241" s="34" t="s">
        <v>141</v>
      </c>
      <c r="B241" s="36"/>
      <c r="C241" s="36" t="s">
        <v>417</v>
      </c>
      <c r="D241" s="36"/>
      <c r="E241" s="48" t="s">
        <v>418</v>
      </c>
      <c r="F241" s="52">
        <v>30</v>
      </c>
      <c r="G241" s="35"/>
    </row>
    <row r="242" spans="1:7" x14ac:dyDescent="0.25">
      <c r="A242" s="34" t="s">
        <v>142</v>
      </c>
      <c r="B242" s="36"/>
      <c r="C242" s="36" t="s">
        <v>417</v>
      </c>
      <c r="D242" s="36"/>
      <c r="E242" s="48" t="s">
        <v>419</v>
      </c>
      <c r="F242" s="53">
        <f>SUM(G233:G236)-F240-F241</f>
        <v>7049</v>
      </c>
      <c r="G242" s="35"/>
    </row>
    <row r="243" spans="1:7" x14ac:dyDescent="0.25">
      <c r="A243" s="34" t="s">
        <v>144</v>
      </c>
      <c r="B243" s="36"/>
      <c r="C243" s="36" t="s">
        <v>417</v>
      </c>
      <c r="D243" s="36"/>
      <c r="G243" s="35"/>
    </row>
    <row r="244" spans="1:7" ht="15.75" thickBot="1" x14ac:dyDescent="0.3">
      <c r="A244" s="1357"/>
      <c r="B244" s="1358"/>
      <c r="C244" s="1358"/>
      <c r="E244" s="39" t="s">
        <v>420</v>
      </c>
      <c r="G244" s="35"/>
    </row>
    <row r="245" spans="1:7" ht="15.75" thickBot="1" x14ac:dyDescent="0.3">
      <c r="A245" s="40" t="s">
        <v>422</v>
      </c>
      <c r="B245" s="42">
        <f>SUM(B232:B244)</f>
        <v>121</v>
      </c>
      <c r="C245" s="42" t="s">
        <v>417</v>
      </c>
      <c r="D245" s="41"/>
      <c r="E245" s="42">
        <f>IF(F240&gt;F231,"O Projetor atigiu o pior nível de Imagem! É necessário uma troca urgente!",B245)</f>
        <v>121</v>
      </c>
      <c r="F245" s="41"/>
      <c r="G245" s="43"/>
    </row>
    <row r="247" spans="1:7" ht="15.75" thickBot="1" x14ac:dyDescent="0.3"/>
    <row r="248" spans="1:7" ht="15.75" thickBot="1" x14ac:dyDescent="0.3">
      <c r="A248" s="1376" t="s">
        <v>439</v>
      </c>
      <c r="B248" s="1377"/>
      <c r="C248" s="1377"/>
      <c r="D248" s="1377"/>
      <c r="E248" s="1377"/>
      <c r="F248" s="1377"/>
      <c r="G248" s="1378"/>
    </row>
    <row r="249" spans="1:7" x14ac:dyDescent="0.25">
      <c r="A249" s="37" t="s">
        <v>426</v>
      </c>
      <c r="B249" s="36"/>
      <c r="G249" s="35"/>
    </row>
    <row r="250" spans="1:7" ht="18.75" x14ac:dyDescent="0.3">
      <c r="A250" s="38" t="s">
        <v>388</v>
      </c>
      <c r="B250" s="54">
        <v>3600</v>
      </c>
      <c r="C250" s="36" t="s">
        <v>417</v>
      </c>
      <c r="D250" s="36"/>
      <c r="E250" t="s">
        <v>423</v>
      </c>
      <c r="F250">
        <f>B250</f>
        <v>3600</v>
      </c>
      <c r="G250" s="35"/>
    </row>
    <row r="251" spans="1:7" x14ac:dyDescent="0.25">
      <c r="A251" s="34" t="s">
        <v>132</v>
      </c>
      <c r="B251" s="36">
        <v>121</v>
      </c>
      <c r="C251" s="36" t="s">
        <v>417</v>
      </c>
      <c r="D251" s="36"/>
      <c r="E251" s="1366" t="s">
        <v>425</v>
      </c>
      <c r="F251" s="1366"/>
      <c r="G251" s="1367"/>
    </row>
    <row r="252" spans="1:7" x14ac:dyDescent="0.25">
      <c r="A252" s="34" t="s">
        <v>133</v>
      </c>
      <c r="B252" s="36">
        <v>300</v>
      </c>
      <c r="C252" s="36" t="s">
        <v>417</v>
      </c>
      <c r="D252" s="36"/>
      <c r="E252" s="48" t="s">
        <v>416</v>
      </c>
      <c r="F252" s="49">
        <v>0.5</v>
      </c>
      <c r="G252" s="50">
        <f>$F$4*F252</f>
        <v>1800</v>
      </c>
    </row>
    <row r="253" spans="1:7" x14ac:dyDescent="0.25">
      <c r="A253" s="34" t="s">
        <v>134</v>
      </c>
      <c r="B253" s="36">
        <v>300</v>
      </c>
      <c r="C253" s="36" t="s">
        <v>417</v>
      </c>
      <c r="D253" s="36"/>
      <c r="E253" s="48" t="s">
        <v>424</v>
      </c>
      <c r="F253" s="49">
        <v>0.4</v>
      </c>
      <c r="G253" s="50">
        <f>$F$4*F253</f>
        <v>1440</v>
      </c>
    </row>
    <row r="254" spans="1:7" x14ac:dyDescent="0.25">
      <c r="A254" s="34" t="s">
        <v>135</v>
      </c>
      <c r="B254" s="36"/>
      <c r="C254" s="36" t="s">
        <v>417</v>
      </c>
      <c r="D254" s="36"/>
      <c r="E254" s="48" t="s">
        <v>415</v>
      </c>
      <c r="F254" s="49">
        <v>0.1</v>
      </c>
      <c r="G254" s="50">
        <f>$F$4*F254</f>
        <v>360</v>
      </c>
    </row>
    <row r="255" spans="1:7" x14ac:dyDescent="0.25">
      <c r="A255" s="34" t="s">
        <v>136</v>
      </c>
      <c r="B255" s="36"/>
      <c r="C255" s="36" t="s">
        <v>417</v>
      </c>
      <c r="D255" s="36"/>
      <c r="E255" s="48" t="s">
        <v>404</v>
      </c>
      <c r="F255" s="49">
        <f>SUM(F252:F254)</f>
        <v>1</v>
      </c>
      <c r="G255" s="50">
        <f>$F$4*F255</f>
        <v>3600</v>
      </c>
    </row>
    <row r="256" spans="1:7" x14ac:dyDescent="0.25">
      <c r="A256" s="34" t="s">
        <v>137</v>
      </c>
      <c r="B256" s="36"/>
      <c r="C256" s="36" t="s">
        <v>417</v>
      </c>
      <c r="D256" s="36"/>
      <c r="G256" s="35"/>
    </row>
    <row r="257" spans="1:7" x14ac:dyDescent="0.25">
      <c r="A257" s="34" t="s">
        <v>138</v>
      </c>
      <c r="B257" s="36"/>
      <c r="C257" s="36" t="s">
        <v>417</v>
      </c>
      <c r="D257" s="36"/>
      <c r="E257" s="1365" t="s">
        <v>418</v>
      </c>
      <c r="F257" s="1365"/>
      <c r="G257" s="35"/>
    </row>
    <row r="258" spans="1:7" x14ac:dyDescent="0.25">
      <c r="A258" s="34" t="s">
        <v>139</v>
      </c>
      <c r="B258" s="36"/>
      <c r="C258" s="36" t="s">
        <v>417</v>
      </c>
      <c r="D258" s="36"/>
      <c r="E258" s="48"/>
      <c r="F258" s="48"/>
      <c r="G258" s="35"/>
    </row>
    <row r="259" spans="1:7" x14ac:dyDescent="0.25">
      <c r="A259" s="34" t="s">
        <v>140</v>
      </c>
      <c r="B259" s="36"/>
      <c r="C259" s="36" t="s">
        <v>417</v>
      </c>
      <c r="D259" s="36"/>
      <c r="E259" s="48" t="s">
        <v>423</v>
      </c>
      <c r="F259" s="51">
        <f>B264</f>
        <v>721</v>
      </c>
      <c r="G259" s="35"/>
    </row>
    <row r="260" spans="1:7" x14ac:dyDescent="0.25">
      <c r="A260" s="34" t="s">
        <v>141</v>
      </c>
      <c r="B260" s="36"/>
      <c r="C260" s="36" t="s">
        <v>417</v>
      </c>
      <c r="D260" s="36"/>
      <c r="E260" s="48" t="s">
        <v>418</v>
      </c>
      <c r="F260" s="52">
        <v>30</v>
      </c>
      <c r="G260" s="35"/>
    </row>
    <row r="261" spans="1:7" x14ac:dyDescent="0.25">
      <c r="A261" s="34" t="s">
        <v>142</v>
      </c>
      <c r="B261" s="36"/>
      <c r="C261" s="36" t="s">
        <v>417</v>
      </c>
      <c r="D261" s="36"/>
      <c r="E261" s="48" t="s">
        <v>419</v>
      </c>
      <c r="F261" s="53">
        <f>SUM(G252:G255)-F259-F260</f>
        <v>6449</v>
      </c>
      <c r="G261" s="35"/>
    </row>
    <row r="262" spans="1:7" x14ac:dyDescent="0.25">
      <c r="A262" s="34" t="s">
        <v>144</v>
      </c>
      <c r="B262" s="36"/>
      <c r="C262" s="36" t="s">
        <v>417</v>
      </c>
      <c r="D262" s="36"/>
      <c r="G262" s="35"/>
    </row>
    <row r="263" spans="1:7" ht="15.75" thickBot="1" x14ac:dyDescent="0.3">
      <c r="A263" s="1357"/>
      <c r="B263" s="1358"/>
      <c r="C263" s="1358"/>
      <c r="E263" s="39" t="s">
        <v>420</v>
      </c>
      <c r="G263" s="35"/>
    </row>
    <row r="264" spans="1:7" ht="15.75" thickBot="1" x14ac:dyDescent="0.3">
      <c r="A264" s="40" t="s">
        <v>422</v>
      </c>
      <c r="B264" s="42">
        <f>SUM(B251:B263)</f>
        <v>721</v>
      </c>
      <c r="C264" s="42" t="s">
        <v>417</v>
      </c>
      <c r="D264" s="41"/>
      <c r="E264" s="42">
        <f>IF(F259&gt;F250,"O Projetor atigiu o pior nível de Imagem! É necessário uma troca urgente!",B264)</f>
        <v>721</v>
      </c>
      <c r="F264" s="41"/>
      <c r="G264" s="43"/>
    </row>
    <row r="266" spans="1:7" ht="15.75" thickBot="1" x14ac:dyDescent="0.3"/>
    <row r="267" spans="1:7" ht="15.75" thickBot="1" x14ac:dyDescent="0.3">
      <c r="A267" s="1376" t="s">
        <v>440</v>
      </c>
      <c r="B267" s="1377"/>
      <c r="C267" s="1377"/>
      <c r="D267" s="1377"/>
      <c r="E267" s="1377"/>
      <c r="F267" s="1377"/>
      <c r="G267" s="1378"/>
    </row>
    <row r="268" spans="1:7" x14ac:dyDescent="0.25">
      <c r="A268" s="44" t="s">
        <v>426</v>
      </c>
      <c r="B268" s="45"/>
      <c r="C268" s="46"/>
      <c r="D268" s="46"/>
      <c r="E268" s="46"/>
      <c r="F268" s="46"/>
      <c r="G268" s="47"/>
    </row>
    <row r="269" spans="1:7" ht="18.75" x14ac:dyDescent="0.3">
      <c r="A269" s="38" t="s">
        <v>388</v>
      </c>
      <c r="B269" s="54">
        <v>3600</v>
      </c>
      <c r="C269" s="36" t="s">
        <v>417</v>
      </c>
      <c r="D269" s="36"/>
      <c r="E269" t="s">
        <v>423</v>
      </c>
      <c r="F269">
        <f>B269</f>
        <v>3600</v>
      </c>
      <c r="G269" s="35"/>
    </row>
    <row r="270" spans="1:7" x14ac:dyDescent="0.25">
      <c r="A270" s="34" t="s">
        <v>132</v>
      </c>
      <c r="B270" s="36">
        <v>301</v>
      </c>
      <c r="C270" s="36" t="s">
        <v>417</v>
      </c>
      <c r="D270" s="36"/>
      <c r="E270" s="1366" t="s">
        <v>425</v>
      </c>
      <c r="F270" s="1366"/>
      <c r="G270" s="1367"/>
    </row>
    <row r="271" spans="1:7" x14ac:dyDescent="0.25">
      <c r="A271" s="34" t="s">
        <v>133</v>
      </c>
      <c r="B271" s="36">
        <v>300</v>
      </c>
      <c r="C271" s="36" t="s">
        <v>417</v>
      </c>
      <c r="D271" s="36"/>
      <c r="E271" s="48" t="s">
        <v>416</v>
      </c>
      <c r="F271" s="49">
        <v>0.5</v>
      </c>
      <c r="G271" s="50">
        <f>$F$4*F271</f>
        <v>1800</v>
      </c>
    </row>
    <row r="272" spans="1:7" x14ac:dyDescent="0.25">
      <c r="A272" s="34" t="s">
        <v>134</v>
      </c>
      <c r="B272" s="36">
        <v>300</v>
      </c>
      <c r="C272" s="36" t="s">
        <v>417</v>
      </c>
      <c r="D272" s="36"/>
      <c r="E272" s="48" t="s">
        <v>424</v>
      </c>
      <c r="F272" s="49">
        <v>0.4</v>
      </c>
      <c r="G272" s="50">
        <f>$F$4*F272</f>
        <v>1440</v>
      </c>
    </row>
    <row r="273" spans="1:7" x14ac:dyDescent="0.25">
      <c r="A273" s="34" t="s">
        <v>135</v>
      </c>
      <c r="B273" s="36">
        <v>300</v>
      </c>
      <c r="C273" s="36" t="s">
        <v>417</v>
      </c>
      <c r="D273" s="36"/>
      <c r="E273" s="48" t="s">
        <v>415</v>
      </c>
      <c r="F273" s="49">
        <v>0.1</v>
      </c>
      <c r="G273" s="50">
        <f>$F$4*F273</f>
        <v>360</v>
      </c>
    </row>
    <row r="274" spans="1:7" x14ac:dyDescent="0.25">
      <c r="A274" s="34" t="s">
        <v>136</v>
      </c>
      <c r="B274" s="36">
        <v>300</v>
      </c>
      <c r="C274" s="36" t="s">
        <v>417</v>
      </c>
      <c r="D274" s="36"/>
      <c r="E274" s="48" t="s">
        <v>404</v>
      </c>
      <c r="F274" s="49">
        <f>SUM(F271:F273)</f>
        <v>1</v>
      </c>
      <c r="G274" s="50">
        <f>$F$4*F274</f>
        <v>3600</v>
      </c>
    </row>
    <row r="275" spans="1:7" x14ac:dyDescent="0.25">
      <c r="A275" s="34" t="s">
        <v>137</v>
      </c>
      <c r="B275" s="36">
        <v>300</v>
      </c>
      <c r="C275" s="36" t="s">
        <v>417</v>
      </c>
      <c r="D275" s="36"/>
      <c r="G275" s="35"/>
    </row>
    <row r="276" spans="1:7" x14ac:dyDescent="0.25">
      <c r="A276" s="34" t="s">
        <v>138</v>
      </c>
      <c r="B276" s="36">
        <v>300</v>
      </c>
      <c r="C276" s="36" t="s">
        <v>417</v>
      </c>
      <c r="D276" s="36"/>
      <c r="E276" s="1365" t="s">
        <v>418</v>
      </c>
      <c r="F276" s="1365"/>
      <c r="G276" s="35"/>
    </row>
    <row r="277" spans="1:7" x14ac:dyDescent="0.25">
      <c r="A277" s="34" t="s">
        <v>139</v>
      </c>
      <c r="B277" s="36">
        <v>300</v>
      </c>
      <c r="C277" s="36" t="s">
        <v>417</v>
      </c>
      <c r="D277" s="36"/>
      <c r="E277" s="48"/>
      <c r="F277" s="48"/>
      <c r="G277" s="35"/>
    </row>
    <row r="278" spans="1:7" x14ac:dyDescent="0.25">
      <c r="A278" s="34" t="s">
        <v>140</v>
      </c>
      <c r="B278" s="36">
        <v>300</v>
      </c>
      <c r="C278" s="36" t="s">
        <v>417</v>
      </c>
      <c r="D278" s="36"/>
      <c r="E278" s="48" t="s">
        <v>423</v>
      </c>
      <c r="F278" s="51">
        <f>B283</f>
        <v>3601</v>
      </c>
      <c r="G278" s="35"/>
    </row>
    <row r="279" spans="1:7" x14ac:dyDescent="0.25">
      <c r="A279" s="34" t="s">
        <v>141</v>
      </c>
      <c r="B279" s="36">
        <v>300</v>
      </c>
      <c r="C279" s="36" t="s">
        <v>417</v>
      </c>
      <c r="D279" s="36"/>
      <c r="E279" s="48" t="s">
        <v>418</v>
      </c>
      <c r="F279" s="52">
        <v>30</v>
      </c>
      <c r="G279" s="35"/>
    </row>
    <row r="280" spans="1:7" x14ac:dyDescent="0.25">
      <c r="A280" s="34" t="s">
        <v>142</v>
      </c>
      <c r="B280" s="36">
        <v>300</v>
      </c>
      <c r="C280" s="36" t="s">
        <v>417</v>
      </c>
      <c r="D280" s="36"/>
      <c r="E280" s="48" t="s">
        <v>419</v>
      </c>
      <c r="F280" s="53">
        <f>SUM(G271:G274)-F278-F279</f>
        <v>3569</v>
      </c>
      <c r="G280" s="35"/>
    </row>
    <row r="281" spans="1:7" x14ac:dyDescent="0.25">
      <c r="A281" s="34" t="s">
        <v>144</v>
      </c>
      <c r="B281" s="36">
        <v>300</v>
      </c>
      <c r="C281" s="36" t="s">
        <v>417</v>
      </c>
      <c r="D281" s="36"/>
      <c r="G281" s="35"/>
    </row>
    <row r="282" spans="1:7" ht="15.75" thickBot="1" x14ac:dyDescent="0.3">
      <c r="A282" s="1357"/>
      <c r="B282" s="1358"/>
      <c r="C282" s="1358"/>
      <c r="E282" s="39" t="s">
        <v>420</v>
      </c>
      <c r="G282" s="35"/>
    </row>
    <row r="283" spans="1:7" ht="15.75" thickBot="1" x14ac:dyDescent="0.3">
      <c r="A283" s="40" t="s">
        <v>422</v>
      </c>
      <c r="B283" s="42">
        <f>SUM(B270:B282)</f>
        <v>3601</v>
      </c>
      <c r="C283" s="42" t="s">
        <v>417</v>
      </c>
      <c r="D283" s="41"/>
      <c r="E283" s="42" t="str">
        <f>IF(F278&gt;F269,"O Projetor atigiu o pior nível de Imagem! É necessário uma troca urgente!",B283)</f>
        <v>O Projetor atigiu o pior nível de Imagem! É necessário uma troca urgente!</v>
      </c>
      <c r="F283" s="41"/>
      <c r="G283" s="43"/>
    </row>
    <row r="285" spans="1:7" ht="15.75" thickBot="1" x14ac:dyDescent="0.3"/>
    <row r="286" spans="1:7" ht="15.75" thickBot="1" x14ac:dyDescent="0.3">
      <c r="A286" s="1376" t="s">
        <v>441</v>
      </c>
      <c r="B286" s="1377"/>
      <c r="C286" s="1377"/>
      <c r="D286" s="1377"/>
      <c r="E286" s="1377"/>
      <c r="F286" s="1377"/>
      <c r="G286" s="1378"/>
    </row>
    <row r="287" spans="1:7" x14ac:dyDescent="0.25">
      <c r="A287" s="37" t="s">
        <v>426</v>
      </c>
      <c r="B287" s="36"/>
      <c r="G287" s="35"/>
    </row>
    <row r="288" spans="1:7" ht="18.75" x14ac:dyDescent="0.3">
      <c r="A288" s="38" t="s">
        <v>388</v>
      </c>
      <c r="B288" s="54">
        <v>3600</v>
      </c>
      <c r="C288" s="36" t="s">
        <v>417</v>
      </c>
      <c r="D288" s="36"/>
      <c r="E288" t="s">
        <v>423</v>
      </c>
      <c r="F288">
        <f>B288</f>
        <v>3600</v>
      </c>
      <c r="G288" s="35"/>
    </row>
    <row r="289" spans="1:7" x14ac:dyDescent="0.25">
      <c r="A289" s="34" t="s">
        <v>132</v>
      </c>
      <c r="B289" s="36">
        <v>121</v>
      </c>
      <c r="C289" s="36" t="s">
        <v>417</v>
      </c>
      <c r="D289" s="36"/>
      <c r="E289" s="1366" t="s">
        <v>425</v>
      </c>
      <c r="F289" s="1366"/>
      <c r="G289" s="1367"/>
    </row>
    <row r="290" spans="1:7" x14ac:dyDescent="0.25">
      <c r="A290" s="34" t="s">
        <v>133</v>
      </c>
      <c r="B290" s="36">
        <v>120</v>
      </c>
      <c r="C290" s="36" t="s">
        <v>417</v>
      </c>
      <c r="D290" s="36"/>
      <c r="E290" s="48" t="s">
        <v>416</v>
      </c>
      <c r="F290" s="49">
        <v>0.5</v>
      </c>
      <c r="G290" s="50">
        <f>$F$4*F290</f>
        <v>1800</v>
      </c>
    </row>
    <row r="291" spans="1:7" x14ac:dyDescent="0.25">
      <c r="A291" s="34" t="s">
        <v>134</v>
      </c>
      <c r="B291" s="36"/>
      <c r="C291" s="36" t="s">
        <v>417</v>
      </c>
      <c r="D291" s="36"/>
      <c r="E291" s="48" t="s">
        <v>424</v>
      </c>
      <c r="F291" s="49">
        <v>0.4</v>
      </c>
      <c r="G291" s="50">
        <f>$F$4*F291</f>
        <v>1440</v>
      </c>
    </row>
    <row r="292" spans="1:7" x14ac:dyDescent="0.25">
      <c r="A292" s="34" t="s">
        <v>135</v>
      </c>
      <c r="B292" s="36"/>
      <c r="C292" s="36" t="s">
        <v>417</v>
      </c>
      <c r="D292" s="36"/>
      <c r="E292" s="48" t="s">
        <v>415</v>
      </c>
      <c r="F292" s="49">
        <v>0.1</v>
      </c>
      <c r="G292" s="50">
        <f>$F$4*F292</f>
        <v>360</v>
      </c>
    </row>
    <row r="293" spans="1:7" x14ac:dyDescent="0.25">
      <c r="A293" s="34" t="s">
        <v>136</v>
      </c>
      <c r="B293" s="36"/>
      <c r="C293" s="36" t="s">
        <v>417</v>
      </c>
      <c r="D293" s="36"/>
      <c r="E293" s="48" t="s">
        <v>404</v>
      </c>
      <c r="F293" s="49">
        <f>SUM(F290:F292)</f>
        <v>1</v>
      </c>
      <c r="G293" s="50">
        <f>$F$4*F293</f>
        <v>3600</v>
      </c>
    </row>
    <row r="294" spans="1:7" x14ac:dyDescent="0.25">
      <c r="A294" s="34" t="s">
        <v>137</v>
      </c>
      <c r="B294" s="36"/>
      <c r="C294" s="36" t="s">
        <v>417</v>
      </c>
      <c r="D294" s="36"/>
      <c r="G294" s="35"/>
    </row>
    <row r="295" spans="1:7" x14ac:dyDescent="0.25">
      <c r="A295" s="34" t="s">
        <v>138</v>
      </c>
      <c r="B295" s="36"/>
      <c r="C295" s="36" t="s">
        <v>417</v>
      </c>
      <c r="D295" s="36"/>
      <c r="E295" s="1365" t="s">
        <v>418</v>
      </c>
      <c r="F295" s="1365"/>
      <c r="G295" s="35"/>
    </row>
    <row r="296" spans="1:7" x14ac:dyDescent="0.25">
      <c r="A296" s="34" t="s">
        <v>139</v>
      </c>
      <c r="B296" s="36"/>
      <c r="C296" s="36" t="s">
        <v>417</v>
      </c>
      <c r="D296" s="36"/>
      <c r="E296" s="48"/>
      <c r="F296" s="48"/>
      <c r="G296" s="35"/>
    </row>
    <row r="297" spans="1:7" x14ac:dyDescent="0.25">
      <c r="A297" s="34" t="s">
        <v>140</v>
      </c>
      <c r="B297" s="36"/>
      <c r="C297" s="36" t="s">
        <v>417</v>
      </c>
      <c r="D297" s="36"/>
      <c r="E297" s="48" t="s">
        <v>423</v>
      </c>
      <c r="F297" s="51">
        <f>B302</f>
        <v>241</v>
      </c>
      <c r="G297" s="35"/>
    </row>
    <row r="298" spans="1:7" x14ac:dyDescent="0.25">
      <c r="A298" s="34" t="s">
        <v>141</v>
      </c>
      <c r="B298" s="36"/>
      <c r="C298" s="36" t="s">
        <v>417</v>
      </c>
      <c r="D298" s="36"/>
      <c r="E298" s="48" t="s">
        <v>418</v>
      </c>
      <c r="F298" s="52">
        <v>30</v>
      </c>
      <c r="G298" s="35"/>
    </row>
    <row r="299" spans="1:7" x14ac:dyDescent="0.25">
      <c r="A299" s="34" t="s">
        <v>142</v>
      </c>
      <c r="B299" s="36"/>
      <c r="C299" s="36" t="s">
        <v>417</v>
      </c>
      <c r="D299" s="36"/>
      <c r="E299" s="48" t="s">
        <v>419</v>
      </c>
      <c r="F299" s="53">
        <f>SUM(G290:G293)-F297-F298</f>
        <v>6929</v>
      </c>
      <c r="G299" s="35"/>
    </row>
    <row r="300" spans="1:7" x14ac:dyDescent="0.25">
      <c r="A300" s="34" t="s">
        <v>144</v>
      </c>
      <c r="B300" s="36"/>
      <c r="C300" s="36" t="s">
        <v>417</v>
      </c>
      <c r="D300" s="36"/>
      <c r="G300" s="35"/>
    </row>
    <row r="301" spans="1:7" ht="15.75" thickBot="1" x14ac:dyDescent="0.3">
      <c r="A301" s="1357"/>
      <c r="B301" s="1358"/>
      <c r="C301" s="1358"/>
      <c r="E301" s="39" t="s">
        <v>420</v>
      </c>
      <c r="G301" s="35"/>
    </row>
    <row r="302" spans="1:7" ht="15.75" thickBot="1" x14ac:dyDescent="0.3">
      <c r="A302" s="40" t="s">
        <v>422</v>
      </c>
      <c r="B302" s="42">
        <f>SUM(B289:B301)</f>
        <v>241</v>
      </c>
      <c r="C302" s="42" t="s">
        <v>417</v>
      </c>
      <c r="D302" s="41"/>
      <c r="E302" s="42">
        <f>IF(F297&gt;F288,"O Projetor atigiu o pior nível de Imagem! É necessário uma troca urgente!",B302)</f>
        <v>241</v>
      </c>
      <c r="F302" s="41"/>
      <c r="G302" s="43"/>
    </row>
    <row r="304" spans="1:7" ht="15.75" thickBot="1" x14ac:dyDescent="0.3"/>
    <row r="305" spans="1:7" ht="15.75" thickBot="1" x14ac:dyDescent="0.3">
      <c r="A305" s="1376" t="s">
        <v>442</v>
      </c>
      <c r="B305" s="1377"/>
      <c r="C305" s="1377"/>
      <c r="D305" s="1377"/>
      <c r="E305" s="1377"/>
      <c r="F305" s="1377"/>
      <c r="G305" s="1378"/>
    </row>
    <row r="306" spans="1:7" x14ac:dyDescent="0.25">
      <c r="A306" s="37" t="s">
        <v>426</v>
      </c>
      <c r="B306" s="36"/>
      <c r="G306" s="35"/>
    </row>
    <row r="307" spans="1:7" ht="18.75" x14ac:dyDescent="0.3">
      <c r="A307" s="38" t="s">
        <v>388</v>
      </c>
      <c r="B307" s="54">
        <v>3600</v>
      </c>
      <c r="C307" s="36" t="s">
        <v>417</v>
      </c>
      <c r="D307" s="36"/>
      <c r="E307" t="s">
        <v>423</v>
      </c>
      <c r="F307">
        <f>B307</f>
        <v>3600</v>
      </c>
      <c r="G307" s="35"/>
    </row>
    <row r="308" spans="1:7" x14ac:dyDescent="0.25">
      <c r="A308" s="34" t="s">
        <v>132</v>
      </c>
      <c r="B308" s="36">
        <v>301</v>
      </c>
      <c r="C308" s="36" t="s">
        <v>417</v>
      </c>
      <c r="D308" s="36"/>
      <c r="E308" s="1366" t="s">
        <v>425</v>
      </c>
      <c r="F308" s="1366"/>
      <c r="G308" s="1367"/>
    </row>
    <row r="309" spans="1:7" x14ac:dyDescent="0.25">
      <c r="A309" s="34" t="s">
        <v>133</v>
      </c>
      <c r="B309" s="36"/>
      <c r="C309" s="36" t="s">
        <v>417</v>
      </c>
      <c r="D309" s="36"/>
      <c r="E309" s="48" t="s">
        <v>416</v>
      </c>
      <c r="F309" s="49">
        <v>0.5</v>
      </c>
      <c r="G309" s="50">
        <f>$F$4*F309</f>
        <v>1800</v>
      </c>
    </row>
    <row r="310" spans="1:7" x14ac:dyDescent="0.25">
      <c r="A310" s="34" t="s">
        <v>134</v>
      </c>
      <c r="B310" s="36"/>
      <c r="C310" s="36" t="s">
        <v>417</v>
      </c>
      <c r="D310" s="36"/>
      <c r="E310" s="48" t="s">
        <v>424</v>
      </c>
      <c r="F310" s="49">
        <v>0.4</v>
      </c>
      <c r="G310" s="50">
        <f>$F$4*F310</f>
        <v>1440</v>
      </c>
    </row>
    <row r="311" spans="1:7" x14ac:dyDescent="0.25">
      <c r="A311" s="34" t="s">
        <v>135</v>
      </c>
      <c r="B311" s="36"/>
      <c r="C311" s="36" t="s">
        <v>417</v>
      </c>
      <c r="D311" s="36"/>
      <c r="E311" s="48" t="s">
        <v>415</v>
      </c>
      <c r="F311" s="49">
        <v>0.1</v>
      </c>
      <c r="G311" s="50">
        <f>$F$4*F311</f>
        <v>360</v>
      </c>
    </row>
    <row r="312" spans="1:7" x14ac:dyDescent="0.25">
      <c r="A312" s="34" t="s">
        <v>136</v>
      </c>
      <c r="B312" s="36"/>
      <c r="C312" s="36" t="s">
        <v>417</v>
      </c>
      <c r="D312" s="36"/>
      <c r="E312" s="48" t="s">
        <v>404</v>
      </c>
      <c r="F312" s="49">
        <f>SUM(F309:F311)</f>
        <v>1</v>
      </c>
      <c r="G312" s="50">
        <f>$F$4*F312</f>
        <v>3600</v>
      </c>
    </row>
    <row r="313" spans="1:7" x14ac:dyDescent="0.25">
      <c r="A313" s="34" t="s">
        <v>137</v>
      </c>
      <c r="B313" s="36"/>
      <c r="C313" s="36" t="s">
        <v>417</v>
      </c>
      <c r="D313" s="36"/>
      <c r="G313" s="35"/>
    </row>
    <row r="314" spans="1:7" x14ac:dyDescent="0.25">
      <c r="A314" s="34" t="s">
        <v>138</v>
      </c>
      <c r="B314" s="36"/>
      <c r="C314" s="36" t="s">
        <v>417</v>
      </c>
      <c r="D314" s="36"/>
      <c r="E314" s="1365" t="s">
        <v>418</v>
      </c>
      <c r="F314" s="1365"/>
      <c r="G314" s="35"/>
    </row>
    <row r="315" spans="1:7" x14ac:dyDescent="0.25">
      <c r="A315" s="34" t="s">
        <v>139</v>
      </c>
      <c r="B315" s="36"/>
      <c r="C315" s="36" t="s">
        <v>417</v>
      </c>
      <c r="D315" s="36"/>
      <c r="E315" s="48"/>
      <c r="F315" s="48"/>
      <c r="G315" s="35"/>
    </row>
    <row r="316" spans="1:7" x14ac:dyDescent="0.25">
      <c r="A316" s="34" t="s">
        <v>140</v>
      </c>
      <c r="B316" s="36"/>
      <c r="C316" s="36" t="s">
        <v>417</v>
      </c>
      <c r="D316" s="36"/>
      <c r="E316" s="48" t="s">
        <v>423</v>
      </c>
      <c r="F316" s="51">
        <f>B321</f>
        <v>301</v>
      </c>
      <c r="G316" s="35"/>
    </row>
    <row r="317" spans="1:7" x14ac:dyDescent="0.25">
      <c r="A317" s="34" t="s">
        <v>141</v>
      </c>
      <c r="B317" s="36"/>
      <c r="C317" s="36" t="s">
        <v>417</v>
      </c>
      <c r="D317" s="36"/>
      <c r="E317" s="48" t="s">
        <v>418</v>
      </c>
      <c r="F317" s="52">
        <v>30</v>
      </c>
      <c r="G317" s="35"/>
    </row>
    <row r="318" spans="1:7" x14ac:dyDescent="0.25">
      <c r="A318" s="34" t="s">
        <v>142</v>
      </c>
      <c r="B318" s="36"/>
      <c r="C318" s="36" t="s">
        <v>417</v>
      </c>
      <c r="D318" s="36"/>
      <c r="E318" s="48" t="s">
        <v>419</v>
      </c>
      <c r="F318" s="53">
        <f>SUM(G309:G312)-F316-F317</f>
        <v>6869</v>
      </c>
      <c r="G318" s="35"/>
    </row>
    <row r="319" spans="1:7" x14ac:dyDescent="0.25">
      <c r="A319" s="34" t="s">
        <v>144</v>
      </c>
      <c r="B319" s="36"/>
      <c r="C319" s="36" t="s">
        <v>417</v>
      </c>
      <c r="D319" s="36"/>
      <c r="G319" s="35"/>
    </row>
    <row r="320" spans="1:7" ht="15.75" thickBot="1" x14ac:dyDescent="0.3">
      <c r="A320" s="1357"/>
      <c r="B320" s="1358"/>
      <c r="C320" s="1358"/>
      <c r="E320" s="39" t="s">
        <v>420</v>
      </c>
      <c r="G320" s="35"/>
    </row>
    <row r="321" spans="1:7" ht="15.75" thickBot="1" x14ac:dyDescent="0.3">
      <c r="A321" s="40" t="s">
        <v>422</v>
      </c>
      <c r="B321" s="42">
        <f>SUM(B308:B320)</f>
        <v>301</v>
      </c>
      <c r="C321" s="42" t="s">
        <v>417</v>
      </c>
      <c r="D321" s="41"/>
      <c r="E321" s="42">
        <f>IF(F316&gt;F307,"O Projetor atigiu o pior nível de Imagem! É necessário uma troca urgente!",B321)</f>
        <v>301</v>
      </c>
      <c r="F321" s="41"/>
      <c r="G321" s="43"/>
    </row>
    <row r="323" spans="1:7" ht="15.75" thickBot="1" x14ac:dyDescent="0.3"/>
    <row r="324" spans="1:7" ht="15.75" thickBot="1" x14ac:dyDescent="0.3">
      <c r="A324" s="1376" t="s">
        <v>443</v>
      </c>
      <c r="B324" s="1377"/>
      <c r="C324" s="1377"/>
      <c r="D324" s="1377"/>
      <c r="E324" s="1377"/>
      <c r="F324" s="1377"/>
      <c r="G324" s="1378"/>
    </row>
    <row r="325" spans="1:7" x14ac:dyDescent="0.25">
      <c r="A325" s="37" t="s">
        <v>426</v>
      </c>
      <c r="B325" s="36"/>
      <c r="G325" s="35"/>
    </row>
    <row r="326" spans="1:7" ht="18.75" x14ac:dyDescent="0.3">
      <c r="A326" s="38" t="s">
        <v>388</v>
      </c>
      <c r="B326" s="54">
        <v>3600</v>
      </c>
      <c r="C326" s="36" t="s">
        <v>417</v>
      </c>
      <c r="D326" s="36"/>
      <c r="E326" t="s">
        <v>423</v>
      </c>
      <c r="F326">
        <f>B326</f>
        <v>3600</v>
      </c>
      <c r="G326" s="35"/>
    </row>
    <row r="327" spans="1:7" x14ac:dyDescent="0.25">
      <c r="A327" s="34" t="s">
        <v>132</v>
      </c>
      <c r="B327" s="36">
        <v>121</v>
      </c>
      <c r="C327" s="36" t="s">
        <v>417</v>
      </c>
      <c r="D327" s="36"/>
      <c r="E327" s="1366" t="s">
        <v>425</v>
      </c>
      <c r="F327" s="1366"/>
      <c r="G327" s="1367"/>
    </row>
    <row r="328" spans="1:7" x14ac:dyDescent="0.25">
      <c r="A328" s="34" t="s">
        <v>133</v>
      </c>
      <c r="B328" s="36"/>
      <c r="C328" s="36" t="s">
        <v>417</v>
      </c>
      <c r="D328" s="36"/>
      <c r="E328" s="48" t="s">
        <v>416</v>
      </c>
      <c r="F328" s="49">
        <v>0.5</v>
      </c>
      <c r="G328" s="50">
        <f>$F$4*F328</f>
        <v>1800</v>
      </c>
    </row>
    <row r="329" spans="1:7" x14ac:dyDescent="0.25">
      <c r="A329" s="34" t="s">
        <v>134</v>
      </c>
      <c r="B329" s="36"/>
      <c r="C329" s="36" t="s">
        <v>417</v>
      </c>
      <c r="D329" s="36"/>
      <c r="E329" s="48" t="s">
        <v>424</v>
      </c>
      <c r="F329" s="49">
        <v>0.4</v>
      </c>
      <c r="G329" s="50">
        <f>$F$4*F329</f>
        <v>1440</v>
      </c>
    </row>
    <row r="330" spans="1:7" x14ac:dyDescent="0.25">
      <c r="A330" s="34" t="s">
        <v>135</v>
      </c>
      <c r="B330" s="36"/>
      <c r="C330" s="36" t="s">
        <v>417</v>
      </c>
      <c r="D330" s="36"/>
      <c r="E330" s="48" t="s">
        <v>415</v>
      </c>
      <c r="F330" s="49">
        <v>0.1</v>
      </c>
      <c r="G330" s="50">
        <f>$F$4*F330</f>
        <v>360</v>
      </c>
    </row>
    <row r="331" spans="1:7" x14ac:dyDescent="0.25">
      <c r="A331" s="34" t="s">
        <v>136</v>
      </c>
      <c r="B331" s="36"/>
      <c r="C331" s="36" t="s">
        <v>417</v>
      </c>
      <c r="D331" s="36"/>
      <c r="E331" s="48" t="s">
        <v>404</v>
      </c>
      <c r="F331" s="49">
        <f>SUM(F328:F330)</f>
        <v>1</v>
      </c>
      <c r="G331" s="50">
        <f>$F$4*F331</f>
        <v>3600</v>
      </c>
    </row>
    <row r="332" spans="1:7" x14ac:dyDescent="0.25">
      <c r="A332" s="34" t="s">
        <v>137</v>
      </c>
      <c r="B332" s="36"/>
      <c r="C332" s="36" t="s">
        <v>417</v>
      </c>
      <c r="D332" s="36"/>
      <c r="G332" s="35"/>
    </row>
    <row r="333" spans="1:7" x14ac:dyDescent="0.25">
      <c r="A333" s="34" t="s">
        <v>138</v>
      </c>
      <c r="B333" s="36"/>
      <c r="C333" s="36" t="s">
        <v>417</v>
      </c>
      <c r="D333" s="36"/>
      <c r="E333" s="1365" t="s">
        <v>418</v>
      </c>
      <c r="F333" s="1365"/>
      <c r="G333" s="35"/>
    </row>
    <row r="334" spans="1:7" x14ac:dyDescent="0.25">
      <c r="A334" s="34" t="s">
        <v>139</v>
      </c>
      <c r="B334" s="36"/>
      <c r="C334" s="36" t="s">
        <v>417</v>
      </c>
      <c r="D334" s="36"/>
      <c r="E334" s="48"/>
      <c r="F334" s="48"/>
      <c r="G334" s="35"/>
    </row>
    <row r="335" spans="1:7" x14ac:dyDescent="0.25">
      <c r="A335" s="34" t="s">
        <v>140</v>
      </c>
      <c r="B335" s="36"/>
      <c r="C335" s="36" t="s">
        <v>417</v>
      </c>
      <c r="D335" s="36"/>
      <c r="E335" s="48" t="s">
        <v>423</v>
      </c>
      <c r="F335" s="51">
        <f>B340</f>
        <v>121</v>
      </c>
      <c r="G335" s="35"/>
    </row>
    <row r="336" spans="1:7" x14ac:dyDescent="0.25">
      <c r="A336" s="34" t="s">
        <v>141</v>
      </c>
      <c r="B336" s="36"/>
      <c r="C336" s="36" t="s">
        <v>417</v>
      </c>
      <c r="D336" s="36"/>
      <c r="E336" s="48" t="s">
        <v>418</v>
      </c>
      <c r="F336" s="52">
        <v>30</v>
      </c>
      <c r="G336" s="35"/>
    </row>
    <row r="337" spans="1:7" x14ac:dyDescent="0.25">
      <c r="A337" s="34" t="s">
        <v>142</v>
      </c>
      <c r="B337" s="36"/>
      <c r="C337" s="36" t="s">
        <v>417</v>
      </c>
      <c r="D337" s="36"/>
      <c r="E337" s="48" t="s">
        <v>419</v>
      </c>
      <c r="F337" s="53">
        <f>SUM(G328:G331)-F335-F336</f>
        <v>7049</v>
      </c>
      <c r="G337" s="35"/>
    </row>
    <row r="338" spans="1:7" x14ac:dyDescent="0.25">
      <c r="A338" s="34" t="s">
        <v>144</v>
      </c>
      <c r="B338" s="36"/>
      <c r="C338" s="36" t="s">
        <v>417</v>
      </c>
      <c r="D338" s="36"/>
      <c r="G338" s="35"/>
    </row>
    <row r="339" spans="1:7" ht="15.75" thickBot="1" x14ac:dyDescent="0.3">
      <c r="A339" s="1357"/>
      <c r="B339" s="1358"/>
      <c r="C339" s="1358"/>
      <c r="E339" s="39" t="s">
        <v>420</v>
      </c>
      <c r="G339" s="35"/>
    </row>
    <row r="340" spans="1:7" ht="15.75" thickBot="1" x14ac:dyDescent="0.3">
      <c r="A340" s="40" t="s">
        <v>422</v>
      </c>
      <c r="B340" s="42">
        <f>SUM(B327:B339)</f>
        <v>121</v>
      </c>
      <c r="C340" s="42" t="s">
        <v>417</v>
      </c>
      <c r="D340" s="41"/>
      <c r="E340" s="42">
        <f>IF(F335&gt;F326,"O Projetor atigiu o pior nível de Imagem! É necessário uma troca urgente!",B340)</f>
        <v>121</v>
      </c>
      <c r="F340" s="41"/>
      <c r="G340" s="43"/>
    </row>
    <row r="342" spans="1:7" ht="15.75" thickBot="1" x14ac:dyDescent="0.3"/>
    <row r="343" spans="1:7" ht="15.75" thickBot="1" x14ac:dyDescent="0.3">
      <c r="A343" s="1376" t="s">
        <v>444</v>
      </c>
      <c r="B343" s="1377"/>
      <c r="C343" s="1377"/>
      <c r="D343" s="1377"/>
      <c r="E343" s="1377"/>
      <c r="F343" s="1377"/>
      <c r="G343" s="1378"/>
    </row>
    <row r="344" spans="1:7" x14ac:dyDescent="0.25">
      <c r="A344" s="37" t="s">
        <v>426</v>
      </c>
      <c r="B344" s="36"/>
      <c r="G344" s="35"/>
    </row>
    <row r="345" spans="1:7" ht="18.75" x14ac:dyDescent="0.3">
      <c r="A345" s="38" t="s">
        <v>388</v>
      </c>
      <c r="B345" s="54">
        <v>3600</v>
      </c>
      <c r="C345" s="36" t="s">
        <v>417</v>
      </c>
      <c r="D345" s="36"/>
      <c r="E345" t="s">
        <v>423</v>
      </c>
      <c r="F345">
        <f>B345</f>
        <v>3600</v>
      </c>
      <c r="G345" s="35"/>
    </row>
    <row r="346" spans="1:7" x14ac:dyDescent="0.25">
      <c r="A346" s="34" t="s">
        <v>132</v>
      </c>
      <c r="B346" s="36">
        <v>301</v>
      </c>
      <c r="C346" s="36" t="s">
        <v>417</v>
      </c>
      <c r="D346" s="36"/>
      <c r="E346" s="1366" t="s">
        <v>425</v>
      </c>
      <c r="F346" s="1366"/>
      <c r="G346" s="1367"/>
    </row>
    <row r="347" spans="1:7" x14ac:dyDescent="0.25">
      <c r="A347" s="34" t="s">
        <v>133</v>
      </c>
      <c r="B347" s="36">
        <v>300</v>
      </c>
      <c r="C347" s="36" t="s">
        <v>417</v>
      </c>
      <c r="D347" s="36"/>
      <c r="E347" s="48" t="s">
        <v>416</v>
      </c>
      <c r="F347" s="49">
        <v>0.5</v>
      </c>
      <c r="G347" s="50">
        <f>$F$4*F347</f>
        <v>1800</v>
      </c>
    </row>
    <row r="348" spans="1:7" x14ac:dyDescent="0.25">
      <c r="A348" s="34" t="s">
        <v>134</v>
      </c>
      <c r="B348" s="36">
        <v>300</v>
      </c>
      <c r="C348" s="36" t="s">
        <v>417</v>
      </c>
      <c r="D348" s="36"/>
      <c r="E348" s="48" t="s">
        <v>424</v>
      </c>
      <c r="F348" s="49">
        <v>0.4</v>
      </c>
      <c r="G348" s="50">
        <f>$F$4*F348</f>
        <v>1440</v>
      </c>
    </row>
    <row r="349" spans="1:7" x14ac:dyDescent="0.25">
      <c r="A349" s="34" t="s">
        <v>135</v>
      </c>
      <c r="B349" s="36">
        <v>300</v>
      </c>
      <c r="C349" s="36" t="s">
        <v>417</v>
      </c>
      <c r="D349" s="36"/>
      <c r="E349" s="48" t="s">
        <v>415</v>
      </c>
      <c r="F349" s="49">
        <v>0.1</v>
      </c>
      <c r="G349" s="50">
        <f>$F$4*F349</f>
        <v>360</v>
      </c>
    </row>
    <row r="350" spans="1:7" x14ac:dyDescent="0.25">
      <c r="A350" s="34" t="s">
        <v>136</v>
      </c>
      <c r="B350" s="36">
        <v>200</v>
      </c>
      <c r="C350" s="36" t="s">
        <v>417</v>
      </c>
      <c r="D350" s="36"/>
      <c r="E350" s="48" t="s">
        <v>404</v>
      </c>
      <c r="F350" s="49">
        <f>SUM(F347:F349)</f>
        <v>1</v>
      </c>
      <c r="G350" s="50">
        <f>$F$4*F350</f>
        <v>3600</v>
      </c>
    </row>
    <row r="351" spans="1:7" x14ac:dyDescent="0.25">
      <c r="A351" s="34" t="s">
        <v>137</v>
      </c>
      <c r="B351" s="36"/>
      <c r="C351" s="36" t="s">
        <v>417</v>
      </c>
      <c r="D351" s="36"/>
      <c r="G351" s="35"/>
    </row>
    <row r="352" spans="1:7" x14ac:dyDescent="0.25">
      <c r="A352" s="34" t="s">
        <v>138</v>
      </c>
      <c r="B352" s="36"/>
      <c r="C352" s="36" t="s">
        <v>417</v>
      </c>
      <c r="D352" s="36"/>
      <c r="E352" s="1365" t="s">
        <v>418</v>
      </c>
      <c r="F352" s="1365"/>
      <c r="G352" s="35"/>
    </row>
    <row r="353" spans="1:7" x14ac:dyDescent="0.25">
      <c r="A353" s="34" t="s">
        <v>139</v>
      </c>
      <c r="B353" s="36"/>
      <c r="C353" s="36" t="s">
        <v>417</v>
      </c>
      <c r="D353" s="36"/>
      <c r="E353" s="48"/>
      <c r="F353" s="48"/>
      <c r="G353" s="35"/>
    </row>
    <row r="354" spans="1:7" x14ac:dyDescent="0.25">
      <c r="A354" s="34" t="s">
        <v>140</v>
      </c>
      <c r="B354" s="36"/>
      <c r="C354" s="36" t="s">
        <v>417</v>
      </c>
      <c r="D354" s="36"/>
      <c r="E354" s="48" t="s">
        <v>423</v>
      </c>
      <c r="F354" s="51">
        <f>B359</f>
        <v>1401</v>
      </c>
      <c r="G354" s="35"/>
    </row>
    <row r="355" spans="1:7" x14ac:dyDescent="0.25">
      <c r="A355" s="34" t="s">
        <v>141</v>
      </c>
      <c r="B355" s="36"/>
      <c r="C355" s="36" t="s">
        <v>417</v>
      </c>
      <c r="D355" s="36"/>
      <c r="E355" s="48" t="s">
        <v>418</v>
      </c>
      <c r="F355" s="52">
        <v>30</v>
      </c>
      <c r="G355" s="35"/>
    </row>
    <row r="356" spans="1:7" x14ac:dyDescent="0.25">
      <c r="A356" s="34" t="s">
        <v>142</v>
      </c>
      <c r="B356" s="36"/>
      <c r="C356" s="36" t="s">
        <v>417</v>
      </c>
      <c r="D356" s="36"/>
      <c r="E356" s="48" t="s">
        <v>419</v>
      </c>
      <c r="F356" s="53">
        <f>SUM(G347:G350)-F354-F355</f>
        <v>5769</v>
      </c>
      <c r="G356" s="35"/>
    </row>
    <row r="357" spans="1:7" x14ac:dyDescent="0.25">
      <c r="A357" s="34" t="s">
        <v>144</v>
      </c>
      <c r="B357" s="36"/>
      <c r="C357" s="36" t="s">
        <v>417</v>
      </c>
      <c r="D357" s="36"/>
      <c r="G357" s="35"/>
    </row>
    <row r="358" spans="1:7" ht="15.75" thickBot="1" x14ac:dyDescent="0.3">
      <c r="A358" s="1357"/>
      <c r="B358" s="1358"/>
      <c r="C358" s="1358"/>
      <c r="E358" s="39" t="s">
        <v>420</v>
      </c>
      <c r="G358" s="35"/>
    </row>
    <row r="359" spans="1:7" ht="15.75" thickBot="1" x14ac:dyDescent="0.3">
      <c r="A359" s="40" t="s">
        <v>422</v>
      </c>
      <c r="B359" s="42">
        <f>SUM(B346:B358)</f>
        <v>1401</v>
      </c>
      <c r="C359" s="42" t="s">
        <v>417</v>
      </c>
      <c r="D359" s="41"/>
      <c r="E359" s="42">
        <f>IF(F354&gt;F345,"O Projetor atigiu o pior nível de Imagem! É necessário uma troca urgente!",B359)</f>
        <v>1401</v>
      </c>
      <c r="F359" s="41"/>
      <c r="G359" s="43"/>
    </row>
    <row r="361" spans="1:7" ht="15.75" thickBot="1" x14ac:dyDescent="0.3"/>
    <row r="362" spans="1:7" ht="15.75" thickBot="1" x14ac:dyDescent="0.3">
      <c r="A362" s="1359" t="s">
        <v>445</v>
      </c>
      <c r="B362" s="1360"/>
      <c r="C362" s="1360"/>
      <c r="D362" s="1360"/>
      <c r="E362" s="1360"/>
      <c r="F362" s="1360"/>
      <c r="G362" s="1361"/>
    </row>
    <row r="363" spans="1:7" x14ac:dyDescent="0.25">
      <c r="A363" s="37" t="s">
        <v>426</v>
      </c>
      <c r="B363" s="36"/>
      <c r="G363" s="35"/>
    </row>
    <row r="364" spans="1:7" ht="18.75" x14ac:dyDescent="0.3">
      <c r="A364" s="38" t="s">
        <v>388</v>
      </c>
      <c r="B364" s="54">
        <v>3600</v>
      </c>
      <c r="C364" s="36" t="s">
        <v>417</v>
      </c>
      <c r="D364" s="36"/>
      <c r="E364" t="s">
        <v>423</v>
      </c>
      <c r="F364">
        <f>B364</f>
        <v>3600</v>
      </c>
      <c r="G364" s="35"/>
    </row>
    <row r="365" spans="1:7" x14ac:dyDescent="0.25">
      <c r="A365" s="34" t="s">
        <v>132</v>
      </c>
      <c r="B365" s="36">
        <v>301</v>
      </c>
      <c r="C365" s="36" t="s">
        <v>417</v>
      </c>
      <c r="D365" s="36"/>
      <c r="E365" s="1366" t="s">
        <v>425</v>
      </c>
      <c r="F365" s="1366"/>
      <c r="G365" s="1367"/>
    </row>
    <row r="366" spans="1:7" x14ac:dyDescent="0.25">
      <c r="A366" s="34" t="s">
        <v>133</v>
      </c>
      <c r="B366" s="36">
        <v>300</v>
      </c>
      <c r="C366" s="36" t="s">
        <v>417</v>
      </c>
      <c r="D366" s="36"/>
      <c r="E366" s="48" t="s">
        <v>416</v>
      </c>
      <c r="F366" s="49">
        <v>0.5</v>
      </c>
      <c r="G366" s="50">
        <f>$F$4*F366</f>
        <v>1800</v>
      </c>
    </row>
    <row r="367" spans="1:7" x14ac:dyDescent="0.25">
      <c r="A367" s="34" t="s">
        <v>134</v>
      </c>
      <c r="B367" s="36">
        <v>300</v>
      </c>
      <c r="C367" s="36" t="s">
        <v>417</v>
      </c>
      <c r="D367" s="36"/>
      <c r="E367" s="48" t="s">
        <v>424</v>
      </c>
      <c r="F367" s="49">
        <v>0.4</v>
      </c>
      <c r="G367" s="50">
        <f>$F$4*F367</f>
        <v>1440</v>
      </c>
    </row>
    <row r="368" spans="1:7" x14ac:dyDescent="0.25">
      <c r="A368" s="34" t="s">
        <v>135</v>
      </c>
      <c r="B368" s="36">
        <v>300</v>
      </c>
      <c r="C368" s="36" t="s">
        <v>417</v>
      </c>
      <c r="D368" s="36"/>
      <c r="E368" s="48" t="s">
        <v>415</v>
      </c>
      <c r="F368" s="49">
        <v>0.1</v>
      </c>
      <c r="G368" s="50">
        <f>$F$4*F368</f>
        <v>360</v>
      </c>
    </row>
    <row r="369" spans="1:7" x14ac:dyDescent="0.25">
      <c r="A369" s="34" t="s">
        <v>136</v>
      </c>
      <c r="B369" s="36"/>
      <c r="C369" s="36" t="s">
        <v>417</v>
      </c>
      <c r="D369" s="36"/>
      <c r="E369" s="48" t="s">
        <v>404</v>
      </c>
      <c r="F369" s="49">
        <f>SUM(F366:F368)</f>
        <v>1</v>
      </c>
      <c r="G369" s="50">
        <f>$F$4*F369</f>
        <v>3600</v>
      </c>
    </row>
    <row r="370" spans="1:7" x14ac:dyDescent="0.25">
      <c r="A370" s="34" t="s">
        <v>137</v>
      </c>
      <c r="B370" s="36"/>
      <c r="C370" s="36" t="s">
        <v>417</v>
      </c>
      <c r="D370" s="36"/>
      <c r="G370" s="35"/>
    </row>
    <row r="371" spans="1:7" x14ac:dyDescent="0.25">
      <c r="A371" s="34" t="s">
        <v>138</v>
      </c>
      <c r="B371" s="36"/>
      <c r="C371" s="36" t="s">
        <v>417</v>
      </c>
      <c r="D371" s="36"/>
      <c r="E371" s="1365" t="s">
        <v>418</v>
      </c>
      <c r="F371" s="1365"/>
      <c r="G371" s="35"/>
    </row>
    <row r="372" spans="1:7" x14ac:dyDescent="0.25">
      <c r="A372" s="34" t="s">
        <v>139</v>
      </c>
      <c r="B372" s="36"/>
      <c r="C372" s="36" t="s">
        <v>417</v>
      </c>
      <c r="D372" s="36"/>
      <c r="E372" s="48"/>
      <c r="F372" s="48"/>
      <c r="G372" s="35"/>
    </row>
    <row r="373" spans="1:7" x14ac:dyDescent="0.25">
      <c r="A373" s="34" t="s">
        <v>140</v>
      </c>
      <c r="B373" s="36"/>
      <c r="C373" s="36" t="s">
        <v>417</v>
      </c>
      <c r="D373" s="36"/>
      <c r="E373" s="48" t="s">
        <v>423</v>
      </c>
      <c r="F373" s="51">
        <f>B378</f>
        <v>1201</v>
      </c>
      <c r="G373" s="35"/>
    </row>
    <row r="374" spans="1:7" x14ac:dyDescent="0.25">
      <c r="A374" s="34" t="s">
        <v>141</v>
      </c>
      <c r="B374" s="36"/>
      <c r="C374" s="36" t="s">
        <v>417</v>
      </c>
      <c r="D374" s="36"/>
      <c r="E374" s="48" t="s">
        <v>418</v>
      </c>
      <c r="F374" s="52">
        <v>30</v>
      </c>
      <c r="G374" s="35"/>
    </row>
    <row r="375" spans="1:7" x14ac:dyDescent="0.25">
      <c r="A375" s="34" t="s">
        <v>142</v>
      </c>
      <c r="B375" s="36"/>
      <c r="C375" s="36" t="s">
        <v>417</v>
      </c>
      <c r="D375" s="36"/>
      <c r="E375" s="48" t="s">
        <v>419</v>
      </c>
      <c r="F375" s="53">
        <f>SUM(G366:G369)-F373-F374</f>
        <v>5969</v>
      </c>
      <c r="G375" s="35"/>
    </row>
    <row r="376" spans="1:7" x14ac:dyDescent="0.25">
      <c r="A376" s="34" t="s">
        <v>144</v>
      </c>
      <c r="B376" s="36"/>
      <c r="C376" s="36" t="s">
        <v>417</v>
      </c>
      <c r="D376" s="36"/>
      <c r="G376" s="35"/>
    </row>
    <row r="377" spans="1:7" ht="15.75" thickBot="1" x14ac:dyDescent="0.3">
      <c r="A377" s="1357"/>
      <c r="B377" s="1358"/>
      <c r="C377" s="1358"/>
      <c r="E377" s="39" t="s">
        <v>420</v>
      </c>
      <c r="G377" s="35"/>
    </row>
    <row r="378" spans="1:7" ht="15.75" thickBot="1" x14ac:dyDescent="0.3">
      <c r="A378" s="40" t="s">
        <v>422</v>
      </c>
      <c r="B378" s="42">
        <f>SUM(B365:B377)</f>
        <v>1201</v>
      </c>
      <c r="C378" s="42" t="s">
        <v>417</v>
      </c>
      <c r="D378" s="41"/>
      <c r="E378" s="42">
        <f>IF(F373&gt;F364,"O Projetor atigiu o pior nível de Imagem! É necessário uma troca urgente!",B378)</f>
        <v>1201</v>
      </c>
      <c r="F378" s="41"/>
      <c r="G378" s="43"/>
    </row>
    <row r="380" spans="1:7" ht="15.75" thickBot="1" x14ac:dyDescent="0.3"/>
    <row r="381" spans="1:7" ht="15.75" thickBot="1" x14ac:dyDescent="0.3">
      <c r="A381" s="1359" t="s">
        <v>446</v>
      </c>
      <c r="B381" s="1360"/>
      <c r="C381" s="1360"/>
      <c r="D381" s="1360"/>
      <c r="E381" s="1360"/>
      <c r="F381" s="1360"/>
      <c r="G381" s="1361"/>
    </row>
    <row r="382" spans="1:7" x14ac:dyDescent="0.25">
      <c r="A382" s="37" t="s">
        <v>426</v>
      </c>
      <c r="B382" s="36"/>
      <c r="G382" s="35"/>
    </row>
    <row r="383" spans="1:7" ht="18.75" x14ac:dyDescent="0.3">
      <c r="A383" s="38" t="s">
        <v>388</v>
      </c>
      <c r="B383" s="54">
        <v>3600</v>
      </c>
      <c r="C383" s="36" t="s">
        <v>417</v>
      </c>
      <c r="D383" s="36"/>
      <c r="E383" t="s">
        <v>423</v>
      </c>
      <c r="F383">
        <f>B383</f>
        <v>3600</v>
      </c>
      <c r="G383" s="35"/>
    </row>
    <row r="384" spans="1:7" x14ac:dyDescent="0.25">
      <c r="A384" s="34" t="s">
        <v>132</v>
      </c>
      <c r="B384" s="36">
        <v>301</v>
      </c>
      <c r="C384" s="36" t="s">
        <v>417</v>
      </c>
      <c r="D384" s="36"/>
      <c r="E384" s="1366" t="s">
        <v>425</v>
      </c>
      <c r="F384" s="1366"/>
      <c r="G384" s="1367"/>
    </row>
    <row r="385" spans="1:7" x14ac:dyDescent="0.25">
      <c r="A385" s="34" t="s">
        <v>133</v>
      </c>
      <c r="B385" s="36">
        <v>300</v>
      </c>
      <c r="C385" s="36" t="s">
        <v>417</v>
      </c>
      <c r="D385" s="36"/>
      <c r="E385" s="48" t="s">
        <v>416</v>
      </c>
      <c r="F385" s="49">
        <v>0.5</v>
      </c>
      <c r="G385" s="50">
        <f>$F$4*F385</f>
        <v>1800</v>
      </c>
    </row>
    <row r="386" spans="1:7" x14ac:dyDescent="0.25">
      <c r="A386" s="34" t="s">
        <v>134</v>
      </c>
      <c r="B386" s="36">
        <v>300</v>
      </c>
      <c r="C386" s="36" t="s">
        <v>417</v>
      </c>
      <c r="D386" s="36"/>
      <c r="E386" s="48" t="s">
        <v>424</v>
      </c>
      <c r="F386" s="49">
        <v>0.4</v>
      </c>
      <c r="G386" s="50">
        <f>$F$4*F386</f>
        <v>1440</v>
      </c>
    </row>
    <row r="387" spans="1:7" x14ac:dyDescent="0.25">
      <c r="A387" s="34" t="s">
        <v>135</v>
      </c>
      <c r="B387" s="36">
        <v>300</v>
      </c>
      <c r="C387" s="36" t="s">
        <v>417</v>
      </c>
      <c r="D387" s="36"/>
      <c r="E387" s="48" t="s">
        <v>415</v>
      </c>
      <c r="F387" s="49">
        <v>0.1</v>
      </c>
      <c r="G387" s="50">
        <f>$F$4*F387</f>
        <v>360</v>
      </c>
    </row>
    <row r="388" spans="1:7" x14ac:dyDescent="0.25">
      <c r="A388" s="34" t="s">
        <v>136</v>
      </c>
      <c r="B388" s="36">
        <v>300</v>
      </c>
      <c r="C388" s="36" t="s">
        <v>417</v>
      </c>
      <c r="D388" s="36"/>
      <c r="E388" s="48" t="s">
        <v>404</v>
      </c>
      <c r="F388" s="49">
        <f>SUM(F385:F387)</f>
        <v>1</v>
      </c>
      <c r="G388" s="50">
        <f>$F$4*F388</f>
        <v>3600</v>
      </c>
    </row>
    <row r="389" spans="1:7" x14ac:dyDescent="0.25">
      <c r="A389" s="34" t="s">
        <v>137</v>
      </c>
      <c r="B389" s="36">
        <v>300</v>
      </c>
      <c r="C389" s="36" t="s">
        <v>417</v>
      </c>
      <c r="D389" s="36"/>
      <c r="G389" s="35"/>
    </row>
    <row r="390" spans="1:7" x14ac:dyDescent="0.25">
      <c r="A390" s="34" t="s">
        <v>138</v>
      </c>
      <c r="B390" s="36">
        <v>300</v>
      </c>
      <c r="C390" s="36" t="s">
        <v>417</v>
      </c>
      <c r="D390" s="36"/>
      <c r="E390" s="1365" t="s">
        <v>418</v>
      </c>
      <c r="F390" s="1365"/>
      <c r="G390" s="35"/>
    </row>
    <row r="391" spans="1:7" x14ac:dyDescent="0.25">
      <c r="A391" s="34" t="s">
        <v>139</v>
      </c>
      <c r="B391" s="36">
        <v>300</v>
      </c>
      <c r="C391" s="36" t="s">
        <v>417</v>
      </c>
      <c r="D391" s="36"/>
      <c r="E391" s="48"/>
      <c r="F391" s="48"/>
      <c r="G391" s="35"/>
    </row>
    <row r="392" spans="1:7" x14ac:dyDescent="0.25">
      <c r="A392" s="34" t="s">
        <v>140</v>
      </c>
      <c r="B392" s="36">
        <v>300</v>
      </c>
      <c r="C392" s="36" t="s">
        <v>417</v>
      </c>
      <c r="D392" s="36"/>
      <c r="E392" s="48" t="s">
        <v>423</v>
      </c>
      <c r="F392" s="51">
        <f>B397</f>
        <v>3601</v>
      </c>
      <c r="G392" s="35"/>
    </row>
    <row r="393" spans="1:7" x14ac:dyDescent="0.25">
      <c r="A393" s="34" t="s">
        <v>141</v>
      </c>
      <c r="B393" s="36">
        <v>300</v>
      </c>
      <c r="C393" s="36" t="s">
        <v>417</v>
      </c>
      <c r="D393" s="36"/>
      <c r="E393" s="48" t="s">
        <v>418</v>
      </c>
      <c r="F393" s="52">
        <v>30</v>
      </c>
      <c r="G393" s="35"/>
    </row>
    <row r="394" spans="1:7" x14ac:dyDescent="0.25">
      <c r="A394" s="34" t="s">
        <v>142</v>
      </c>
      <c r="B394" s="36">
        <v>300</v>
      </c>
      <c r="C394" s="36" t="s">
        <v>417</v>
      </c>
      <c r="D394" s="36"/>
      <c r="E394" s="48" t="s">
        <v>419</v>
      </c>
      <c r="F394" s="53">
        <f>SUM(G385:G388)-F392-F393</f>
        <v>3569</v>
      </c>
      <c r="G394" s="35"/>
    </row>
    <row r="395" spans="1:7" x14ac:dyDescent="0.25">
      <c r="A395" s="34" t="s">
        <v>144</v>
      </c>
      <c r="B395" s="36">
        <v>300</v>
      </c>
      <c r="C395" s="36" t="s">
        <v>417</v>
      </c>
      <c r="D395" s="36"/>
      <c r="G395" s="35"/>
    </row>
    <row r="396" spans="1:7" ht="15.75" thickBot="1" x14ac:dyDescent="0.3">
      <c r="A396" s="1357"/>
      <c r="B396" s="1358"/>
      <c r="C396" s="1358"/>
      <c r="E396" s="39" t="s">
        <v>420</v>
      </c>
      <c r="G396" s="35"/>
    </row>
    <row r="397" spans="1:7" ht="15.75" thickBot="1" x14ac:dyDescent="0.3">
      <c r="A397" s="40" t="s">
        <v>422</v>
      </c>
      <c r="B397" s="42">
        <f>SUM(B384:B396)</f>
        <v>3601</v>
      </c>
      <c r="C397" s="42" t="s">
        <v>417</v>
      </c>
      <c r="D397" s="41"/>
      <c r="E397" s="42" t="str">
        <f>IF(F392&gt;F383,"SEM PROJETOR NESSA SALA",B397)</f>
        <v>SEM PROJETOR NESSA SALA</v>
      </c>
      <c r="F397" s="41"/>
      <c r="G397" s="43"/>
    </row>
    <row r="399" spans="1:7" ht="15.75" thickBot="1" x14ac:dyDescent="0.3"/>
    <row r="400" spans="1:7" ht="15.75" thickBot="1" x14ac:dyDescent="0.3">
      <c r="A400" s="1359" t="s">
        <v>447</v>
      </c>
      <c r="B400" s="1360"/>
      <c r="C400" s="1360"/>
      <c r="D400" s="1360"/>
      <c r="E400" s="1360"/>
      <c r="F400" s="1360"/>
      <c r="G400" s="1361"/>
    </row>
    <row r="401" spans="1:7" x14ac:dyDescent="0.25">
      <c r="A401" s="37" t="s">
        <v>426</v>
      </c>
      <c r="B401" s="36"/>
      <c r="G401" s="35"/>
    </row>
    <row r="402" spans="1:7" ht="18.75" x14ac:dyDescent="0.3">
      <c r="A402" s="38" t="s">
        <v>388</v>
      </c>
      <c r="B402" s="54">
        <v>3600</v>
      </c>
      <c r="C402" s="36" t="s">
        <v>417</v>
      </c>
      <c r="D402" s="36"/>
      <c r="E402" t="s">
        <v>423</v>
      </c>
      <c r="F402">
        <f>B402</f>
        <v>3600</v>
      </c>
      <c r="G402" s="35"/>
    </row>
    <row r="403" spans="1:7" x14ac:dyDescent="0.25">
      <c r="A403" s="34" t="s">
        <v>132</v>
      </c>
      <c r="B403" s="36">
        <v>301</v>
      </c>
      <c r="C403" s="36" t="s">
        <v>417</v>
      </c>
      <c r="D403" s="36"/>
      <c r="E403" s="1366" t="s">
        <v>425</v>
      </c>
      <c r="F403" s="1366"/>
      <c r="G403" s="1367"/>
    </row>
    <row r="404" spans="1:7" x14ac:dyDescent="0.25">
      <c r="A404" s="34" t="s">
        <v>133</v>
      </c>
      <c r="B404" s="36">
        <v>300</v>
      </c>
      <c r="C404" s="36" t="s">
        <v>417</v>
      </c>
      <c r="D404" s="36"/>
      <c r="E404" s="48" t="s">
        <v>416</v>
      </c>
      <c r="F404" s="49">
        <v>0.5</v>
      </c>
      <c r="G404" s="50">
        <f>$F$4*F404</f>
        <v>1800</v>
      </c>
    </row>
    <row r="405" spans="1:7" x14ac:dyDescent="0.25">
      <c r="A405" s="34" t="s">
        <v>134</v>
      </c>
      <c r="B405" s="36">
        <v>300</v>
      </c>
      <c r="C405" s="36" t="s">
        <v>417</v>
      </c>
      <c r="D405" s="36"/>
      <c r="E405" s="48" t="s">
        <v>424</v>
      </c>
      <c r="F405" s="49">
        <v>0.4</v>
      </c>
      <c r="G405" s="50">
        <f>$F$4*F405</f>
        <v>1440</v>
      </c>
    </row>
    <row r="406" spans="1:7" x14ac:dyDescent="0.25">
      <c r="A406" s="34" t="s">
        <v>135</v>
      </c>
      <c r="B406" s="36">
        <v>300</v>
      </c>
      <c r="C406" s="36" t="s">
        <v>417</v>
      </c>
      <c r="D406" s="36"/>
      <c r="E406" s="48" t="s">
        <v>415</v>
      </c>
      <c r="F406" s="49">
        <v>0.1</v>
      </c>
      <c r="G406" s="50">
        <f>$F$4*F406</f>
        <v>360</v>
      </c>
    </row>
    <row r="407" spans="1:7" x14ac:dyDescent="0.25">
      <c r="A407" s="34" t="s">
        <v>136</v>
      </c>
      <c r="B407" s="36">
        <v>300</v>
      </c>
      <c r="C407" s="36" t="s">
        <v>417</v>
      </c>
      <c r="D407" s="36"/>
      <c r="E407" s="48" t="s">
        <v>404</v>
      </c>
      <c r="F407" s="49">
        <f>SUM(F404:F406)</f>
        <v>1</v>
      </c>
      <c r="G407" s="50">
        <f>$F$4*F407</f>
        <v>3600</v>
      </c>
    </row>
    <row r="408" spans="1:7" x14ac:dyDescent="0.25">
      <c r="A408" s="34" t="s">
        <v>137</v>
      </c>
      <c r="B408" s="36">
        <v>300</v>
      </c>
      <c r="C408" s="36" t="s">
        <v>417</v>
      </c>
      <c r="D408" s="36"/>
      <c r="G408" s="35"/>
    </row>
    <row r="409" spans="1:7" x14ac:dyDescent="0.25">
      <c r="A409" s="34" t="s">
        <v>138</v>
      </c>
      <c r="B409" s="36">
        <v>300</v>
      </c>
      <c r="C409" s="36" t="s">
        <v>417</v>
      </c>
      <c r="D409" s="36"/>
      <c r="E409" s="1365" t="s">
        <v>418</v>
      </c>
      <c r="F409" s="1365"/>
      <c r="G409" s="35"/>
    </row>
    <row r="410" spans="1:7" x14ac:dyDescent="0.25">
      <c r="A410" s="34" t="s">
        <v>139</v>
      </c>
      <c r="B410" s="36">
        <v>300</v>
      </c>
      <c r="C410" s="36" t="s">
        <v>417</v>
      </c>
      <c r="D410" s="36"/>
      <c r="E410" s="48"/>
      <c r="F410" s="48"/>
      <c r="G410" s="35"/>
    </row>
    <row r="411" spans="1:7" x14ac:dyDescent="0.25">
      <c r="A411" s="34" t="s">
        <v>140</v>
      </c>
      <c r="B411" s="36">
        <v>300</v>
      </c>
      <c r="C411" s="36" t="s">
        <v>417</v>
      </c>
      <c r="D411" s="36"/>
      <c r="E411" s="48" t="s">
        <v>423</v>
      </c>
      <c r="F411" s="51">
        <f>B416</f>
        <v>3601</v>
      </c>
      <c r="G411" s="35"/>
    </row>
    <row r="412" spans="1:7" x14ac:dyDescent="0.25">
      <c r="A412" s="34" t="s">
        <v>141</v>
      </c>
      <c r="B412" s="36">
        <v>300</v>
      </c>
      <c r="C412" s="36" t="s">
        <v>417</v>
      </c>
      <c r="D412" s="36"/>
      <c r="E412" s="48" t="s">
        <v>418</v>
      </c>
      <c r="F412" s="52">
        <v>30</v>
      </c>
      <c r="G412" s="35"/>
    </row>
    <row r="413" spans="1:7" x14ac:dyDescent="0.25">
      <c r="A413" s="34" t="s">
        <v>142</v>
      </c>
      <c r="B413" s="36">
        <v>300</v>
      </c>
      <c r="C413" s="36" t="s">
        <v>417</v>
      </c>
      <c r="D413" s="36"/>
      <c r="E413" s="48" t="s">
        <v>419</v>
      </c>
      <c r="F413" s="53">
        <f>SUM(G404:G407)-F411-F412</f>
        <v>3569</v>
      </c>
      <c r="G413" s="35"/>
    </row>
    <row r="414" spans="1:7" x14ac:dyDescent="0.25">
      <c r="A414" s="34" t="s">
        <v>144</v>
      </c>
      <c r="B414" s="36">
        <v>300</v>
      </c>
      <c r="C414" s="36" t="s">
        <v>417</v>
      </c>
      <c r="D414" s="36"/>
      <c r="G414" s="35"/>
    </row>
    <row r="415" spans="1:7" ht="15.75" thickBot="1" x14ac:dyDescent="0.3">
      <c r="A415" s="1357"/>
      <c r="B415" s="1358"/>
      <c r="C415" s="1358"/>
      <c r="E415" s="39" t="s">
        <v>420</v>
      </c>
      <c r="G415" s="35"/>
    </row>
    <row r="416" spans="1:7" ht="15.75" thickBot="1" x14ac:dyDescent="0.3">
      <c r="A416" s="40" t="s">
        <v>422</v>
      </c>
      <c r="B416" s="42">
        <f>SUM(B403:B415)</f>
        <v>3601</v>
      </c>
      <c r="C416" s="42" t="s">
        <v>417</v>
      </c>
      <c r="D416" s="41"/>
      <c r="E416" s="42" t="str">
        <f>IF(F411&gt;F402,"SEM PROJETOR NESSA SALA",B416)</f>
        <v>SEM PROJETOR NESSA SALA</v>
      </c>
      <c r="F416" s="41"/>
      <c r="G416" s="43"/>
    </row>
    <row r="418" spans="1:7" ht="15.75" thickBot="1" x14ac:dyDescent="0.3"/>
    <row r="419" spans="1:7" ht="15.75" thickBot="1" x14ac:dyDescent="0.3">
      <c r="A419" s="1359" t="s">
        <v>448</v>
      </c>
      <c r="B419" s="1360"/>
      <c r="C419" s="1360"/>
      <c r="D419" s="1360"/>
      <c r="E419" s="1360"/>
      <c r="F419" s="1360"/>
      <c r="G419" s="1361"/>
    </row>
    <row r="420" spans="1:7" x14ac:dyDescent="0.25">
      <c r="A420" s="37" t="s">
        <v>426</v>
      </c>
      <c r="B420" s="36"/>
      <c r="G420" s="35"/>
    </row>
    <row r="421" spans="1:7" ht="18.75" x14ac:dyDescent="0.3">
      <c r="A421" s="38" t="s">
        <v>388</v>
      </c>
      <c r="B421" s="54">
        <v>3600</v>
      </c>
      <c r="C421" s="36" t="s">
        <v>417</v>
      </c>
      <c r="D421" s="36"/>
      <c r="E421" t="s">
        <v>423</v>
      </c>
      <c r="F421">
        <f>B421</f>
        <v>3600</v>
      </c>
      <c r="G421" s="35"/>
    </row>
    <row r="422" spans="1:7" x14ac:dyDescent="0.25">
      <c r="A422" s="34" t="s">
        <v>132</v>
      </c>
      <c r="B422" s="36">
        <v>301</v>
      </c>
      <c r="C422" s="36" t="s">
        <v>417</v>
      </c>
      <c r="D422" s="36"/>
      <c r="E422" s="1366" t="s">
        <v>425</v>
      </c>
      <c r="F422" s="1366"/>
      <c r="G422" s="1367"/>
    </row>
    <row r="423" spans="1:7" x14ac:dyDescent="0.25">
      <c r="A423" s="34" t="s">
        <v>133</v>
      </c>
      <c r="B423" s="36">
        <v>300</v>
      </c>
      <c r="C423" s="36" t="s">
        <v>417</v>
      </c>
      <c r="D423" s="36"/>
      <c r="E423" s="48" t="s">
        <v>416</v>
      </c>
      <c r="F423" s="49">
        <v>0.5</v>
      </c>
      <c r="G423" s="50">
        <f>$F$4*F423</f>
        <v>1800</v>
      </c>
    </row>
    <row r="424" spans="1:7" x14ac:dyDescent="0.25">
      <c r="A424" s="34" t="s">
        <v>134</v>
      </c>
      <c r="B424" s="36">
        <v>300</v>
      </c>
      <c r="C424" s="36" t="s">
        <v>417</v>
      </c>
      <c r="D424" s="36"/>
      <c r="E424" s="48" t="s">
        <v>424</v>
      </c>
      <c r="F424" s="49">
        <v>0.4</v>
      </c>
      <c r="G424" s="50">
        <f>$F$4*F424</f>
        <v>1440</v>
      </c>
    </row>
    <row r="425" spans="1:7" x14ac:dyDescent="0.25">
      <c r="A425" s="34" t="s">
        <v>135</v>
      </c>
      <c r="B425" s="36">
        <v>300</v>
      </c>
      <c r="C425" s="36" t="s">
        <v>417</v>
      </c>
      <c r="D425" s="36"/>
      <c r="E425" s="48" t="s">
        <v>415</v>
      </c>
      <c r="F425" s="49">
        <v>0.1</v>
      </c>
      <c r="G425" s="50">
        <f>$F$4*F425</f>
        <v>360</v>
      </c>
    </row>
    <row r="426" spans="1:7" x14ac:dyDescent="0.25">
      <c r="A426" s="34" t="s">
        <v>136</v>
      </c>
      <c r="B426" s="36">
        <v>300</v>
      </c>
      <c r="C426" s="36" t="s">
        <v>417</v>
      </c>
      <c r="D426" s="36"/>
      <c r="E426" s="48" t="s">
        <v>404</v>
      </c>
      <c r="F426" s="49">
        <f>SUM(F423:F425)</f>
        <v>1</v>
      </c>
      <c r="G426" s="50">
        <f>$F$4*F426</f>
        <v>3600</v>
      </c>
    </row>
    <row r="427" spans="1:7" x14ac:dyDescent="0.25">
      <c r="A427" s="34" t="s">
        <v>137</v>
      </c>
      <c r="B427" s="36">
        <v>300</v>
      </c>
      <c r="C427" s="36" t="s">
        <v>417</v>
      </c>
      <c r="D427" s="36"/>
      <c r="G427" s="35"/>
    </row>
    <row r="428" spans="1:7" x14ac:dyDescent="0.25">
      <c r="A428" s="34" t="s">
        <v>138</v>
      </c>
      <c r="B428" s="36">
        <v>300</v>
      </c>
      <c r="C428" s="36" t="s">
        <v>417</v>
      </c>
      <c r="D428" s="36"/>
      <c r="E428" s="1365" t="s">
        <v>418</v>
      </c>
      <c r="F428" s="1365"/>
      <c r="G428" s="35"/>
    </row>
    <row r="429" spans="1:7" x14ac:dyDescent="0.25">
      <c r="A429" s="34" t="s">
        <v>139</v>
      </c>
      <c r="B429" s="36">
        <v>300</v>
      </c>
      <c r="C429" s="36" t="s">
        <v>417</v>
      </c>
      <c r="D429" s="36"/>
      <c r="E429" s="48"/>
      <c r="F429" s="48"/>
      <c r="G429" s="35"/>
    </row>
    <row r="430" spans="1:7" x14ac:dyDescent="0.25">
      <c r="A430" s="34" t="s">
        <v>140</v>
      </c>
      <c r="B430" s="36">
        <v>300</v>
      </c>
      <c r="C430" s="36" t="s">
        <v>417</v>
      </c>
      <c r="D430" s="36"/>
      <c r="E430" s="48" t="s">
        <v>423</v>
      </c>
      <c r="F430" s="51">
        <f>B435</f>
        <v>3301</v>
      </c>
      <c r="G430" s="35"/>
    </row>
    <row r="431" spans="1:7" x14ac:dyDescent="0.25">
      <c r="A431" s="34" t="s">
        <v>141</v>
      </c>
      <c r="B431" s="36">
        <v>300</v>
      </c>
      <c r="C431" s="36" t="s">
        <v>417</v>
      </c>
      <c r="D431" s="36"/>
      <c r="E431" s="48" t="s">
        <v>418</v>
      </c>
      <c r="F431" s="52">
        <v>30</v>
      </c>
      <c r="G431" s="35"/>
    </row>
    <row r="432" spans="1:7" x14ac:dyDescent="0.25">
      <c r="A432" s="34" t="s">
        <v>142</v>
      </c>
      <c r="B432" s="36">
        <v>300</v>
      </c>
      <c r="C432" s="36" t="s">
        <v>417</v>
      </c>
      <c r="D432" s="36"/>
      <c r="E432" s="48" t="s">
        <v>419</v>
      </c>
      <c r="F432" s="53">
        <f>SUM(G423:G426)-F430-F431</f>
        <v>3869</v>
      </c>
      <c r="G432" s="35"/>
    </row>
    <row r="433" spans="1:7" x14ac:dyDescent="0.25">
      <c r="A433" s="34" t="s">
        <v>144</v>
      </c>
      <c r="B433" s="36"/>
      <c r="C433" s="36" t="s">
        <v>417</v>
      </c>
      <c r="D433" s="36"/>
      <c r="G433" s="35"/>
    </row>
    <row r="434" spans="1:7" ht="15.75" thickBot="1" x14ac:dyDescent="0.3">
      <c r="A434" s="1357"/>
      <c r="B434" s="1358"/>
      <c r="C434" s="1358"/>
      <c r="E434" s="39" t="s">
        <v>420</v>
      </c>
      <c r="G434" s="35"/>
    </row>
    <row r="435" spans="1:7" ht="15.75" thickBot="1" x14ac:dyDescent="0.3">
      <c r="A435" s="40" t="s">
        <v>422</v>
      </c>
      <c r="B435" s="42">
        <f>SUM(B422:B434)</f>
        <v>3301</v>
      </c>
      <c r="C435" s="42" t="s">
        <v>417</v>
      </c>
      <c r="D435" s="41"/>
      <c r="E435" s="42">
        <f>IF(F430&gt;F421,"O Projetor atigiu o pior nível de Imagem! É necessário uma troca urgente!",B435)</f>
        <v>3301</v>
      </c>
      <c r="F435" s="41"/>
      <c r="G435" s="43"/>
    </row>
    <row r="437" spans="1:7" ht="15.75" thickBot="1" x14ac:dyDescent="0.3"/>
    <row r="438" spans="1:7" ht="15.75" thickBot="1" x14ac:dyDescent="0.3">
      <c r="A438" s="1359" t="s">
        <v>449</v>
      </c>
      <c r="B438" s="1360"/>
      <c r="C438" s="1360"/>
      <c r="D438" s="1360"/>
      <c r="E438" s="1360"/>
      <c r="F438" s="1360"/>
      <c r="G438" s="1361"/>
    </row>
    <row r="439" spans="1:7" x14ac:dyDescent="0.25">
      <c r="A439" s="44" t="s">
        <v>426</v>
      </c>
      <c r="B439" s="45"/>
      <c r="C439" s="46"/>
      <c r="D439" s="46"/>
      <c r="E439" s="46"/>
      <c r="F439" s="46"/>
      <c r="G439" s="47"/>
    </row>
    <row r="440" spans="1:7" ht="18.75" x14ac:dyDescent="0.3">
      <c r="A440" s="38" t="s">
        <v>388</v>
      </c>
      <c r="B440" s="54">
        <v>3600</v>
      </c>
      <c r="C440" s="36" t="s">
        <v>417</v>
      </c>
      <c r="D440" s="36"/>
      <c r="E440" t="s">
        <v>423</v>
      </c>
      <c r="F440">
        <f>B440</f>
        <v>3600</v>
      </c>
      <c r="G440" s="35"/>
    </row>
    <row r="441" spans="1:7" x14ac:dyDescent="0.25">
      <c r="A441" s="34" t="s">
        <v>132</v>
      </c>
      <c r="B441" s="36">
        <v>301</v>
      </c>
      <c r="C441" s="36" t="s">
        <v>417</v>
      </c>
      <c r="D441" s="36"/>
      <c r="E441" s="1366" t="s">
        <v>425</v>
      </c>
      <c r="F441" s="1366"/>
      <c r="G441" s="1367"/>
    </row>
    <row r="442" spans="1:7" x14ac:dyDescent="0.25">
      <c r="A442" s="34" t="s">
        <v>133</v>
      </c>
      <c r="B442" s="36">
        <v>300</v>
      </c>
      <c r="C442" s="36" t="s">
        <v>417</v>
      </c>
      <c r="D442" s="36"/>
      <c r="E442" s="48" t="s">
        <v>416</v>
      </c>
      <c r="F442" s="49">
        <v>0.5</v>
      </c>
      <c r="G442" s="50">
        <f>$F$4*F442</f>
        <v>1800</v>
      </c>
    </row>
    <row r="443" spans="1:7" x14ac:dyDescent="0.25">
      <c r="A443" s="34" t="s">
        <v>134</v>
      </c>
      <c r="B443" s="36">
        <v>300</v>
      </c>
      <c r="C443" s="36" t="s">
        <v>417</v>
      </c>
      <c r="D443" s="36"/>
      <c r="E443" s="48" t="s">
        <v>424</v>
      </c>
      <c r="F443" s="49">
        <v>0.4</v>
      </c>
      <c r="G443" s="50">
        <f>$F$4*F443</f>
        <v>1440</v>
      </c>
    </row>
    <row r="444" spans="1:7" x14ac:dyDescent="0.25">
      <c r="A444" s="34" t="s">
        <v>135</v>
      </c>
      <c r="B444" s="36">
        <v>300</v>
      </c>
      <c r="C444" s="36" t="s">
        <v>417</v>
      </c>
      <c r="D444" s="36"/>
      <c r="E444" s="48" t="s">
        <v>415</v>
      </c>
      <c r="F444" s="49">
        <v>0.1</v>
      </c>
      <c r="G444" s="50">
        <f>$F$4*F444</f>
        <v>360</v>
      </c>
    </row>
    <row r="445" spans="1:7" x14ac:dyDescent="0.25">
      <c r="A445" s="34" t="s">
        <v>136</v>
      </c>
      <c r="B445" s="36">
        <v>300</v>
      </c>
      <c r="C445" s="36" t="s">
        <v>417</v>
      </c>
      <c r="D445" s="36"/>
      <c r="E445" s="48" t="s">
        <v>404</v>
      </c>
      <c r="F445" s="49">
        <f>SUM(F442:F444)</f>
        <v>1</v>
      </c>
      <c r="G445" s="50">
        <f>$F$4*F445</f>
        <v>3600</v>
      </c>
    </row>
    <row r="446" spans="1:7" x14ac:dyDescent="0.25">
      <c r="A446" s="34" t="s">
        <v>137</v>
      </c>
      <c r="B446" s="36"/>
      <c r="C446" s="36" t="s">
        <v>417</v>
      </c>
      <c r="D446" s="36"/>
      <c r="G446" s="35"/>
    </row>
    <row r="447" spans="1:7" x14ac:dyDescent="0.25">
      <c r="A447" s="34" t="s">
        <v>138</v>
      </c>
      <c r="B447" s="36"/>
      <c r="C447" s="36" t="s">
        <v>417</v>
      </c>
      <c r="D447" s="36"/>
      <c r="E447" s="1365" t="s">
        <v>418</v>
      </c>
      <c r="F447" s="1365"/>
      <c r="G447" s="35"/>
    </row>
    <row r="448" spans="1:7" x14ac:dyDescent="0.25">
      <c r="A448" s="34" t="s">
        <v>139</v>
      </c>
      <c r="B448" s="36"/>
      <c r="C448" s="36" t="s">
        <v>417</v>
      </c>
      <c r="D448" s="36"/>
      <c r="E448" s="48"/>
      <c r="F448" s="48"/>
      <c r="G448" s="35"/>
    </row>
    <row r="449" spans="1:7" x14ac:dyDescent="0.25">
      <c r="A449" s="34" t="s">
        <v>140</v>
      </c>
      <c r="B449" s="36"/>
      <c r="C449" s="36" t="s">
        <v>417</v>
      </c>
      <c r="D449" s="36"/>
      <c r="E449" s="48" t="s">
        <v>423</v>
      </c>
      <c r="F449" s="51">
        <f>B454</f>
        <v>1501</v>
      </c>
      <c r="G449" s="35"/>
    </row>
    <row r="450" spans="1:7" x14ac:dyDescent="0.25">
      <c r="A450" s="34" t="s">
        <v>141</v>
      </c>
      <c r="B450" s="36"/>
      <c r="C450" s="36" t="s">
        <v>417</v>
      </c>
      <c r="D450" s="36"/>
      <c r="E450" s="48" t="s">
        <v>418</v>
      </c>
      <c r="F450" s="52">
        <v>30</v>
      </c>
      <c r="G450" s="35"/>
    </row>
    <row r="451" spans="1:7" x14ac:dyDescent="0.25">
      <c r="A451" s="34" t="s">
        <v>142</v>
      </c>
      <c r="B451" s="36"/>
      <c r="C451" s="36" t="s">
        <v>417</v>
      </c>
      <c r="D451" s="36"/>
      <c r="E451" s="48" t="s">
        <v>419</v>
      </c>
      <c r="F451" s="53">
        <f>SUM(G442:G445)-F449-F450</f>
        <v>5669</v>
      </c>
      <c r="G451" s="35"/>
    </row>
    <row r="452" spans="1:7" x14ac:dyDescent="0.25">
      <c r="A452" s="34" t="s">
        <v>144</v>
      </c>
      <c r="B452" s="36"/>
      <c r="C452" s="36" t="s">
        <v>417</v>
      </c>
      <c r="D452" s="36"/>
      <c r="G452" s="35"/>
    </row>
    <row r="453" spans="1:7" ht="15.75" thickBot="1" x14ac:dyDescent="0.3">
      <c r="A453" s="1357"/>
      <c r="B453" s="1358"/>
      <c r="C453" s="1358"/>
      <c r="E453" s="39" t="s">
        <v>420</v>
      </c>
      <c r="G453" s="35"/>
    </row>
    <row r="454" spans="1:7" ht="15.75" thickBot="1" x14ac:dyDescent="0.3">
      <c r="A454" s="40" t="s">
        <v>422</v>
      </c>
      <c r="B454" s="42">
        <f>SUM(B441:B453)</f>
        <v>1501</v>
      </c>
      <c r="C454" s="42" t="s">
        <v>417</v>
      </c>
      <c r="D454" s="41"/>
      <c r="E454" s="42">
        <f>IF(F449&gt;F440,"O Projetor atigiu o pior nível de Imagem! É necessário uma troca urgente!",B454)</f>
        <v>1501</v>
      </c>
      <c r="F454" s="41"/>
      <c r="G454" s="43"/>
    </row>
    <row r="456" spans="1:7" ht="15.75" thickBot="1" x14ac:dyDescent="0.3"/>
    <row r="457" spans="1:7" ht="15.75" thickBot="1" x14ac:dyDescent="0.3">
      <c r="A457" s="1359" t="s">
        <v>450</v>
      </c>
      <c r="B457" s="1360"/>
      <c r="C457" s="1360"/>
      <c r="D457" s="1360"/>
      <c r="E457" s="1360"/>
      <c r="F457" s="1360"/>
      <c r="G457" s="1361"/>
    </row>
    <row r="458" spans="1:7" x14ac:dyDescent="0.25">
      <c r="A458" s="37" t="s">
        <v>426</v>
      </c>
      <c r="B458" s="36"/>
      <c r="G458" s="35"/>
    </row>
    <row r="459" spans="1:7" ht="18.75" x14ac:dyDescent="0.3">
      <c r="A459" s="38" t="s">
        <v>388</v>
      </c>
      <c r="B459" s="54">
        <v>3600</v>
      </c>
      <c r="C459" s="36" t="s">
        <v>417</v>
      </c>
      <c r="D459" s="36"/>
      <c r="E459" t="s">
        <v>423</v>
      </c>
      <c r="F459">
        <f>B459</f>
        <v>3600</v>
      </c>
      <c r="G459" s="35"/>
    </row>
    <row r="460" spans="1:7" x14ac:dyDescent="0.25">
      <c r="A460" s="34" t="s">
        <v>132</v>
      </c>
      <c r="B460" s="36">
        <v>121</v>
      </c>
      <c r="C460" s="36" t="s">
        <v>417</v>
      </c>
      <c r="D460" s="36"/>
      <c r="E460" s="1366" t="s">
        <v>425</v>
      </c>
      <c r="F460" s="1366"/>
      <c r="G460" s="1367"/>
    </row>
    <row r="461" spans="1:7" x14ac:dyDescent="0.25">
      <c r="A461" s="34" t="s">
        <v>133</v>
      </c>
      <c r="B461" s="36"/>
      <c r="C461" s="36" t="s">
        <v>417</v>
      </c>
      <c r="D461" s="36"/>
      <c r="E461" s="48" t="s">
        <v>416</v>
      </c>
      <c r="F461" s="49">
        <v>0.5</v>
      </c>
      <c r="G461" s="50">
        <f>$F$4*F461</f>
        <v>1800</v>
      </c>
    </row>
    <row r="462" spans="1:7" x14ac:dyDescent="0.25">
      <c r="A462" s="34" t="s">
        <v>134</v>
      </c>
      <c r="B462" s="36"/>
      <c r="C462" s="36" t="s">
        <v>417</v>
      </c>
      <c r="D462" s="36"/>
      <c r="E462" s="48" t="s">
        <v>424</v>
      </c>
      <c r="F462" s="49">
        <v>0.4</v>
      </c>
      <c r="G462" s="50">
        <f>$F$4*F462</f>
        <v>1440</v>
      </c>
    </row>
    <row r="463" spans="1:7" x14ac:dyDescent="0.25">
      <c r="A463" s="34" t="s">
        <v>135</v>
      </c>
      <c r="B463" s="36"/>
      <c r="C463" s="36" t="s">
        <v>417</v>
      </c>
      <c r="D463" s="36"/>
      <c r="E463" s="48" t="s">
        <v>415</v>
      </c>
      <c r="F463" s="49">
        <v>0.1</v>
      </c>
      <c r="G463" s="50">
        <f>$F$4*F463</f>
        <v>360</v>
      </c>
    </row>
    <row r="464" spans="1:7" x14ac:dyDescent="0.25">
      <c r="A464" s="34" t="s">
        <v>136</v>
      </c>
      <c r="B464" s="36"/>
      <c r="C464" s="36" t="s">
        <v>417</v>
      </c>
      <c r="D464" s="36"/>
      <c r="E464" s="48" t="s">
        <v>404</v>
      </c>
      <c r="F464" s="49">
        <f>SUM(F461:F463)</f>
        <v>1</v>
      </c>
      <c r="G464" s="50">
        <f>$F$4*F464</f>
        <v>3600</v>
      </c>
    </row>
    <row r="465" spans="1:7" x14ac:dyDescent="0.25">
      <c r="A465" s="34" t="s">
        <v>137</v>
      </c>
      <c r="B465" s="36"/>
      <c r="C465" s="36" t="s">
        <v>417</v>
      </c>
      <c r="D465" s="36"/>
      <c r="G465" s="35"/>
    </row>
    <row r="466" spans="1:7" x14ac:dyDescent="0.25">
      <c r="A466" s="34" t="s">
        <v>138</v>
      </c>
      <c r="B466" s="36"/>
      <c r="C466" s="36" t="s">
        <v>417</v>
      </c>
      <c r="D466" s="36"/>
      <c r="E466" s="1365" t="s">
        <v>418</v>
      </c>
      <c r="F466" s="1365"/>
      <c r="G466" s="35"/>
    </row>
    <row r="467" spans="1:7" x14ac:dyDescent="0.25">
      <c r="A467" s="34" t="s">
        <v>139</v>
      </c>
      <c r="B467" s="36"/>
      <c r="C467" s="36" t="s">
        <v>417</v>
      </c>
      <c r="D467" s="36"/>
      <c r="E467" s="48"/>
      <c r="F467" s="48"/>
      <c r="G467" s="35"/>
    </row>
    <row r="468" spans="1:7" x14ac:dyDescent="0.25">
      <c r="A468" s="34" t="s">
        <v>140</v>
      </c>
      <c r="B468" s="36"/>
      <c r="C468" s="36" t="s">
        <v>417</v>
      </c>
      <c r="D468" s="36"/>
      <c r="E468" s="48" t="s">
        <v>423</v>
      </c>
      <c r="F468" s="51">
        <f>B473</f>
        <v>121</v>
      </c>
      <c r="G468" s="35"/>
    </row>
    <row r="469" spans="1:7" x14ac:dyDescent="0.25">
      <c r="A469" s="34" t="s">
        <v>141</v>
      </c>
      <c r="B469" s="36"/>
      <c r="C469" s="36" t="s">
        <v>417</v>
      </c>
      <c r="D469" s="36"/>
      <c r="E469" s="48" t="s">
        <v>418</v>
      </c>
      <c r="F469" s="52">
        <v>30</v>
      </c>
      <c r="G469" s="35"/>
    </row>
    <row r="470" spans="1:7" x14ac:dyDescent="0.25">
      <c r="A470" s="34" t="s">
        <v>142</v>
      </c>
      <c r="B470" s="36"/>
      <c r="C470" s="36" t="s">
        <v>417</v>
      </c>
      <c r="D470" s="36"/>
      <c r="E470" s="48" t="s">
        <v>419</v>
      </c>
      <c r="F470" s="53">
        <f>SUM(G461:G464)-F468-F469</f>
        <v>7049</v>
      </c>
      <c r="G470" s="35"/>
    </row>
    <row r="471" spans="1:7" x14ac:dyDescent="0.25">
      <c r="A471" s="34" t="s">
        <v>144</v>
      </c>
      <c r="B471" s="36"/>
      <c r="C471" s="36" t="s">
        <v>417</v>
      </c>
      <c r="D471" s="36"/>
      <c r="G471" s="35"/>
    </row>
    <row r="472" spans="1:7" ht="15.75" thickBot="1" x14ac:dyDescent="0.3">
      <c r="A472" s="1357"/>
      <c r="B472" s="1358"/>
      <c r="C472" s="1358"/>
      <c r="E472" s="39" t="s">
        <v>420</v>
      </c>
      <c r="G472" s="35"/>
    </row>
    <row r="473" spans="1:7" ht="15.75" thickBot="1" x14ac:dyDescent="0.3">
      <c r="A473" s="40" t="s">
        <v>422</v>
      </c>
      <c r="B473" s="42">
        <f>SUM(B460:B472)</f>
        <v>121</v>
      </c>
      <c r="C473" s="42" t="s">
        <v>417</v>
      </c>
      <c r="D473" s="41"/>
      <c r="E473" s="42">
        <f>IF(F468&gt;F459,"O Projetor atigiu o pior nível de Imagem! É necessário uma troca urgente!",B473)</f>
        <v>121</v>
      </c>
      <c r="F473" s="41"/>
      <c r="G473" s="43"/>
    </row>
    <row r="475" spans="1:7" ht="15.75" thickBot="1" x14ac:dyDescent="0.3"/>
    <row r="476" spans="1:7" ht="15.75" thickBot="1" x14ac:dyDescent="0.3">
      <c r="A476" s="1359" t="s">
        <v>451</v>
      </c>
      <c r="B476" s="1360"/>
      <c r="C476" s="1360"/>
      <c r="D476" s="1360"/>
      <c r="E476" s="1360"/>
      <c r="F476" s="1360"/>
      <c r="G476" s="1361"/>
    </row>
    <row r="477" spans="1:7" x14ac:dyDescent="0.25">
      <c r="A477" s="37" t="s">
        <v>426</v>
      </c>
      <c r="B477" s="36"/>
      <c r="G477" s="35"/>
    </row>
    <row r="478" spans="1:7" ht="18.75" x14ac:dyDescent="0.3">
      <c r="A478" s="38" t="s">
        <v>388</v>
      </c>
      <c r="B478" s="54">
        <v>3600</v>
      </c>
      <c r="C478" s="36" t="s">
        <v>417</v>
      </c>
      <c r="D478" s="36"/>
      <c r="E478" t="s">
        <v>423</v>
      </c>
      <c r="F478">
        <f>B478</f>
        <v>3600</v>
      </c>
      <c r="G478" s="35"/>
    </row>
    <row r="479" spans="1:7" x14ac:dyDescent="0.25">
      <c r="A479" s="34" t="s">
        <v>132</v>
      </c>
      <c r="B479" s="36">
        <v>301</v>
      </c>
      <c r="C479" s="36" t="s">
        <v>417</v>
      </c>
      <c r="D479" s="36"/>
      <c r="E479" s="1366" t="s">
        <v>425</v>
      </c>
      <c r="F479" s="1366"/>
      <c r="G479" s="1367"/>
    </row>
    <row r="480" spans="1:7" x14ac:dyDescent="0.25">
      <c r="A480" s="34" t="s">
        <v>133</v>
      </c>
      <c r="B480" s="36">
        <v>300</v>
      </c>
      <c r="C480" s="36" t="s">
        <v>417</v>
      </c>
      <c r="D480" s="36"/>
      <c r="E480" s="48" t="s">
        <v>416</v>
      </c>
      <c r="F480" s="49">
        <v>0.5</v>
      </c>
      <c r="G480" s="50">
        <f>$F$4*F480</f>
        <v>1800</v>
      </c>
    </row>
    <row r="481" spans="1:7" x14ac:dyDescent="0.25">
      <c r="A481" s="34" t="s">
        <v>134</v>
      </c>
      <c r="B481" s="36">
        <v>300</v>
      </c>
      <c r="C481" s="36" t="s">
        <v>417</v>
      </c>
      <c r="D481" s="36"/>
      <c r="E481" s="48" t="s">
        <v>424</v>
      </c>
      <c r="F481" s="49">
        <v>0.4</v>
      </c>
      <c r="G481" s="50">
        <f>$F$4*F481</f>
        <v>1440</v>
      </c>
    </row>
    <row r="482" spans="1:7" x14ac:dyDescent="0.25">
      <c r="A482" s="34" t="s">
        <v>135</v>
      </c>
      <c r="B482" s="36">
        <v>300</v>
      </c>
      <c r="C482" s="36" t="s">
        <v>417</v>
      </c>
      <c r="D482" s="36"/>
      <c r="E482" s="48" t="s">
        <v>415</v>
      </c>
      <c r="F482" s="49">
        <v>0.1</v>
      </c>
      <c r="G482" s="50">
        <f>$F$4*F482</f>
        <v>360</v>
      </c>
    </row>
    <row r="483" spans="1:7" x14ac:dyDescent="0.25">
      <c r="A483" s="34" t="s">
        <v>136</v>
      </c>
      <c r="B483" s="36">
        <v>300</v>
      </c>
      <c r="C483" s="36" t="s">
        <v>417</v>
      </c>
      <c r="D483" s="36"/>
      <c r="E483" s="48" t="s">
        <v>404</v>
      </c>
      <c r="F483" s="49">
        <f>SUM(F480:F482)</f>
        <v>1</v>
      </c>
      <c r="G483" s="50">
        <f>$F$4*F483</f>
        <v>3600</v>
      </c>
    </row>
    <row r="484" spans="1:7" x14ac:dyDescent="0.25">
      <c r="A484" s="34" t="s">
        <v>137</v>
      </c>
      <c r="B484" s="36">
        <v>300</v>
      </c>
      <c r="C484" s="36" t="s">
        <v>417</v>
      </c>
      <c r="D484" s="36"/>
      <c r="G484" s="35"/>
    </row>
    <row r="485" spans="1:7" x14ac:dyDescent="0.25">
      <c r="A485" s="34" t="s">
        <v>138</v>
      </c>
      <c r="B485" s="36">
        <v>300</v>
      </c>
      <c r="C485" s="36" t="s">
        <v>417</v>
      </c>
      <c r="D485" s="36"/>
      <c r="E485" s="1365" t="s">
        <v>418</v>
      </c>
      <c r="F485" s="1365"/>
      <c r="G485" s="35"/>
    </row>
    <row r="486" spans="1:7" x14ac:dyDescent="0.25">
      <c r="A486" s="34" t="s">
        <v>139</v>
      </c>
      <c r="B486" s="36">
        <v>300</v>
      </c>
      <c r="C486" s="36" t="s">
        <v>417</v>
      </c>
      <c r="D486" s="36"/>
      <c r="E486" s="48"/>
      <c r="F486" s="48"/>
      <c r="G486" s="35"/>
    </row>
    <row r="487" spans="1:7" x14ac:dyDescent="0.25">
      <c r="A487" s="34" t="s">
        <v>140</v>
      </c>
      <c r="B487" s="36">
        <v>300</v>
      </c>
      <c r="C487" s="36" t="s">
        <v>417</v>
      </c>
      <c r="D487" s="36"/>
      <c r="E487" s="48" t="s">
        <v>423</v>
      </c>
      <c r="F487" s="51">
        <f>B492</f>
        <v>3301</v>
      </c>
      <c r="G487" s="35"/>
    </row>
    <row r="488" spans="1:7" x14ac:dyDescent="0.25">
      <c r="A488" s="34" t="s">
        <v>141</v>
      </c>
      <c r="B488" s="36">
        <v>300</v>
      </c>
      <c r="C488" s="36" t="s">
        <v>417</v>
      </c>
      <c r="D488" s="36"/>
      <c r="E488" s="48" t="s">
        <v>418</v>
      </c>
      <c r="F488" s="52">
        <v>30</v>
      </c>
      <c r="G488" s="35"/>
    </row>
    <row r="489" spans="1:7" x14ac:dyDescent="0.25">
      <c r="A489" s="34" t="s">
        <v>142</v>
      </c>
      <c r="B489" s="36">
        <v>300</v>
      </c>
      <c r="C489" s="36" t="s">
        <v>417</v>
      </c>
      <c r="D489" s="36"/>
      <c r="E489" s="48" t="s">
        <v>419</v>
      </c>
      <c r="F489" s="53">
        <f>SUM(G480:G483)-F487-F488</f>
        <v>3869</v>
      </c>
      <c r="G489" s="35"/>
    </row>
    <row r="490" spans="1:7" x14ac:dyDescent="0.25">
      <c r="A490" s="34" t="s">
        <v>144</v>
      </c>
      <c r="B490" s="36"/>
      <c r="C490" s="36" t="s">
        <v>417</v>
      </c>
      <c r="D490" s="36"/>
      <c r="G490" s="35"/>
    </row>
    <row r="491" spans="1:7" ht="15.75" thickBot="1" x14ac:dyDescent="0.3">
      <c r="A491" s="1357"/>
      <c r="B491" s="1358"/>
      <c r="C491" s="1358"/>
      <c r="E491" s="39" t="s">
        <v>420</v>
      </c>
      <c r="G491" s="35"/>
    </row>
    <row r="492" spans="1:7" ht="15.75" thickBot="1" x14ac:dyDescent="0.3">
      <c r="A492" s="40" t="s">
        <v>422</v>
      </c>
      <c r="B492" s="42">
        <f>SUM(B479:B491)</f>
        <v>3301</v>
      </c>
      <c r="C492" s="42" t="s">
        <v>417</v>
      </c>
      <c r="D492" s="41"/>
      <c r="E492" s="42">
        <f>IF(F487&gt;F478,"O Projetor atigiu o pior nível de Imagem! É necessário uma troca urgente!",B492)</f>
        <v>3301</v>
      </c>
      <c r="F492" s="41"/>
      <c r="G492" s="43"/>
    </row>
    <row r="494" spans="1:7" ht="15.75" thickBot="1" x14ac:dyDescent="0.3"/>
    <row r="495" spans="1:7" ht="15.75" thickBot="1" x14ac:dyDescent="0.3">
      <c r="A495" s="1359" t="s">
        <v>452</v>
      </c>
      <c r="B495" s="1360"/>
      <c r="C495" s="1360"/>
      <c r="D495" s="1360"/>
      <c r="E495" s="1360"/>
      <c r="F495" s="1360"/>
      <c r="G495" s="1361"/>
    </row>
    <row r="496" spans="1:7" x14ac:dyDescent="0.25">
      <c r="A496" s="37" t="s">
        <v>426</v>
      </c>
      <c r="B496" s="36"/>
      <c r="G496" s="35"/>
    </row>
    <row r="497" spans="1:7" ht="18.75" x14ac:dyDescent="0.3">
      <c r="A497" s="38" t="s">
        <v>388</v>
      </c>
      <c r="B497" s="54">
        <v>3600</v>
      </c>
      <c r="C497" s="36" t="s">
        <v>417</v>
      </c>
      <c r="D497" s="36"/>
      <c r="E497" t="s">
        <v>423</v>
      </c>
      <c r="F497">
        <f>B497</f>
        <v>3600</v>
      </c>
      <c r="G497" s="35"/>
    </row>
    <row r="498" spans="1:7" x14ac:dyDescent="0.25">
      <c r="A498" s="34" t="s">
        <v>132</v>
      </c>
      <c r="B498" s="36">
        <v>301</v>
      </c>
      <c r="C498" s="36" t="s">
        <v>417</v>
      </c>
      <c r="D498" s="36"/>
      <c r="E498" s="1366" t="s">
        <v>425</v>
      </c>
      <c r="F498" s="1366"/>
      <c r="G498" s="1367"/>
    </row>
    <row r="499" spans="1:7" x14ac:dyDescent="0.25">
      <c r="A499" s="34" t="s">
        <v>133</v>
      </c>
      <c r="B499" s="36">
        <v>300</v>
      </c>
      <c r="C499" s="36" t="s">
        <v>417</v>
      </c>
      <c r="D499" s="36"/>
      <c r="E499" s="48" t="s">
        <v>416</v>
      </c>
      <c r="F499" s="49">
        <v>0.5</v>
      </c>
      <c r="G499" s="50">
        <f>$F$4*F499</f>
        <v>1800</v>
      </c>
    </row>
    <row r="500" spans="1:7" x14ac:dyDescent="0.25">
      <c r="A500" s="34" t="s">
        <v>134</v>
      </c>
      <c r="B500" s="36">
        <v>300</v>
      </c>
      <c r="C500" s="36" t="s">
        <v>417</v>
      </c>
      <c r="D500" s="36"/>
      <c r="E500" s="48" t="s">
        <v>424</v>
      </c>
      <c r="F500" s="49">
        <v>0.4</v>
      </c>
      <c r="G500" s="50">
        <f>$F$4*F500</f>
        <v>1440</v>
      </c>
    </row>
    <row r="501" spans="1:7" x14ac:dyDescent="0.25">
      <c r="A501" s="34" t="s">
        <v>135</v>
      </c>
      <c r="B501" s="36">
        <v>300</v>
      </c>
      <c r="C501" s="36" t="s">
        <v>417</v>
      </c>
      <c r="D501" s="36"/>
      <c r="E501" s="48" t="s">
        <v>415</v>
      </c>
      <c r="F501" s="49">
        <v>0.1</v>
      </c>
      <c r="G501" s="50">
        <f>$F$4*F501</f>
        <v>360</v>
      </c>
    </row>
    <row r="502" spans="1:7" x14ac:dyDescent="0.25">
      <c r="A502" s="34" t="s">
        <v>136</v>
      </c>
      <c r="B502" s="36">
        <v>300</v>
      </c>
      <c r="C502" s="36" t="s">
        <v>417</v>
      </c>
      <c r="D502" s="36"/>
      <c r="E502" s="48" t="s">
        <v>404</v>
      </c>
      <c r="F502" s="49">
        <f>SUM(F499:F501)</f>
        <v>1</v>
      </c>
      <c r="G502" s="50">
        <f>$F$4*F502</f>
        <v>3600</v>
      </c>
    </row>
    <row r="503" spans="1:7" x14ac:dyDescent="0.25">
      <c r="A503" s="34" t="s">
        <v>137</v>
      </c>
      <c r="B503" s="36">
        <v>100</v>
      </c>
      <c r="C503" s="36" t="s">
        <v>417</v>
      </c>
      <c r="D503" s="36"/>
      <c r="G503" s="35"/>
    </row>
    <row r="504" spans="1:7" x14ac:dyDescent="0.25">
      <c r="A504" s="34" t="s">
        <v>138</v>
      </c>
      <c r="B504" s="36"/>
      <c r="C504" s="36" t="s">
        <v>417</v>
      </c>
      <c r="D504" s="36"/>
      <c r="E504" s="1365" t="s">
        <v>418</v>
      </c>
      <c r="F504" s="1365"/>
      <c r="G504" s="35"/>
    </row>
    <row r="505" spans="1:7" x14ac:dyDescent="0.25">
      <c r="A505" s="34" t="s">
        <v>139</v>
      </c>
      <c r="B505" s="36"/>
      <c r="C505" s="36" t="s">
        <v>417</v>
      </c>
      <c r="D505" s="36"/>
      <c r="E505" s="48"/>
      <c r="F505" s="48"/>
      <c r="G505" s="35"/>
    </row>
    <row r="506" spans="1:7" x14ac:dyDescent="0.25">
      <c r="A506" s="34" t="s">
        <v>140</v>
      </c>
      <c r="B506" s="36"/>
      <c r="C506" s="36" t="s">
        <v>417</v>
      </c>
      <c r="D506" s="36"/>
      <c r="E506" s="48" t="s">
        <v>423</v>
      </c>
      <c r="F506" s="51">
        <f>B511</f>
        <v>1601</v>
      </c>
      <c r="G506" s="35"/>
    </row>
    <row r="507" spans="1:7" x14ac:dyDescent="0.25">
      <c r="A507" s="34" t="s">
        <v>141</v>
      </c>
      <c r="B507" s="36"/>
      <c r="C507" s="36" t="s">
        <v>417</v>
      </c>
      <c r="D507" s="36"/>
      <c r="E507" s="48" t="s">
        <v>418</v>
      </c>
      <c r="F507" s="52">
        <v>30</v>
      </c>
      <c r="G507" s="35"/>
    </row>
    <row r="508" spans="1:7" x14ac:dyDescent="0.25">
      <c r="A508" s="34" t="s">
        <v>142</v>
      </c>
      <c r="B508" s="36"/>
      <c r="C508" s="36" t="s">
        <v>417</v>
      </c>
      <c r="D508" s="36"/>
      <c r="E508" s="48" t="s">
        <v>419</v>
      </c>
      <c r="F508" s="53">
        <f>SUM(G499:G502)-F506-F507</f>
        <v>5569</v>
      </c>
      <c r="G508" s="35"/>
    </row>
    <row r="509" spans="1:7" x14ac:dyDescent="0.25">
      <c r="A509" s="34" t="s">
        <v>144</v>
      </c>
      <c r="B509" s="36"/>
      <c r="C509" s="36" t="s">
        <v>417</v>
      </c>
      <c r="D509" s="36"/>
      <c r="G509" s="35"/>
    </row>
    <row r="510" spans="1:7" ht="15.75" thickBot="1" x14ac:dyDescent="0.3">
      <c r="A510" s="55"/>
      <c r="B510" s="56"/>
      <c r="C510" s="57"/>
      <c r="D510" s="57"/>
      <c r="E510" s="39" t="s">
        <v>420</v>
      </c>
      <c r="G510" s="35"/>
    </row>
    <row r="511" spans="1:7" ht="15.75" thickBot="1" x14ac:dyDescent="0.3">
      <c r="A511" s="40" t="s">
        <v>422</v>
      </c>
      <c r="B511" s="42">
        <f>SUM(B498:B510)</f>
        <v>1601</v>
      </c>
      <c r="C511" s="42" t="s">
        <v>417</v>
      </c>
      <c r="D511" s="41"/>
      <c r="E511" s="42">
        <f>IF(F506&gt;F497,"O Projetor atigiu o pior nível de Imagem! É necessário uma troca urgente!",B511)</f>
        <v>1601</v>
      </c>
      <c r="F511" s="41"/>
      <c r="G511" s="43"/>
    </row>
    <row r="513" spans="1:7" ht="15.75" thickBot="1" x14ac:dyDescent="0.3"/>
    <row r="514" spans="1:7" ht="15.75" thickBot="1" x14ac:dyDescent="0.3">
      <c r="A514" s="1359" t="s">
        <v>453</v>
      </c>
      <c r="B514" s="1360"/>
      <c r="C514" s="1360"/>
      <c r="D514" s="1360"/>
      <c r="E514" s="1360"/>
      <c r="F514" s="1360"/>
      <c r="G514" s="1361"/>
    </row>
    <row r="515" spans="1:7" x14ac:dyDescent="0.25">
      <c r="A515" s="37" t="s">
        <v>426</v>
      </c>
      <c r="B515" s="36"/>
      <c r="G515" s="35"/>
    </row>
    <row r="516" spans="1:7" ht="18.75" x14ac:dyDescent="0.3">
      <c r="A516" s="38" t="s">
        <v>388</v>
      </c>
      <c r="B516" s="54">
        <v>3600</v>
      </c>
      <c r="C516" s="36" t="s">
        <v>417</v>
      </c>
      <c r="D516" s="36"/>
      <c r="E516" t="s">
        <v>423</v>
      </c>
      <c r="F516">
        <f>B516</f>
        <v>3600</v>
      </c>
      <c r="G516" s="35"/>
    </row>
    <row r="517" spans="1:7" x14ac:dyDescent="0.25">
      <c r="A517" s="34" t="s">
        <v>132</v>
      </c>
      <c r="B517" s="36">
        <v>301</v>
      </c>
      <c r="C517" s="36" t="s">
        <v>417</v>
      </c>
      <c r="D517" s="36"/>
      <c r="E517" s="1366" t="s">
        <v>425</v>
      </c>
      <c r="F517" s="1366"/>
      <c r="G517" s="1367"/>
    </row>
    <row r="518" spans="1:7" x14ac:dyDescent="0.25">
      <c r="A518" s="34" t="s">
        <v>133</v>
      </c>
      <c r="B518" s="36">
        <v>300</v>
      </c>
      <c r="C518" s="36" t="s">
        <v>417</v>
      </c>
      <c r="D518" s="36"/>
      <c r="E518" s="48" t="s">
        <v>416</v>
      </c>
      <c r="F518" s="49">
        <v>0.5</v>
      </c>
      <c r="G518" s="50">
        <f>$F$4*F518</f>
        <v>1800</v>
      </c>
    </row>
    <row r="519" spans="1:7" x14ac:dyDescent="0.25">
      <c r="A519" s="34" t="s">
        <v>134</v>
      </c>
      <c r="B519" s="36">
        <v>300</v>
      </c>
      <c r="C519" s="36" t="s">
        <v>417</v>
      </c>
      <c r="D519" s="36"/>
      <c r="E519" s="48" t="s">
        <v>424</v>
      </c>
      <c r="F519" s="49">
        <v>0.4</v>
      </c>
      <c r="G519" s="50">
        <f>$F$4*F519</f>
        <v>1440</v>
      </c>
    </row>
    <row r="520" spans="1:7" x14ac:dyDescent="0.25">
      <c r="A520" s="34" t="s">
        <v>135</v>
      </c>
      <c r="B520" s="36">
        <v>300</v>
      </c>
      <c r="C520" s="36" t="s">
        <v>417</v>
      </c>
      <c r="D520" s="36"/>
      <c r="E520" s="48" t="s">
        <v>415</v>
      </c>
      <c r="F520" s="49">
        <v>0.1</v>
      </c>
      <c r="G520" s="50">
        <f>$F$4*F520</f>
        <v>360</v>
      </c>
    </row>
    <row r="521" spans="1:7" x14ac:dyDescent="0.25">
      <c r="A521" s="34" t="s">
        <v>136</v>
      </c>
      <c r="B521" s="36">
        <v>300</v>
      </c>
      <c r="C521" s="36" t="s">
        <v>417</v>
      </c>
      <c r="D521" s="36"/>
      <c r="E521" s="48" t="s">
        <v>404</v>
      </c>
      <c r="F521" s="49">
        <f>SUM(F518:F520)</f>
        <v>1</v>
      </c>
      <c r="G521" s="50">
        <f>$F$4*F521</f>
        <v>3600</v>
      </c>
    </row>
    <row r="522" spans="1:7" x14ac:dyDescent="0.25">
      <c r="A522" s="34" t="s">
        <v>137</v>
      </c>
      <c r="B522" s="36">
        <v>300</v>
      </c>
      <c r="C522" s="36" t="s">
        <v>417</v>
      </c>
      <c r="D522" s="36"/>
      <c r="G522" s="35"/>
    </row>
    <row r="523" spans="1:7" x14ac:dyDescent="0.25">
      <c r="A523" s="34" t="s">
        <v>138</v>
      </c>
      <c r="B523" s="36">
        <v>300</v>
      </c>
      <c r="C523" s="36" t="s">
        <v>417</v>
      </c>
      <c r="D523" s="36"/>
      <c r="E523" s="1365" t="s">
        <v>418</v>
      </c>
      <c r="F523" s="1365"/>
      <c r="G523" s="35"/>
    </row>
    <row r="524" spans="1:7" x14ac:dyDescent="0.25">
      <c r="A524" s="34" t="s">
        <v>139</v>
      </c>
      <c r="B524" s="36">
        <v>300</v>
      </c>
      <c r="C524" s="36" t="s">
        <v>417</v>
      </c>
      <c r="D524" s="36"/>
      <c r="E524" s="48"/>
      <c r="F524" s="48"/>
      <c r="G524" s="35"/>
    </row>
    <row r="525" spans="1:7" x14ac:dyDescent="0.25">
      <c r="A525" s="34" t="s">
        <v>140</v>
      </c>
      <c r="B525" s="36">
        <v>300</v>
      </c>
      <c r="C525" s="36" t="s">
        <v>417</v>
      </c>
      <c r="D525" s="36"/>
      <c r="E525" s="48" t="s">
        <v>423</v>
      </c>
      <c r="F525" s="51">
        <f>B530</f>
        <v>3301</v>
      </c>
      <c r="G525" s="35"/>
    </row>
    <row r="526" spans="1:7" x14ac:dyDescent="0.25">
      <c r="A526" s="34" t="s">
        <v>141</v>
      </c>
      <c r="B526" s="36">
        <v>300</v>
      </c>
      <c r="C526" s="36" t="s">
        <v>417</v>
      </c>
      <c r="D526" s="36"/>
      <c r="E526" s="48" t="s">
        <v>418</v>
      </c>
      <c r="F526" s="52">
        <v>30</v>
      </c>
      <c r="G526" s="35"/>
    </row>
    <row r="527" spans="1:7" x14ac:dyDescent="0.25">
      <c r="A527" s="34" t="s">
        <v>142</v>
      </c>
      <c r="B527" s="36">
        <v>300</v>
      </c>
      <c r="C527" s="36" t="s">
        <v>417</v>
      </c>
      <c r="D527" s="36"/>
      <c r="E527" s="48" t="s">
        <v>419</v>
      </c>
      <c r="F527" s="53">
        <f>SUM(G518:G521)-F525-F526</f>
        <v>3869</v>
      </c>
      <c r="G527" s="35"/>
    </row>
    <row r="528" spans="1:7" x14ac:dyDescent="0.25">
      <c r="A528" s="34" t="s">
        <v>144</v>
      </c>
      <c r="B528" s="36"/>
      <c r="C528" s="36" t="s">
        <v>417</v>
      </c>
      <c r="D528" s="36"/>
      <c r="G528" s="35"/>
    </row>
    <row r="529" spans="1:7" ht="15.75" thickBot="1" x14ac:dyDescent="0.3">
      <c r="A529" s="55"/>
      <c r="B529" s="56"/>
      <c r="C529" s="57"/>
      <c r="D529" s="57"/>
      <c r="E529" s="39" t="s">
        <v>420</v>
      </c>
      <c r="G529" s="35"/>
    </row>
    <row r="530" spans="1:7" ht="15.75" thickBot="1" x14ac:dyDescent="0.3">
      <c r="A530" s="40" t="s">
        <v>422</v>
      </c>
      <c r="B530" s="42">
        <f>SUM(B517:B529)</f>
        <v>3301</v>
      </c>
      <c r="C530" s="42" t="s">
        <v>417</v>
      </c>
      <c r="D530" s="41"/>
      <c r="E530" s="42">
        <f>IF(F525&gt;F516,"O Projetor atigiu o pior nível de Imagem! É necessário uma troca urgente!",B530)</f>
        <v>3301</v>
      </c>
      <c r="F530" s="41"/>
      <c r="G530" s="43"/>
    </row>
    <row r="532" spans="1:7" ht="15.75" thickBot="1" x14ac:dyDescent="0.3"/>
    <row r="533" spans="1:7" ht="15.75" thickBot="1" x14ac:dyDescent="0.3">
      <c r="A533" s="1359" t="s">
        <v>114</v>
      </c>
      <c r="B533" s="1360"/>
      <c r="C533" s="1360"/>
      <c r="D533" s="1360"/>
      <c r="E533" s="1360"/>
      <c r="F533" s="1360"/>
      <c r="G533" s="1361"/>
    </row>
    <row r="534" spans="1:7" x14ac:dyDescent="0.25">
      <c r="A534" s="37" t="s">
        <v>426</v>
      </c>
      <c r="B534" s="36"/>
      <c r="G534" s="35"/>
    </row>
    <row r="535" spans="1:7" ht="18.75" x14ac:dyDescent="0.3">
      <c r="A535" s="38" t="s">
        <v>388</v>
      </c>
      <c r="B535" s="54">
        <v>3600</v>
      </c>
      <c r="C535" s="36" t="s">
        <v>417</v>
      </c>
      <c r="D535" s="36"/>
      <c r="E535" t="s">
        <v>423</v>
      </c>
      <c r="F535">
        <f>B535</f>
        <v>3600</v>
      </c>
      <c r="G535" s="35"/>
    </row>
    <row r="536" spans="1:7" x14ac:dyDescent="0.25">
      <c r="A536" s="34" t="s">
        <v>132</v>
      </c>
      <c r="B536" s="36">
        <v>301</v>
      </c>
      <c r="C536" s="36" t="s">
        <v>417</v>
      </c>
      <c r="D536" s="36"/>
      <c r="E536" s="1366" t="s">
        <v>425</v>
      </c>
      <c r="F536" s="1366"/>
      <c r="G536" s="1367"/>
    </row>
    <row r="537" spans="1:7" x14ac:dyDescent="0.25">
      <c r="A537" s="34" t="s">
        <v>133</v>
      </c>
      <c r="B537" s="36">
        <v>300</v>
      </c>
      <c r="C537" s="36" t="s">
        <v>417</v>
      </c>
      <c r="D537" s="36"/>
      <c r="E537" s="48" t="s">
        <v>416</v>
      </c>
      <c r="F537" s="49">
        <v>0.5</v>
      </c>
      <c r="G537" s="50">
        <f>$F$4*F537</f>
        <v>1800</v>
      </c>
    </row>
    <row r="538" spans="1:7" x14ac:dyDescent="0.25">
      <c r="A538" s="34" t="s">
        <v>134</v>
      </c>
      <c r="B538" s="36">
        <v>300</v>
      </c>
      <c r="C538" s="36" t="s">
        <v>417</v>
      </c>
      <c r="D538" s="36"/>
      <c r="E538" s="48" t="s">
        <v>424</v>
      </c>
      <c r="F538" s="49">
        <v>0.4</v>
      </c>
      <c r="G538" s="50">
        <f>$F$4*F538</f>
        <v>1440</v>
      </c>
    </row>
    <row r="539" spans="1:7" x14ac:dyDescent="0.25">
      <c r="A539" s="34" t="s">
        <v>135</v>
      </c>
      <c r="B539" s="36">
        <v>300</v>
      </c>
      <c r="C539" s="36" t="s">
        <v>417</v>
      </c>
      <c r="D539" s="36"/>
      <c r="E539" s="48" t="s">
        <v>415</v>
      </c>
      <c r="F539" s="49">
        <v>0.1</v>
      </c>
      <c r="G539" s="50">
        <f>$F$4*F539</f>
        <v>360</v>
      </c>
    </row>
    <row r="540" spans="1:7" x14ac:dyDescent="0.25">
      <c r="A540" s="34" t="s">
        <v>136</v>
      </c>
      <c r="B540" s="36">
        <v>300</v>
      </c>
      <c r="C540" s="36" t="s">
        <v>417</v>
      </c>
      <c r="D540" s="36"/>
      <c r="E540" s="48" t="s">
        <v>404</v>
      </c>
      <c r="F540" s="49">
        <f>SUM(F537:F539)</f>
        <v>1</v>
      </c>
      <c r="G540" s="50">
        <f>$F$4*F540</f>
        <v>3600</v>
      </c>
    </row>
    <row r="541" spans="1:7" x14ac:dyDescent="0.25">
      <c r="A541" s="34" t="s">
        <v>137</v>
      </c>
      <c r="B541" s="36">
        <v>300</v>
      </c>
      <c r="C541" s="36" t="s">
        <v>417</v>
      </c>
      <c r="D541" s="36"/>
      <c r="G541" s="35"/>
    </row>
    <row r="542" spans="1:7" x14ac:dyDescent="0.25">
      <c r="A542" s="34" t="s">
        <v>138</v>
      </c>
      <c r="B542" s="36"/>
      <c r="C542" s="36" t="s">
        <v>417</v>
      </c>
      <c r="D542" s="36"/>
      <c r="E542" s="1365" t="s">
        <v>418</v>
      </c>
      <c r="F542" s="1365"/>
      <c r="G542" s="35"/>
    </row>
    <row r="543" spans="1:7" x14ac:dyDescent="0.25">
      <c r="A543" s="34" t="s">
        <v>139</v>
      </c>
      <c r="B543" s="36"/>
      <c r="C543" s="36" t="s">
        <v>417</v>
      </c>
      <c r="D543" s="36"/>
      <c r="E543" s="48"/>
      <c r="F543" s="48"/>
      <c r="G543" s="35"/>
    </row>
    <row r="544" spans="1:7" x14ac:dyDescent="0.25">
      <c r="A544" s="34" t="s">
        <v>140</v>
      </c>
      <c r="B544" s="36"/>
      <c r="C544" s="36" t="s">
        <v>417</v>
      </c>
      <c r="D544" s="36"/>
      <c r="E544" s="48" t="s">
        <v>423</v>
      </c>
      <c r="F544" s="51">
        <f>B549</f>
        <v>1801</v>
      </c>
      <c r="G544" s="35"/>
    </row>
    <row r="545" spans="1:7" x14ac:dyDescent="0.25">
      <c r="A545" s="34" t="s">
        <v>141</v>
      </c>
      <c r="B545" s="36"/>
      <c r="C545" s="36" t="s">
        <v>417</v>
      </c>
      <c r="D545" s="36"/>
      <c r="E545" s="48" t="s">
        <v>418</v>
      </c>
      <c r="F545" s="52">
        <v>30</v>
      </c>
      <c r="G545" s="35"/>
    </row>
    <row r="546" spans="1:7" x14ac:dyDescent="0.25">
      <c r="A546" s="34" t="s">
        <v>142</v>
      </c>
      <c r="B546" s="36"/>
      <c r="C546" s="36" t="s">
        <v>417</v>
      </c>
      <c r="D546" s="36"/>
      <c r="E546" s="48" t="s">
        <v>419</v>
      </c>
      <c r="F546" s="53">
        <f>SUM(G537:G540)-F544-F545</f>
        <v>5369</v>
      </c>
      <c r="G546" s="35"/>
    </row>
    <row r="547" spans="1:7" x14ac:dyDescent="0.25">
      <c r="A547" s="34" t="s">
        <v>144</v>
      </c>
      <c r="B547" s="36"/>
      <c r="C547" s="36" t="s">
        <v>417</v>
      </c>
      <c r="D547" s="36"/>
      <c r="G547" s="35"/>
    </row>
    <row r="548" spans="1:7" ht="15.75" thickBot="1" x14ac:dyDescent="0.3">
      <c r="A548" s="55"/>
      <c r="B548" s="56"/>
      <c r="C548" s="57"/>
      <c r="D548" s="57"/>
      <c r="E548" s="39" t="s">
        <v>420</v>
      </c>
      <c r="G548" s="35"/>
    </row>
    <row r="549" spans="1:7" ht="15.75" thickBot="1" x14ac:dyDescent="0.3">
      <c r="A549" s="40" t="s">
        <v>422</v>
      </c>
      <c r="B549" s="42">
        <f>SUM(B536:B548)</f>
        <v>1801</v>
      </c>
      <c r="C549" s="42" t="s">
        <v>417</v>
      </c>
      <c r="D549" s="41"/>
      <c r="E549" s="42">
        <f>IF(F544&gt;F535,"O Projetor atigiu o pior nível de Imagem! É necessário uma troca urgente!",B549)</f>
        <v>1801</v>
      </c>
      <c r="F549" s="41"/>
      <c r="G549" s="43"/>
    </row>
    <row r="551" spans="1:7" ht="15.75" thickBot="1" x14ac:dyDescent="0.3"/>
    <row r="552" spans="1:7" ht="15.75" thickBot="1" x14ac:dyDescent="0.3">
      <c r="A552" s="1359"/>
      <c r="B552" s="1360"/>
      <c r="C552" s="1360"/>
      <c r="D552" s="1360"/>
      <c r="E552" s="1360"/>
      <c r="F552" s="1360"/>
      <c r="G552" s="1361"/>
    </row>
    <row r="553" spans="1:7" x14ac:dyDescent="0.25">
      <c r="A553" s="37" t="s">
        <v>426</v>
      </c>
      <c r="B553" s="36"/>
      <c r="G553" s="35"/>
    </row>
    <row r="554" spans="1:7" ht="18.75" x14ac:dyDescent="0.3">
      <c r="A554" s="38" t="s">
        <v>388</v>
      </c>
      <c r="B554" s="54">
        <v>3600</v>
      </c>
      <c r="C554" s="36" t="s">
        <v>417</v>
      </c>
      <c r="D554" s="36"/>
      <c r="E554" t="s">
        <v>423</v>
      </c>
      <c r="F554">
        <f>B554</f>
        <v>3600</v>
      </c>
      <c r="G554" s="35"/>
    </row>
    <row r="555" spans="1:7" x14ac:dyDescent="0.25">
      <c r="A555" s="34" t="s">
        <v>132</v>
      </c>
      <c r="B555" s="36"/>
      <c r="C555" s="36" t="s">
        <v>417</v>
      </c>
      <c r="D555" s="36"/>
      <c r="E555" s="1366" t="s">
        <v>425</v>
      </c>
      <c r="F555" s="1366"/>
      <c r="G555" s="1367"/>
    </row>
    <row r="556" spans="1:7" x14ac:dyDescent="0.25">
      <c r="A556" s="34" t="s">
        <v>133</v>
      </c>
      <c r="B556" s="36"/>
      <c r="C556" s="36" t="s">
        <v>417</v>
      </c>
      <c r="D556" s="36"/>
      <c r="E556" s="48" t="s">
        <v>416</v>
      </c>
      <c r="F556" s="49">
        <v>0.5</v>
      </c>
      <c r="G556" s="50">
        <f>$F$4*F556</f>
        <v>1800</v>
      </c>
    </row>
    <row r="557" spans="1:7" x14ac:dyDescent="0.25">
      <c r="A557" s="34" t="s">
        <v>134</v>
      </c>
      <c r="B557" s="36"/>
      <c r="C557" s="36" t="s">
        <v>417</v>
      </c>
      <c r="D557" s="36"/>
      <c r="E557" s="48" t="s">
        <v>424</v>
      </c>
      <c r="F557" s="49">
        <v>0.4</v>
      </c>
      <c r="G557" s="50">
        <f>$F$4*F557</f>
        <v>1440</v>
      </c>
    </row>
    <row r="558" spans="1:7" x14ac:dyDescent="0.25">
      <c r="A558" s="34" t="s">
        <v>135</v>
      </c>
      <c r="B558" s="36"/>
      <c r="C558" s="36" t="s">
        <v>417</v>
      </c>
      <c r="D558" s="36"/>
      <c r="E558" s="48" t="s">
        <v>415</v>
      </c>
      <c r="F558" s="49">
        <v>0.1</v>
      </c>
      <c r="G558" s="50">
        <f>$F$4*F558</f>
        <v>360</v>
      </c>
    </row>
    <row r="559" spans="1:7" x14ac:dyDescent="0.25">
      <c r="A559" s="34" t="s">
        <v>136</v>
      </c>
      <c r="B559" s="36"/>
      <c r="C559" s="36" t="s">
        <v>417</v>
      </c>
      <c r="D559" s="36"/>
      <c r="E559" s="48" t="s">
        <v>404</v>
      </c>
      <c r="F559" s="49">
        <f>SUM(F556:F558)</f>
        <v>1</v>
      </c>
      <c r="G559" s="50">
        <f>$F$4*F559</f>
        <v>3600</v>
      </c>
    </row>
    <row r="560" spans="1:7" x14ac:dyDescent="0.25">
      <c r="A560" s="34" t="s">
        <v>137</v>
      </c>
      <c r="B560" s="36"/>
      <c r="C560" s="36" t="s">
        <v>417</v>
      </c>
      <c r="D560" s="36"/>
      <c r="G560" s="35"/>
    </row>
    <row r="561" spans="1:7" x14ac:dyDescent="0.25">
      <c r="A561" s="34" t="s">
        <v>138</v>
      </c>
      <c r="B561" s="36"/>
      <c r="C561" s="36" t="s">
        <v>417</v>
      </c>
      <c r="D561" s="36"/>
      <c r="E561" s="1365" t="s">
        <v>418</v>
      </c>
      <c r="F561" s="1365"/>
      <c r="G561" s="35"/>
    </row>
    <row r="562" spans="1:7" x14ac:dyDescent="0.25">
      <c r="A562" s="34" t="s">
        <v>139</v>
      </c>
      <c r="B562" s="36"/>
      <c r="C562" s="36" t="s">
        <v>417</v>
      </c>
      <c r="D562" s="36"/>
      <c r="E562" s="48"/>
      <c r="F562" s="48"/>
      <c r="G562" s="35"/>
    </row>
    <row r="563" spans="1:7" x14ac:dyDescent="0.25">
      <c r="A563" s="34" t="s">
        <v>140</v>
      </c>
      <c r="B563" s="36"/>
      <c r="C563" s="36" t="s">
        <v>417</v>
      </c>
      <c r="D563" s="36"/>
      <c r="E563" s="48" t="s">
        <v>423</v>
      </c>
      <c r="F563" s="51">
        <f>B568</f>
        <v>0</v>
      </c>
      <c r="G563" s="35"/>
    </row>
    <row r="564" spans="1:7" x14ac:dyDescent="0.25">
      <c r="A564" s="34" t="s">
        <v>141</v>
      </c>
      <c r="B564" s="36"/>
      <c r="C564" s="36" t="s">
        <v>417</v>
      </c>
      <c r="D564" s="36"/>
      <c r="E564" s="48" t="s">
        <v>418</v>
      </c>
      <c r="F564" s="52">
        <v>30</v>
      </c>
      <c r="G564" s="35"/>
    </row>
    <row r="565" spans="1:7" x14ac:dyDescent="0.25">
      <c r="A565" s="34" t="s">
        <v>142</v>
      </c>
      <c r="B565" s="36"/>
      <c r="C565" s="36" t="s">
        <v>417</v>
      </c>
      <c r="D565" s="36"/>
      <c r="E565" s="48" t="s">
        <v>419</v>
      </c>
      <c r="F565" s="53">
        <f>SUM(G556:G559)-F563-F564</f>
        <v>7170</v>
      </c>
      <c r="G565" s="35"/>
    </row>
    <row r="566" spans="1:7" x14ac:dyDescent="0.25">
      <c r="A566" s="34" t="s">
        <v>144</v>
      </c>
      <c r="B566" s="36"/>
      <c r="C566" s="36" t="s">
        <v>417</v>
      </c>
      <c r="D566" s="36"/>
      <c r="G566" s="35"/>
    </row>
    <row r="567" spans="1:7" ht="15.75" thickBot="1" x14ac:dyDescent="0.3">
      <c r="A567" s="55"/>
      <c r="B567" s="56"/>
      <c r="C567" s="57"/>
      <c r="D567" s="57"/>
      <c r="E567" s="39" t="s">
        <v>420</v>
      </c>
      <c r="G567" s="35"/>
    </row>
    <row r="568" spans="1:7" ht="15.75" thickBot="1" x14ac:dyDescent="0.3">
      <c r="A568" s="40" t="s">
        <v>422</v>
      </c>
      <c r="B568" s="42">
        <f>SUM(B555:B567)</f>
        <v>0</v>
      </c>
      <c r="C568" s="42" t="s">
        <v>417</v>
      </c>
      <c r="D568" s="41"/>
      <c r="E568" s="42">
        <f>IF(F563&gt;F554,"O Projetor atigiu o pior nível de Imagem! É necessário uma troca urgente!",B568)</f>
        <v>0</v>
      </c>
      <c r="F568" s="41"/>
      <c r="G568" s="43"/>
    </row>
    <row r="570" spans="1:7" ht="15.75" thickBot="1" x14ac:dyDescent="0.3"/>
    <row r="571" spans="1:7" ht="15.75" thickBot="1" x14ac:dyDescent="0.3">
      <c r="A571" s="1362" t="s">
        <v>454</v>
      </c>
      <c r="B571" s="1363"/>
      <c r="C571" s="1363"/>
      <c r="D571" s="1363"/>
      <c r="E571" s="1363"/>
      <c r="F571" s="1363"/>
      <c r="G571" s="1364"/>
    </row>
    <row r="572" spans="1:7" x14ac:dyDescent="0.25">
      <c r="A572" s="37" t="s">
        <v>426</v>
      </c>
      <c r="B572" s="36"/>
      <c r="G572" s="35"/>
    </row>
    <row r="573" spans="1:7" ht="18.75" x14ac:dyDescent="0.3">
      <c r="A573" s="38" t="s">
        <v>388</v>
      </c>
      <c r="B573" s="54">
        <v>3600</v>
      </c>
      <c r="C573" s="36" t="s">
        <v>417</v>
      </c>
      <c r="D573" s="36"/>
      <c r="E573" t="s">
        <v>423</v>
      </c>
      <c r="F573">
        <f>B573</f>
        <v>3600</v>
      </c>
      <c r="G573" s="35"/>
    </row>
    <row r="574" spans="1:7" x14ac:dyDescent="0.25">
      <c r="A574" s="34" t="s">
        <v>132</v>
      </c>
      <c r="B574" s="36">
        <v>301</v>
      </c>
      <c r="C574" s="36" t="s">
        <v>417</v>
      </c>
      <c r="D574" s="36"/>
      <c r="E574" s="1366" t="s">
        <v>425</v>
      </c>
      <c r="F574" s="1366"/>
      <c r="G574" s="1367"/>
    </row>
    <row r="575" spans="1:7" x14ac:dyDescent="0.25">
      <c r="A575" s="34" t="s">
        <v>133</v>
      </c>
      <c r="B575" s="36">
        <v>200</v>
      </c>
      <c r="C575" s="36" t="s">
        <v>417</v>
      </c>
      <c r="D575" s="36"/>
      <c r="E575" s="48" t="s">
        <v>416</v>
      </c>
      <c r="F575" s="49">
        <v>0.5</v>
      </c>
      <c r="G575" s="50">
        <f>$F$4*F575</f>
        <v>1800</v>
      </c>
    </row>
    <row r="576" spans="1:7" x14ac:dyDescent="0.25">
      <c r="A576" s="34" t="s">
        <v>134</v>
      </c>
      <c r="B576" s="36"/>
      <c r="C576" s="36" t="s">
        <v>417</v>
      </c>
      <c r="D576" s="36"/>
      <c r="E576" s="48" t="s">
        <v>424</v>
      </c>
      <c r="F576" s="49">
        <v>0.4</v>
      </c>
      <c r="G576" s="50">
        <f>$F$4*F576</f>
        <v>1440</v>
      </c>
    </row>
    <row r="577" spans="1:7" x14ac:dyDescent="0.25">
      <c r="A577" s="34" t="s">
        <v>135</v>
      </c>
      <c r="B577" s="36"/>
      <c r="C577" s="36" t="s">
        <v>417</v>
      </c>
      <c r="D577" s="36"/>
      <c r="E577" s="48" t="s">
        <v>415</v>
      </c>
      <c r="F577" s="49">
        <v>0.1</v>
      </c>
      <c r="G577" s="50">
        <f>$F$4*F577</f>
        <v>360</v>
      </c>
    </row>
    <row r="578" spans="1:7" x14ac:dyDescent="0.25">
      <c r="A578" s="34" t="s">
        <v>136</v>
      </c>
      <c r="B578" s="36"/>
      <c r="C578" s="36" t="s">
        <v>417</v>
      </c>
      <c r="D578" s="36"/>
      <c r="E578" s="48" t="s">
        <v>404</v>
      </c>
      <c r="F578" s="49">
        <f>SUM(F575:F577)</f>
        <v>1</v>
      </c>
      <c r="G578" s="50">
        <f>$F$4*F578</f>
        <v>3600</v>
      </c>
    </row>
    <row r="579" spans="1:7" x14ac:dyDescent="0.25">
      <c r="A579" s="34" t="s">
        <v>137</v>
      </c>
      <c r="B579" s="36"/>
      <c r="C579" s="36" t="s">
        <v>417</v>
      </c>
      <c r="D579" s="36"/>
      <c r="G579" s="35"/>
    </row>
    <row r="580" spans="1:7" x14ac:dyDescent="0.25">
      <c r="A580" s="34" t="s">
        <v>138</v>
      </c>
      <c r="B580" s="36"/>
      <c r="C580" s="36" t="s">
        <v>417</v>
      </c>
      <c r="D580" s="36"/>
      <c r="E580" s="1365" t="s">
        <v>418</v>
      </c>
      <c r="F580" s="1365"/>
      <c r="G580" s="35"/>
    </row>
    <row r="581" spans="1:7" x14ac:dyDescent="0.25">
      <c r="A581" s="34" t="s">
        <v>139</v>
      </c>
      <c r="B581" s="36"/>
      <c r="C581" s="36" t="s">
        <v>417</v>
      </c>
      <c r="D581" s="36"/>
      <c r="E581" s="48"/>
      <c r="F581" s="48"/>
      <c r="G581" s="35"/>
    </row>
    <row r="582" spans="1:7" x14ac:dyDescent="0.25">
      <c r="A582" s="34" t="s">
        <v>140</v>
      </c>
      <c r="B582" s="36"/>
      <c r="C582" s="36" t="s">
        <v>417</v>
      </c>
      <c r="D582" s="36"/>
      <c r="E582" s="48" t="s">
        <v>423</v>
      </c>
      <c r="F582" s="51">
        <f>B587</f>
        <v>501</v>
      </c>
      <c r="G582" s="35"/>
    </row>
    <row r="583" spans="1:7" x14ac:dyDescent="0.25">
      <c r="A583" s="34" t="s">
        <v>141</v>
      </c>
      <c r="B583" s="36"/>
      <c r="C583" s="36" t="s">
        <v>417</v>
      </c>
      <c r="D583" s="36"/>
      <c r="E583" s="48" t="s">
        <v>418</v>
      </c>
      <c r="F583" s="52">
        <v>30</v>
      </c>
      <c r="G583" s="35"/>
    </row>
    <row r="584" spans="1:7" x14ac:dyDescent="0.25">
      <c r="A584" s="34" t="s">
        <v>142</v>
      </c>
      <c r="B584" s="36"/>
      <c r="C584" s="36" t="s">
        <v>417</v>
      </c>
      <c r="D584" s="36"/>
      <c r="E584" s="48" t="s">
        <v>419</v>
      </c>
      <c r="F584" s="53">
        <f>SUM(G575:G578)-F582-F583</f>
        <v>6669</v>
      </c>
      <c r="G584" s="35"/>
    </row>
    <row r="585" spans="1:7" x14ac:dyDescent="0.25">
      <c r="A585" s="34" t="s">
        <v>144</v>
      </c>
      <c r="B585" s="36"/>
      <c r="C585" s="36" t="s">
        <v>417</v>
      </c>
      <c r="D585" s="36"/>
      <c r="G585" s="35"/>
    </row>
    <row r="586" spans="1:7" ht="15.75" thickBot="1" x14ac:dyDescent="0.3">
      <c r="A586" s="55"/>
      <c r="B586" s="56"/>
      <c r="C586" s="57"/>
      <c r="D586" s="57"/>
      <c r="E586" s="39" t="s">
        <v>420</v>
      </c>
      <c r="G586" s="35"/>
    </row>
    <row r="587" spans="1:7" ht="15.75" thickBot="1" x14ac:dyDescent="0.3">
      <c r="A587" s="40" t="s">
        <v>422</v>
      </c>
      <c r="B587" s="42">
        <f>SUM(B574:B586)</f>
        <v>501</v>
      </c>
      <c r="C587" s="42" t="s">
        <v>417</v>
      </c>
      <c r="D587" s="41"/>
      <c r="E587" s="42">
        <f>IF(F582&gt;F573,"O Projetor atigiu o pior nível de Imagem! É necessário uma troca urgente!",B587)</f>
        <v>501</v>
      </c>
      <c r="F587" s="41"/>
      <c r="G587" s="43"/>
    </row>
    <row r="589" spans="1:7" ht="15.75" thickBot="1" x14ac:dyDescent="0.3"/>
    <row r="590" spans="1:7" ht="15.75" thickBot="1" x14ac:dyDescent="0.3">
      <c r="A590" s="1362" t="s">
        <v>455</v>
      </c>
      <c r="B590" s="1363"/>
      <c r="C590" s="1363"/>
      <c r="D590" s="1363"/>
      <c r="E590" s="1363"/>
      <c r="F590" s="1363"/>
      <c r="G590" s="1364"/>
    </row>
    <row r="591" spans="1:7" x14ac:dyDescent="0.25">
      <c r="A591" s="37" t="s">
        <v>426</v>
      </c>
      <c r="B591" s="36"/>
      <c r="G591" s="35"/>
    </row>
    <row r="592" spans="1:7" ht="18.75" x14ac:dyDescent="0.3">
      <c r="A592" s="38" t="s">
        <v>388</v>
      </c>
      <c r="B592" s="54">
        <v>3600</v>
      </c>
      <c r="C592" s="36" t="s">
        <v>417</v>
      </c>
      <c r="D592" s="36"/>
      <c r="E592" t="s">
        <v>423</v>
      </c>
      <c r="F592">
        <f>B592</f>
        <v>3600</v>
      </c>
      <c r="G592" s="35"/>
    </row>
    <row r="593" spans="1:7" x14ac:dyDescent="0.25">
      <c r="A593" s="34" t="s">
        <v>132</v>
      </c>
      <c r="B593" s="36">
        <v>301</v>
      </c>
      <c r="C593" s="36" t="s">
        <v>417</v>
      </c>
      <c r="D593" s="36"/>
      <c r="E593" s="1366" t="s">
        <v>425</v>
      </c>
      <c r="F593" s="1366"/>
      <c r="G593" s="1367"/>
    </row>
    <row r="594" spans="1:7" x14ac:dyDescent="0.25">
      <c r="A594" s="34" t="s">
        <v>133</v>
      </c>
      <c r="B594" s="36">
        <v>300</v>
      </c>
      <c r="C594" s="36" t="s">
        <v>417</v>
      </c>
      <c r="D594" s="36"/>
      <c r="E594" s="48" t="s">
        <v>416</v>
      </c>
      <c r="F594" s="49">
        <v>0.5</v>
      </c>
      <c r="G594" s="50">
        <f>$F$4*F594</f>
        <v>1800</v>
      </c>
    </row>
    <row r="595" spans="1:7" x14ac:dyDescent="0.25">
      <c r="A595" s="34" t="s">
        <v>134</v>
      </c>
      <c r="B595" s="36">
        <v>300</v>
      </c>
      <c r="C595" s="36" t="s">
        <v>417</v>
      </c>
      <c r="D595" s="36"/>
      <c r="E595" s="48" t="s">
        <v>424</v>
      </c>
      <c r="F595" s="49">
        <v>0.4</v>
      </c>
      <c r="G595" s="50">
        <f>$F$4*F595</f>
        <v>1440</v>
      </c>
    </row>
    <row r="596" spans="1:7" x14ac:dyDescent="0.25">
      <c r="A596" s="34" t="s">
        <v>135</v>
      </c>
      <c r="B596" s="36">
        <v>300</v>
      </c>
      <c r="C596" s="36" t="s">
        <v>417</v>
      </c>
      <c r="D596" s="36"/>
      <c r="E596" s="48" t="s">
        <v>415</v>
      </c>
      <c r="F596" s="49">
        <v>0.1</v>
      </c>
      <c r="G596" s="50">
        <f>$F$4*F596</f>
        <v>360</v>
      </c>
    </row>
    <row r="597" spans="1:7" x14ac:dyDescent="0.25">
      <c r="A597" s="34" t="s">
        <v>136</v>
      </c>
      <c r="B597" s="36">
        <v>430</v>
      </c>
      <c r="C597" s="36" t="s">
        <v>417</v>
      </c>
      <c r="D597" s="36"/>
      <c r="E597" s="48" t="s">
        <v>404</v>
      </c>
      <c r="F597" s="49">
        <f>SUM(F594:F596)</f>
        <v>1</v>
      </c>
      <c r="G597" s="50">
        <f>$F$4*F597</f>
        <v>3600</v>
      </c>
    </row>
    <row r="598" spans="1:7" x14ac:dyDescent="0.25">
      <c r="A598" s="34" t="s">
        <v>137</v>
      </c>
      <c r="B598" s="36"/>
      <c r="C598" s="36" t="s">
        <v>417</v>
      </c>
      <c r="D598" s="36"/>
      <c r="G598" s="35"/>
    </row>
    <row r="599" spans="1:7" x14ac:dyDescent="0.25">
      <c r="A599" s="34" t="s">
        <v>138</v>
      </c>
      <c r="B599" s="36"/>
      <c r="C599" s="36" t="s">
        <v>417</v>
      </c>
      <c r="D599" s="36"/>
      <c r="E599" s="1365" t="s">
        <v>418</v>
      </c>
      <c r="F599" s="1365"/>
      <c r="G599" s="35"/>
    </row>
    <row r="600" spans="1:7" x14ac:dyDescent="0.25">
      <c r="A600" s="34" t="s">
        <v>139</v>
      </c>
      <c r="B600" s="36"/>
      <c r="C600" s="36" t="s">
        <v>417</v>
      </c>
      <c r="D600" s="36"/>
      <c r="E600" s="48"/>
      <c r="F600" s="48"/>
      <c r="G600" s="35"/>
    </row>
    <row r="601" spans="1:7" x14ac:dyDescent="0.25">
      <c r="A601" s="34" t="s">
        <v>140</v>
      </c>
      <c r="B601" s="36"/>
      <c r="C601" s="36" t="s">
        <v>417</v>
      </c>
      <c r="D601" s="36"/>
      <c r="E601" s="48" t="s">
        <v>423</v>
      </c>
      <c r="F601" s="51">
        <f>B606</f>
        <v>1631</v>
      </c>
      <c r="G601" s="35"/>
    </row>
    <row r="602" spans="1:7" x14ac:dyDescent="0.25">
      <c r="A602" s="34" t="s">
        <v>141</v>
      </c>
      <c r="B602" s="36"/>
      <c r="C602" s="36" t="s">
        <v>417</v>
      </c>
      <c r="D602" s="36"/>
      <c r="E602" s="48" t="s">
        <v>418</v>
      </c>
      <c r="F602" s="52">
        <v>30</v>
      </c>
      <c r="G602" s="35"/>
    </row>
    <row r="603" spans="1:7" x14ac:dyDescent="0.25">
      <c r="A603" s="34" t="s">
        <v>142</v>
      </c>
      <c r="B603" s="36"/>
      <c r="C603" s="36" t="s">
        <v>417</v>
      </c>
      <c r="D603" s="36"/>
      <c r="E603" s="48" t="s">
        <v>419</v>
      </c>
      <c r="F603" s="53">
        <f>SUM(G594:G597)-F601-F602</f>
        <v>5539</v>
      </c>
      <c r="G603" s="35"/>
    </row>
    <row r="604" spans="1:7" x14ac:dyDescent="0.25">
      <c r="A604" s="34" t="s">
        <v>144</v>
      </c>
      <c r="B604" s="36"/>
      <c r="C604" s="36" t="s">
        <v>417</v>
      </c>
      <c r="D604" s="36"/>
      <c r="G604" s="35"/>
    </row>
    <row r="605" spans="1:7" ht="15.75" thickBot="1" x14ac:dyDescent="0.3">
      <c r="A605" s="55"/>
      <c r="B605" s="56"/>
      <c r="C605" s="57"/>
      <c r="D605" s="57"/>
      <c r="E605" s="39" t="s">
        <v>420</v>
      </c>
      <c r="G605" s="35"/>
    </row>
    <row r="606" spans="1:7" ht="15.75" thickBot="1" x14ac:dyDescent="0.3">
      <c r="A606" s="40" t="s">
        <v>422</v>
      </c>
      <c r="B606" s="42">
        <f>SUM(B593:B605)</f>
        <v>1631</v>
      </c>
      <c r="C606" s="42" t="s">
        <v>417</v>
      </c>
      <c r="D606" s="41"/>
      <c r="E606" s="42">
        <f>IF(F601&gt;F592,"O Projetor atigiu o pior nível de Imagem! É necessário uma troca urgente!",B606)</f>
        <v>1631</v>
      </c>
      <c r="F606" s="41"/>
      <c r="G606" s="43"/>
    </row>
    <row r="1188" spans="1:7" ht="15.75" thickBot="1" x14ac:dyDescent="0.3"/>
    <row r="1189" spans="1:7" ht="15.75" thickBot="1" x14ac:dyDescent="0.3">
      <c r="A1189" s="1379"/>
      <c r="B1189" s="1380"/>
      <c r="C1189" s="1380"/>
      <c r="D1189" s="1380"/>
      <c r="E1189" s="1380"/>
      <c r="F1189" s="1380"/>
      <c r="G1189" s="1381"/>
    </row>
    <row r="1190" spans="1:7" x14ac:dyDescent="0.25">
      <c r="A1190" s="37" t="s">
        <v>426</v>
      </c>
      <c r="B1190" s="36"/>
      <c r="G1190" s="35"/>
    </row>
    <row r="1191" spans="1:7" x14ac:dyDescent="0.25">
      <c r="A1191" s="38" t="s">
        <v>388</v>
      </c>
      <c r="B1191">
        <v>3600</v>
      </c>
      <c r="C1191" s="36" t="s">
        <v>417</v>
      </c>
      <c r="D1191" s="36"/>
      <c r="E1191" t="s">
        <v>423</v>
      </c>
      <c r="F1191">
        <f>B1191</f>
        <v>3600</v>
      </c>
      <c r="G1191" s="35"/>
    </row>
    <row r="1192" spans="1:7" x14ac:dyDescent="0.25">
      <c r="A1192" s="34" t="s">
        <v>132</v>
      </c>
      <c r="B1192" s="36">
        <v>250</v>
      </c>
      <c r="C1192" s="36" t="s">
        <v>417</v>
      </c>
      <c r="D1192" s="36"/>
      <c r="E1192" s="1366" t="s">
        <v>425</v>
      </c>
      <c r="F1192" s="1366"/>
      <c r="G1192" s="1367"/>
    </row>
    <row r="1193" spans="1:7" x14ac:dyDescent="0.25">
      <c r="A1193" s="34" t="s">
        <v>133</v>
      </c>
      <c r="B1193" s="36">
        <v>400</v>
      </c>
      <c r="C1193" s="36" t="s">
        <v>417</v>
      </c>
      <c r="D1193" s="36"/>
      <c r="E1193" s="48" t="s">
        <v>416</v>
      </c>
      <c r="F1193" s="49">
        <v>0.5</v>
      </c>
      <c r="G1193" s="50">
        <f>$F$4*F1193</f>
        <v>1800</v>
      </c>
    </row>
    <row r="1194" spans="1:7" x14ac:dyDescent="0.25">
      <c r="A1194" s="34" t="s">
        <v>134</v>
      </c>
      <c r="B1194" s="36">
        <v>600</v>
      </c>
      <c r="C1194" s="36" t="s">
        <v>417</v>
      </c>
      <c r="D1194" s="36"/>
      <c r="E1194" s="48" t="s">
        <v>424</v>
      </c>
      <c r="F1194" s="49">
        <v>0.4</v>
      </c>
      <c r="G1194" s="50">
        <f>$F$4*F1194</f>
        <v>1440</v>
      </c>
    </row>
    <row r="1195" spans="1:7" x14ac:dyDescent="0.25">
      <c r="A1195" s="34" t="s">
        <v>135</v>
      </c>
      <c r="B1195" s="36">
        <v>250</v>
      </c>
      <c r="C1195" s="36" t="s">
        <v>417</v>
      </c>
      <c r="D1195" s="36"/>
      <c r="E1195" s="48" t="s">
        <v>415</v>
      </c>
      <c r="F1195" s="49">
        <v>0.1</v>
      </c>
      <c r="G1195" s="50">
        <f>$F$4*F1195</f>
        <v>360</v>
      </c>
    </row>
    <row r="1196" spans="1:7" x14ac:dyDescent="0.25">
      <c r="A1196" s="34" t="s">
        <v>136</v>
      </c>
      <c r="C1196" s="36" t="s">
        <v>417</v>
      </c>
      <c r="D1196" s="36"/>
      <c r="E1196" s="48" t="s">
        <v>404</v>
      </c>
      <c r="F1196" s="49">
        <f>SUM(F1193:F1195)</f>
        <v>1</v>
      </c>
      <c r="G1196" s="50">
        <f>$F$4*F1196</f>
        <v>3600</v>
      </c>
    </row>
    <row r="1197" spans="1:7" x14ac:dyDescent="0.25">
      <c r="A1197" s="34" t="s">
        <v>137</v>
      </c>
      <c r="C1197" s="36" t="s">
        <v>417</v>
      </c>
      <c r="D1197" s="36"/>
      <c r="G1197" s="35"/>
    </row>
    <row r="1198" spans="1:7" x14ac:dyDescent="0.25">
      <c r="A1198" s="34" t="s">
        <v>138</v>
      </c>
      <c r="C1198" s="36" t="s">
        <v>417</v>
      </c>
      <c r="D1198" s="36"/>
      <c r="E1198" s="1365" t="s">
        <v>418</v>
      </c>
      <c r="F1198" s="1365"/>
      <c r="G1198" s="35"/>
    </row>
    <row r="1199" spans="1:7" x14ac:dyDescent="0.25">
      <c r="A1199" s="34" t="s">
        <v>139</v>
      </c>
      <c r="C1199" s="36" t="s">
        <v>417</v>
      </c>
      <c r="D1199" s="36"/>
      <c r="E1199" s="48"/>
      <c r="F1199" s="48"/>
      <c r="G1199" s="35"/>
    </row>
    <row r="1200" spans="1:7" x14ac:dyDescent="0.25">
      <c r="A1200" s="34" t="s">
        <v>140</v>
      </c>
      <c r="C1200" s="36" t="s">
        <v>417</v>
      </c>
      <c r="D1200" s="36"/>
      <c r="E1200" s="48" t="s">
        <v>423</v>
      </c>
      <c r="F1200" s="51">
        <f>B1205</f>
        <v>1500</v>
      </c>
      <c r="G1200" s="35"/>
    </row>
    <row r="1201" spans="1:7" x14ac:dyDescent="0.25">
      <c r="A1201" s="34" t="s">
        <v>141</v>
      </c>
      <c r="C1201" s="36" t="s">
        <v>417</v>
      </c>
      <c r="D1201" s="36"/>
      <c r="E1201" s="48" t="s">
        <v>418</v>
      </c>
      <c r="F1201" s="52">
        <v>80</v>
      </c>
      <c r="G1201" s="35"/>
    </row>
    <row r="1202" spans="1:7" x14ac:dyDescent="0.25">
      <c r="A1202" s="34" t="s">
        <v>142</v>
      </c>
      <c r="C1202" s="36" t="s">
        <v>417</v>
      </c>
      <c r="D1202" s="36"/>
      <c r="E1202" s="48" t="s">
        <v>419</v>
      </c>
      <c r="F1202" s="53">
        <f>SUM(G1193:G1196)-F1200-F1201</f>
        <v>5620</v>
      </c>
      <c r="G1202" s="35"/>
    </row>
    <row r="1203" spans="1:7" x14ac:dyDescent="0.25">
      <c r="A1203" s="34" t="s">
        <v>144</v>
      </c>
      <c r="C1203" s="36" t="s">
        <v>417</v>
      </c>
      <c r="D1203" s="36"/>
      <c r="G1203" s="35"/>
    </row>
    <row r="1204" spans="1:7" ht="15.75" thickBot="1" x14ac:dyDescent="0.3">
      <c r="A1204" s="34"/>
      <c r="E1204" s="39" t="s">
        <v>420</v>
      </c>
      <c r="G1204" s="35"/>
    </row>
    <row r="1205" spans="1:7" ht="15.75" thickBot="1" x14ac:dyDescent="0.3">
      <c r="A1205" s="40" t="s">
        <v>422</v>
      </c>
      <c r="B1205" s="41">
        <f>SUM(B1192:B1204)</f>
        <v>1500</v>
      </c>
      <c r="C1205" s="42" t="s">
        <v>417</v>
      </c>
      <c r="D1205" s="41"/>
      <c r="E1205" s="42">
        <f>IF(F1200&gt;F1191,"O Projetor atigiu o pior nível de Imagem! É necessário uma troca urgente!",B1205)</f>
        <v>1500</v>
      </c>
      <c r="F1205" s="41"/>
      <c r="G1205" s="43"/>
    </row>
    <row r="1207" spans="1:7" ht="15.75" thickBot="1" x14ac:dyDescent="0.3"/>
    <row r="1208" spans="1:7" ht="15.75" thickBot="1" x14ac:dyDescent="0.3">
      <c r="A1208" s="1379"/>
      <c r="B1208" s="1380"/>
      <c r="C1208" s="1380"/>
      <c r="D1208" s="1380"/>
      <c r="E1208" s="1380"/>
      <c r="F1208" s="1380"/>
      <c r="G1208" s="1381"/>
    </row>
    <row r="1209" spans="1:7" x14ac:dyDescent="0.25">
      <c r="A1209" s="37" t="s">
        <v>426</v>
      </c>
      <c r="B1209" s="36"/>
      <c r="G1209" s="35"/>
    </row>
    <row r="1210" spans="1:7" x14ac:dyDescent="0.25">
      <c r="A1210" s="38" t="s">
        <v>388</v>
      </c>
      <c r="B1210">
        <v>3600</v>
      </c>
      <c r="C1210" s="36" t="s">
        <v>417</v>
      </c>
      <c r="D1210" s="36"/>
      <c r="E1210" t="s">
        <v>423</v>
      </c>
      <c r="F1210">
        <f>B1210</f>
        <v>3600</v>
      </c>
      <c r="G1210" s="35"/>
    </row>
    <row r="1211" spans="1:7" x14ac:dyDescent="0.25">
      <c r="A1211" s="34" t="s">
        <v>132</v>
      </c>
      <c r="B1211" s="36">
        <v>250</v>
      </c>
      <c r="C1211" s="36" t="s">
        <v>417</v>
      </c>
      <c r="D1211" s="36"/>
      <c r="E1211" s="1366" t="s">
        <v>425</v>
      </c>
      <c r="F1211" s="1366"/>
      <c r="G1211" s="1367"/>
    </row>
    <row r="1212" spans="1:7" x14ac:dyDescent="0.25">
      <c r="A1212" s="34" t="s">
        <v>133</v>
      </c>
      <c r="B1212" s="36">
        <v>400</v>
      </c>
      <c r="C1212" s="36" t="s">
        <v>417</v>
      </c>
      <c r="D1212" s="36"/>
      <c r="E1212" s="48" t="s">
        <v>416</v>
      </c>
      <c r="F1212" s="49">
        <v>0.5</v>
      </c>
      <c r="G1212" s="50">
        <f>$F$4*F1212</f>
        <v>1800</v>
      </c>
    </row>
    <row r="1213" spans="1:7" x14ac:dyDescent="0.25">
      <c r="A1213" s="34" t="s">
        <v>134</v>
      </c>
      <c r="B1213" s="36">
        <v>600</v>
      </c>
      <c r="C1213" s="36" t="s">
        <v>417</v>
      </c>
      <c r="D1213" s="36"/>
      <c r="E1213" s="48" t="s">
        <v>424</v>
      </c>
      <c r="F1213" s="49">
        <v>0.4</v>
      </c>
      <c r="G1213" s="50">
        <f>$F$4*F1213</f>
        <v>1440</v>
      </c>
    </row>
    <row r="1214" spans="1:7" x14ac:dyDescent="0.25">
      <c r="A1214" s="34" t="s">
        <v>135</v>
      </c>
      <c r="B1214" s="36">
        <v>250</v>
      </c>
      <c r="C1214" s="36" t="s">
        <v>417</v>
      </c>
      <c r="D1214" s="36"/>
      <c r="E1214" s="48" t="s">
        <v>415</v>
      </c>
      <c r="F1214" s="49">
        <v>0.1</v>
      </c>
      <c r="G1214" s="50">
        <f>$F$4*F1214</f>
        <v>360</v>
      </c>
    </row>
    <row r="1215" spans="1:7" x14ac:dyDescent="0.25">
      <c r="A1215" s="34" t="s">
        <v>136</v>
      </c>
      <c r="C1215" s="36" t="s">
        <v>417</v>
      </c>
      <c r="D1215" s="36"/>
      <c r="E1215" s="48" t="s">
        <v>404</v>
      </c>
      <c r="F1215" s="49">
        <f>SUM(F1212:F1214)</f>
        <v>1</v>
      </c>
      <c r="G1215" s="50">
        <f>$F$4*F1215</f>
        <v>3600</v>
      </c>
    </row>
    <row r="1216" spans="1:7" x14ac:dyDescent="0.25">
      <c r="A1216" s="34" t="s">
        <v>137</v>
      </c>
      <c r="C1216" s="36" t="s">
        <v>417</v>
      </c>
      <c r="D1216" s="36"/>
      <c r="G1216" s="35"/>
    </row>
    <row r="1217" spans="1:7" x14ac:dyDescent="0.25">
      <c r="A1217" s="34" t="s">
        <v>138</v>
      </c>
      <c r="C1217" s="36" t="s">
        <v>417</v>
      </c>
      <c r="D1217" s="36"/>
      <c r="E1217" s="1365" t="s">
        <v>418</v>
      </c>
      <c r="F1217" s="1365"/>
      <c r="G1217" s="35"/>
    </row>
    <row r="1218" spans="1:7" x14ac:dyDescent="0.25">
      <c r="A1218" s="34" t="s">
        <v>139</v>
      </c>
      <c r="C1218" s="36" t="s">
        <v>417</v>
      </c>
      <c r="D1218" s="36"/>
      <c r="E1218" s="48"/>
      <c r="F1218" s="48"/>
      <c r="G1218" s="35"/>
    </row>
    <row r="1219" spans="1:7" x14ac:dyDescent="0.25">
      <c r="A1219" s="34" t="s">
        <v>140</v>
      </c>
      <c r="C1219" s="36" t="s">
        <v>417</v>
      </c>
      <c r="D1219" s="36"/>
      <c r="E1219" s="48" t="s">
        <v>423</v>
      </c>
      <c r="F1219" s="51">
        <f>B1224</f>
        <v>1500</v>
      </c>
      <c r="G1219" s="35"/>
    </row>
    <row r="1220" spans="1:7" x14ac:dyDescent="0.25">
      <c r="A1220" s="34" t="s">
        <v>141</v>
      </c>
      <c r="C1220" s="36" t="s">
        <v>417</v>
      </c>
      <c r="D1220" s="36"/>
      <c r="E1220" s="48" t="s">
        <v>418</v>
      </c>
      <c r="F1220" s="52">
        <v>80</v>
      </c>
      <c r="G1220" s="35"/>
    </row>
    <row r="1221" spans="1:7" x14ac:dyDescent="0.25">
      <c r="A1221" s="34" t="s">
        <v>142</v>
      </c>
      <c r="C1221" s="36" t="s">
        <v>417</v>
      </c>
      <c r="D1221" s="36"/>
      <c r="E1221" s="48" t="s">
        <v>419</v>
      </c>
      <c r="F1221" s="53">
        <f>SUM(G1212:G1215)-F1219-F1220</f>
        <v>5620</v>
      </c>
      <c r="G1221" s="35"/>
    </row>
    <row r="1222" spans="1:7" x14ac:dyDescent="0.25">
      <c r="A1222" s="34" t="s">
        <v>144</v>
      </c>
      <c r="C1222" s="36" t="s">
        <v>417</v>
      </c>
      <c r="D1222" s="36"/>
      <c r="G1222" s="35"/>
    </row>
    <row r="1223" spans="1:7" ht="15.75" thickBot="1" x14ac:dyDescent="0.3">
      <c r="A1223" s="34"/>
      <c r="E1223" s="39" t="s">
        <v>420</v>
      </c>
      <c r="G1223" s="35"/>
    </row>
    <row r="1224" spans="1:7" ht="15.75" thickBot="1" x14ac:dyDescent="0.3">
      <c r="A1224" s="40" t="s">
        <v>422</v>
      </c>
      <c r="B1224" s="41">
        <f>SUM(B1211:B1223)</f>
        <v>1500</v>
      </c>
      <c r="C1224" s="42" t="s">
        <v>417</v>
      </c>
      <c r="D1224" s="41"/>
      <c r="E1224" s="42">
        <f>IF(F1219&gt;F1210,"O Projetor atigiu o pior nível de Imagem! É necessário uma troca urgente!",B1224)</f>
        <v>1500</v>
      </c>
      <c r="F1224" s="41"/>
      <c r="G1224" s="43"/>
    </row>
    <row r="1226" spans="1:7" ht="15.75" thickBot="1" x14ac:dyDescent="0.3"/>
    <row r="1227" spans="1:7" ht="15.75" thickBot="1" x14ac:dyDescent="0.3">
      <c r="A1227" s="1379"/>
      <c r="B1227" s="1380"/>
      <c r="C1227" s="1380"/>
      <c r="D1227" s="1380"/>
      <c r="E1227" s="1380"/>
      <c r="F1227" s="1380"/>
      <c r="G1227" s="1381"/>
    </row>
    <row r="1228" spans="1:7" x14ac:dyDescent="0.25">
      <c r="A1228" s="37" t="s">
        <v>426</v>
      </c>
      <c r="B1228" s="36"/>
      <c r="G1228" s="35"/>
    </row>
    <row r="1229" spans="1:7" x14ac:dyDescent="0.25">
      <c r="A1229" s="38" t="s">
        <v>388</v>
      </c>
      <c r="B1229">
        <v>3600</v>
      </c>
      <c r="C1229" s="36" t="s">
        <v>417</v>
      </c>
      <c r="D1229" s="36"/>
      <c r="E1229" t="s">
        <v>423</v>
      </c>
      <c r="F1229">
        <f>B1229</f>
        <v>3600</v>
      </c>
      <c r="G1229" s="35"/>
    </row>
    <row r="1230" spans="1:7" x14ac:dyDescent="0.25">
      <c r="A1230" s="34" t="s">
        <v>132</v>
      </c>
      <c r="B1230" s="36">
        <v>250</v>
      </c>
      <c r="C1230" s="36" t="s">
        <v>417</v>
      </c>
      <c r="D1230" s="36"/>
      <c r="E1230" s="1366" t="s">
        <v>425</v>
      </c>
      <c r="F1230" s="1366"/>
      <c r="G1230" s="1367"/>
    </row>
    <row r="1231" spans="1:7" x14ac:dyDescent="0.25">
      <c r="A1231" s="34" t="s">
        <v>133</v>
      </c>
      <c r="B1231" s="36">
        <v>400</v>
      </c>
      <c r="C1231" s="36" t="s">
        <v>417</v>
      </c>
      <c r="D1231" s="36"/>
      <c r="E1231" s="48" t="s">
        <v>416</v>
      </c>
      <c r="F1231" s="49">
        <v>0.5</v>
      </c>
      <c r="G1231" s="50">
        <f>$F$4*F1231</f>
        <v>1800</v>
      </c>
    </row>
    <row r="1232" spans="1:7" x14ac:dyDescent="0.25">
      <c r="A1232" s="34" t="s">
        <v>134</v>
      </c>
      <c r="B1232" s="36">
        <v>600</v>
      </c>
      <c r="C1232" s="36" t="s">
        <v>417</v>
      </c>
      <c r="D1232" s="36"/>
      <c r="E1232" s="48" t="s">
        <v>424</v>
      </c>
      <c r="F1232" s="49">
        <v>0.4</v>
      </c>
      <c r="G1232" s="50">
        <f>$F$4*F1232</f>
        <v>1440</v>
      </c>
    </row>
    <row r="1233" spans="1:7" x14ac:dyDescent="0.25">
      <c r="A1233" s="34" t="s">
        <v>135</v>
      </c>
      <c r="B1233" s="36">
        <v>250</v>
      </c>
      <c r="C1233" s="36" t="s">
        <v>417</v>
      </c>
      <c r="D1233" s="36"/>
      <c r="E1233" s="48" t="s">
        <v>415</v>
      </c>
      <c r="F1233" s="49">
        <v>0.1</v>
      </c>
      <c r="G1233" s="50">
        <f>$F$4*F1233</f>
        <v>360</v>
      </c>
    </row>
    <row r="1234" spans="1:7" x14ac:dyDescent="0.25">
      <c r="A1234" s="34" t="s">
        <v>136</v>
      </c>
      <c r="C1234" s="36" t="s">
        <v>417</v>
      </c>
      <c r="D1234" s="36"/>
      <c r="E1234" s="48" t="s">
        <v>404</v>
      </c>
      <c r="F1234" s="49">
        <f>SUM(F1231:F1233)</f>
        <v>1</v>
      </c>
      <c r="G1234" s="50">
        <f>$F$4*F1234</f>
        <v>3600</v>
      </c>
    </row>
    <row r="1235" spans="1:7" x14ac:dyDescent="0.25">
      <c r="A1235" s="34" t="s">
        <v>137</v>
      </c>
      <c r="C1235" s="36" t="s">
        <v>417</v>
      </c>
      <c r="D1235" s="36"/>
      <c r="G1235" s="35"/>
    </row>
    <row r="1236" spans="1:7" x14ac:dyDescent="0.25">
      <c r="A1236" s="34" t="s">
        <v>138</v>
      </c>
      <c r="C1236" s="36" t="s">
        <v>417</v>
      </c>
      <c r="D1236" s="36"/>
      <c r="E1236" s="1365" t="s">
        <v>418</v>
      </c>
      <c r="F1236" s="1365"/>
      <c r="G1236" s="35"/>
    </row>
    <row r="1237" spans="1:7" x14ac:dyDescent="0.25">
      <c r="A1237" s="34" t="s">
        <v>139</v>
      </c>
      <c r="C1237" s="36" t="s">
        <v>417</v>
      </c>
      <c r="D1237" s="36"/>
      <c r="E1237" s="48"/>
      <c r="F1237" s="48"/>
      <c r="G1237" s="35"/>
    </row>
    <row r="1238" spans="1:7" x14ac:dyDescent="0.25">
      <c r="A1238" s="34" t="s">
        <v>140</v>
      </c>
      <c r="C1238" s="36" t="s">
        <v>417</v>
      </c>
      <c r="D1238" s="36"/>
      <c r="E1238" s="48" t="s">
        <v>423</v>
      </c>
      <c r="F1238" s="51">
        <f>B1243</f>
        <v>1500</v>
      </c>
      <c r="G1238" s="35"/>
    </row>
    <row r="1239" spans="1:7" x14ac:dyDescent="0.25">
      <c r="A1239" s="34" t="s">
        <v>141</v>
      </c>
      <c r="C1239" s="36" t="s">
        <v>417</v>
      </c>
      <c r="D1239" s="36"/>
      <c r="E1239" s="48" t="s">
        <v>418</v>
      </c>
      <c r="F1239" s="52">
        <v>80</v>
      </c>
      <c r="G1239" s="35"/>
    </row>
    <row r="1240" spans="1:7" x14ac:dyDescent="0.25">
      <c r="A1240" s="34" t="s">
        <v>142</v>
      </c>
      <c r="C1240" s="36" t="s">
        <v>417</v>
      </c>
      <c r="D1240" s="36"/>
      <c r="E1240" s="48" t="s">
        <v>419</v>
      </c>
      <c r="F1240" s="53">
        <f>SUM(G1231:G1234)-F1238-F1239</f>
        <v>5620</v>
      </c>
      <c r="G1240" s="35"/>
    </row>
    <row r="1241" spans="1:7" x14ac:dyDescent="0.25">
      <c r="A1241" s="34" t="s">
        <v>144</v>
      </c>
      <c r="C1241" s="36" t="s">
        <v>417</v>
      </c>
      <c r="D1241" s="36"/>
      <c r="G1241" s="35"/>
    </row>
    <row r="1242" spans="1:7" ht="15.75" thickBot="1" x14ac:dyDescent="0.3">
      <c r="A1242" s="34"/>
      <c r="E1242" s="39" t="s">
        <v>420</v>
      </c>
      <c r="G1242" s="35"/>
    </row>
    <row r="1243" spans="1:7" ht="15.75" thickBot="1" x14ac:dyDescent="0.3">
      <c r="A1243" s="40" t="s">
        <v>422</v>
      </c>
      <c r="B1243" s="41">
        <f>SUM(B1230:B1242)</f>
        <v>1500</v>
      </c>
      <c r="C1243" s="42" t="s">
        <v>417</v>
      </c>
      <c r="D1243" s="41"/>
      <c r="E1243" s="42">
        <f>IF(F1238&gt;F1229,"O Projetor atigiu o pior nível de Imagem! É necessário uma troca urgente!",B1243)</f>
        <v>1500</v>
      </c>
      <c r="F1243" s="41"/>
      <c r="G1243" s="43"/>
    </row>
    <row r="1245" spans="1:7" ht="15.75" thickBot="1" x14ac:dyDescent="0.3"/>
    <row r="1246" spans="1:7" ht="15.75" thickBot="1" x14ac:dyDescent="0.3">
      <c r="A1246" s="1379"/>
      <c r="B1246" s="1380"/>
      <c r="C1246" s="1380"/>
      <c r="D1246" s="1380"/>
      <c r="E1246" s="1380"/>
      <c r="F1246" s="1380"/>
      <c r="G1246" s="1381"/>
    </row>
    <row r="1247" spans="1:7" x14ac:dyDescent="0.25">
      <c r="A1247" s="37" t="s">
        <v>426</v>
      </c>
      <c r="B1247" s="36"/>
      <c r="G1247" s="35"/>
    </row>
    <row r="1248" spans="1:7" x14ac:dyDescent="0.25">
      <c r="A1248" s="38" t="s">
        <v>388</v>
      </c>
      <c r="B1248">
        <v>3600</v>
      </c>
      <c r="C1248" s="36" t="s">
        <v>417</v>
      </c>
      <c r="D1248" s="36"/>
      <c r="E1248" t="s">
        <v>423</v>
      </c>
      <c r="F1248">
        <f>B1248</f>
        <v>3600</v>
      </c>
      <c r="G1248" s="35"/>
    </row>
    <row r="1249" spans="1:7" x14ac:dyDescent="0.25">
      <c r="A1249" s="34" t="s">
        <v>132</v>
      </c>
      <c r="B1249" s="36">
        <v>250</v>
      </c>
      <c r="C1249" s="36" t="s">
        <v>417</v>
      </c>
      <c r="D1249" s="36"/>
      <c r="E1249" s="1366" t="s">
        <v>425</v>
      </c>
      <c r="F1249" s="1366"/>
      <c r="G1249" s="1367"/>
    </row>
    <row r="1250" spans="1:7" x14ac:dyDescent="0.25">
      <c r="A1250" s="34" t="s">
        <v>133</v>
      </c>
      <c r="B1250" s="36">
        <v>400</v>
      </c>
      <c r="C1250" s="36" t="s">
        <v>417</v>
      </c>
      <c r="D1250" s="36"/>
      <c r="E1250" s="48" t="s">
        <v>416</v>
      </c>
      <c r="F1250" s="49">
        <v>0.5</v>
      </c>
      <c r="G1250" s="50">
        <f>$F$4*F1250</f>
        <v>1800</v>
      </c>
    </row>
    <row r="1251" spans="1:7" x14ac:dyDescent="0.25">
      <c r="A1251" s="34" t="s">
        <v>134</v>
      </c>
      <c r="B1251" s="36">
        <v>600</v>
      </c>
      <c r="C1251" s="36" t="s">
        <v>417</v>
      </c>
      <c r="D1251" s="36"/>
      <c r="E1251" s="48" t="s">
        <v>424</v>
      </c>
      <c r="F1251" s="49">
        <v>0.4</v>
      </c>
      <c r="G1251" s="50">
        <f>$F$4*F1251</f>
        <v>1440</v>
      </c>
    </row>
    <row r="1252" spans="1:7" x14ac:dyDescent="0.25">
      <c r="A1252" s="34" t="s">
        <v>135</v>
      </c>
      <c r="B1252" s="36">
        <v>250</v>
      </c>
      <c r="C1252" s="36" t="s">
        <v>417</v>
      </c>
      <c r="D1252" s="36"/>
      <c r="E1252" s="48" t="s">
        <v>415</v>
      </c>
      <c r="F1252" s="49">
        <v>0.1</v>
      </c>
      <c r="G1252" s="50">
        <f>$F$4*F1252</f>
        <v>360</v>
      </c>
    </row>
    <row r="1253" spans="1:7" x14ac:dyDescent="0.25">
      <c r="A1253" s="34" t="s">
        <v>136</v>
      </c>
      <c r="C1253" s="36" t="s">
        <v>417</v>
      </c>
      <c r="D1253" s="36"/>
      <c r="E1253" s="48" t="s">
        <v>404</v>
      </c>
      <c r="F1253" s="49">
        <f>SUM(F1250:F1252)</f>
        <v>1</v>
      </c>
      <c r="G1253" s="50">
        <f>$F$4*F1253</f>
        <v>3600</v>
      </c>
    </row>
    <row r="1254" spans="1:7" x14ac:dyDescent="0.25">
      <c r="A1254" s="34" t="s">
        <v>137</v>
      </c>
      <c r="C1254" s="36" t="s">
        <v>417</v>
      </c>
      <c r="D1254" s="36"/>
      <c r="G1254" s="35"/>
    </row>
    <row r="1255" spans="1:7" x14ac:dyDescent="0.25">
      <c r="A1255" s="34" t="s">
        <v>138</v>
      </c>
      <c r="C1255" s="36" t="s">
        <v>417</v>
      </c>
      <c r="D1255" s="36"/>
      <c r="E1255" s="1365" t="s">
        <v>418</v>
      </c>
      <c r="F1255" s="1365"/>
      <c r="G1255" s="35"/>
    </row>
    <row r="1256" spans="1:7" x14ac:dyDescent="0.25">
      <c r="A1256" s="34" t="s">
        <v>139</v>
      </c>
      <c r="C1256" s="36" t="s">
        <v>417</v>
      </c>
      <c r="D1256" s="36"/>
      <c r="E1256" s="48"/>
      <c r="F1256" s="48"/>
      <c r="G1256" s="35"/>
    </row>
    <row r="1257" spans="1:7" x14ac:dyDescent="0.25">
      <c r="A1257" s="34" t="s">
        <v>140</v>
      </c>
      <c r="C1257" s="36" t="s">
        <v>417</v>
      </c>
      <c r="D1257" s="36"/>
      <c r="E1257" s="48" t="s">
        <v>423</v>
      </c>
      <c r="F1257" s="51">
        <f>B1262</f>
        <v>1500</v>
      </c>
      <c r="G1257" s="35"/>
    </row>
    <row r="1258" spans="1:7" x14ac:dyDescent="0.25">
      <c r="A1258" s="34" t="s">
        <v>141</v>
      </c>
      <c r="C1258" s="36" t="s">
        <v>417</v>
      </c>
      <c r="D1258" s="36"/>
      <c r="E1258" s="48" t="s">
        <v>418</v>
      </c>
      <c r="F1258" s="52">
        <f>IF(F1257&gt;F1248,0,30)</f>
        <v>30</v>
      </c>
      <c r="G1258" s="35"/>
    </row>
    <row r="1259" spans="1:7" x14ac:dyDescent="0.25">
      <c r="A1259" s="34" t="s">
        <v>142</v>
      </c>
      <c r="C1259" s="36" t="s">
        <v>417</v>
      </c>
      <c r="D1259" s="36"/>
      <c r="E1259" s="48" t="s">
        <v>419</v>
      </c>
      <c r="F1259" s="53">
        <f>SUM(G1250:G1253)-F1257-F1258</f>
        <v>5670</v>
      </c>
      <c r="G1259" s="35"/>
    </row>
    <row r="1260" spans="1:7" x14ac:dyDescent="0.25">
      <c r="A1260" s="34" t="s">
        <v>144</v>
      </c>
      <c r="C1260" s="36" t="s">
        <v>417</v>
      </c>
      <c r="D1260" s="36"/>
      <c r="G1260" s="35"/>
    </row>
    <row r="1261" spans="1:7" ht="15.75" thickBot="1" x14ac:dyDescent="0.3">
      <c r="A1261" s="34"/>
      <c r="E1261" s="39" t="s">
        <v>420</v>
      </c>
      <c r="G1261" s="35"/>
    </row>
    <row r="1262" spans="1:7" ht="15.75" thickBot="1" x14ac:dyDescent="0.3">
      <c r="A1262" s="40" t="s">
        <v>422</v>
      </c>
      <c r="B1262" s="41">
        <f>SUM(B1249:B1261)</f>
        <v>1500</v>
      </c>
      <c r="C1262" s="42" t="s">
        <v>417</v>
      </c>
      <c r="D1262" s="41"/>
      <c r="E1262" s="42">
        <f>IF(F1257&gt;F1248,"O Projetor atigiu o pior nível de Imagem! É necessário uma troca urgente!",B1262)</f>
        <v>1500</v>
      </c>
      <c r="F1262" s="41"/>
      <c r="G1262" s="43"/>
    </row>
    <row r="1264" spans="1:7" ht="15.75" thickBot="1" x14ac:dyDescent="0.3"/>
    <row r="1265" spans="1:7" ht="15.75" thickBot="1" x14ac:dyDescent="0.3">
      <c r="A1265" s="1379"/>
      <c r="B1265" s="1380"/>
      <c r="C1265" s="1380"/>
      <c r="D1265" s="1380"/>
      <c r="E1265" s="1380"/>
      <c r="F1265" s="1380"/>
      <c r="G1265" s="1381"/>
    </row>
    <row r="1266" spans="1:7" x14ac:dyDescent="0.25">
      <c r="A1266" s="37" t="s">
        <v>426</v>
      </c>
      <c r="B1266" s="36"/>
      <c r="G1266" s="35"/>
    </row>
    <row r="1267" spans="1:7" x14ac:dyDescent="0.25">
      <c r="A1267" s="38" t="s">
        <v>388</v>
      </c>
      <c r="B1267">
        <v>3600</v>
      </c>
      <c r="C1267" s="36" t="s">
        <v>417</v>
      </c>
      <c r="D1267" s="36"/>
      <c r="E1267" t="s">
        <v>423</v>
      </c>
      <c r="F1267">
        <f>B1267</f>
        <v>3600</v>
      </c>
      <c r="G1267" s="35"/>
    </row>
    <row r="1268" spans="1:7" x14ac:dyDescent="0.25">
      <c r="A1268" s="34" t="s">
        <v>132</v>
      </c>
      <c r="B1268" s="36">
        <v>250</v>
      </c>
      <c r="C1268" s="36" t="s">
        <v>417</v>
      </c>
      <c r="D1268" s="36"/>
      <c r="E1268" s="1366" t="s">
        <v>425</v>
      </c>
      <c r="F1268" s="1366"/>
      <c r="G1268" s="1367"/>
    </row>
    <row r="1269" spans="1:7" x14ac:dyDescent="0.25">
      <c r="A1269" s="34" t="s">
        <v>133</v>
      </c>
      <c r="B1269" s="36">
        <v>400</v>
      </c>
      <c r="C1269" s="36" t="s">
        <v>417</v>
      </c>
      <c r="D1269" s="36"/>
      <c r="E1269" s="48" t="s">
        <v>416</v>
      </c>
      <c r="F1269" s="49">
        <v>0.5</v>
      </c>
      <c r="G1269" s="50">
        <f>$F$4*F1269</f>
        <v>1800</v>
      </c>
    </row>
    <row r="1270" spans="1:7" x14ac:dyDescent="0.25">
      <c r="A1270" s="34" t="s">
        <v>134</v>
      </c>
      <c r="B1270" s="36">
        <v>600</v>
      </c>
      <c r="C1270" s="36" t="s">
        <v>417</v>
      </c>
      <c r="D1270" s="36"/>
      <c r="E1270" s="48" t="s">
        <v>424</v>
      </c>
      <c r="F1270" s="49">
        <v>0.4</v>
      </c>
      <c r="G1270" s="50">
        <f>$F$4*F1270</f>
        <v>1440</v>
      </c>
    </row>
    <row r="1271" spans="1:7" x14ac:dyDescent="0.25">
      <c r="A1271" s="34" t="s">
        <v>135</v>
      </c>
      <c r="B1271" s="36">
        <v>250</v>
      </c>
      <c r="C1271" s="36" t="s">
        <v>417</v>
      </c>
      <c r="D1271" s="36"/>
      <c r="E1271" s="48" t="s">
        <v>415</v>
      </c>
      <c r="F1271" s="49">
        <v>0.1</v>
      </c>
      <c r="G1271" s="50">
        <f>$F$4*F1271</f>
        <v>360</v>
      </c>
    </row>
    <row r="1272" spans="1:7" x14ac:dyDescent="0.25">
      <c r="A1272" s="34" t="s">
        <v>136</v>
      </c>
      <c r="C1272" s="36" t="s">
        <v>417</v>
      </c>
      <c r="D1272" s="36"/>
      <c r="E1272" s="48" t="s">
        <v>404</v>
      </c>
      <c r="F1272" s="49">
        <f>SUM(F1269:F1271)</f>
        <v>1</v>
      </c>
      <c r="G1272" s="50">
        <f>$F$4*F1272</f>
        <v>3600</v>
      </c>
    </row>
    <row r="1273" spans="1:7" x14ac:dyDescent="0.25">
      <c r="A1273" s="34" t="s">
        <v>137</v>
      </c>
      <c r="C1273" s="36" t="s">
        <v>417</v>
      </c>
      <c r="D1273" s="36"/>
      <c r="G1273" s="35"/>
    </row>
    <row r="1274" spans="1:7" x14ac:dyDescent="0.25">
      <c r="A1274" s="34" t="s">
        <v>138</v>
      </c>
      <c r="C1274" s="36" t="s">
        <v>417</v>
      </c>
      <c r="D1274" s="36"/>
      <c r="E1274" s="1365" t="s">
        <v>418</v>
      </c>
      <c r="F1274" s="1365"/>
      <c r="G1274" s="35"/>
    </row>
    <row r="1275" spans="1:7" x14ac:dyDescent="0.25">
      <c r="A1275" s="34" t="s">
        <v>139</v>
      </c>
      <c r="C1275" s="36" t="s">
        <v>417</v>
      </c>
      <c r="D1275" s="36"/>
      <c r="E1275" s="48"/>
      <c r="F1275" s="48"/>
      <c r="G1275" s="35"/>
    </row>
    <row r="1276" spans="1:7" x14ac:dyDescent="0.25">
      <c r="A1276" s="34" t="s">
        <v>140</v>
      </c>
      <c r="C1276" s="36" t="s">
        <v>417</v>
      </c>
      <c r="D1276" s="36"/>
      <c r="E1276" s="48" t="s">
        <v>423</v>
      </c>
      <c r="F1276" s="51">
        <f>B1281</f>
        <v>1500</v>
      </c>
      <c r="G1276" s="35"/>
    </row>
    <row r="1277" spans="1:7" x14ac:dyDescent="0.25">
      <c r="A1277" s="34" t="s">
        <v>141</v>
      </c>
      <c r="C1277" s="36" t="s">
        <v>417</v>
      </c>
      <c r="D1277" s="36"/>
      <c r="E1277" s="48" t="s">
        <v>418</v>
      </c>
      <c r="F1277" s="52">
        <f>IF(F1276&gt;F1267,0,30)</f>
        <v>30</v>
      </c>
      <c r="G1277" s="35"/>
    </row>
    <row r="1278" spans="1:7" x14ac:dyDescent="0.25">
      <c r="A1278" s="34" t="s">
        <v>142</v>
      </c>
      <c r="C1278" s="36" t="s">
        <v>417</v>
      </c>
      <c r="D1278" s="36"/>
      <c r="E1278" s="48" t="s">
        <v>419</v>
      </c>
      <c r="F1278" s="53">
        <f>SUM(G1269:G1272)-F1276-F1277</f>
        <v>5670</v>
      </c>
      <c r="G1278" s="35"/>
    </row>
    <row r="1279" spans="1:7" x14ac:dyDescent="0.25">
      <c r="A1279" s="34" t="s">
        <v>144</v>
      </c>
      <c r="C1279" s="36" t="s">
        <v>417</v>
      </c>
      <c r="D1279" s="36"/>
      <c r="G1279" s="35"/>
    </row>
    <row r="1280" spans="1:7" ht="15.75" thickBot="1" x14ac:dyDescent="0.3">
      <c r="A1280" s="34"/>
      <c r="E1280" s="39" t="s">
        <v>420</v>
      </c>
      <c r="G1280" s="35"/>
    </row>
    <row r="1281" spans="1:7" ht="15.75" thickBot="1" x14ac:dyDescent="0.3">
      <c r="A1281" s="40" t="s">
        <v>422</v>
      </c>
      <c r="B1281" s="41">
        <f>SUM(B1268:B1280)</f>
        <v>1500</v>
      </c>
      <c r="C1281" s="42" t="s">
        <v>417</v>
      </c>
      <c r="D1281" s="41"/>
      <c r="E1281" s="42">
        <f>IF(F1276&gt;F1267,"O Projetor atigiu o pior nível de Imagem! É necessário uma troca urgente!",B1281)</f>
        <v>1500</v>
      </c>
      <c r="F1281" s="41"/>
      <c r="G1281" s="43"/>
    </row>
  </sheetData>
  <mergeCells count="137">
    <mergeCell ref="A415:C415"/>
    <mergeCell ref="A396:C396"/>
    <mergeCell ref="A377:C377"/>
    <mergeCell ref="A358:C358"/>
    <mergeCell ref="A339:C339"/>
    <mergeCell ref="A320:C320"/>
    <mergeCell ref="A206:C206"/>
    <mergeCell ref="A187:C187"/>
    <mergeCell ref="A168:C168"/>
    <mergeCell ref="A248:G248"/>
    <mergeCell ref="A267:G267"/>
    <mergeCell ref="A286:G286"/>
    <mergeCell ref="A305:G305"/>
    <mergeCell ref="A324:G324"/>
    <mergeCell ref="E238:F238"/>
    <mergeCell ref="E251:G251"/>
    <mergeCell ref="E257:F257"/>
    <mergeCell ref="E270:G270"/>
    <mergeCell ref="E276:F276"/>
    <mergeCell ref="E289:G289"/>
    <mergeCell ref="E295:F295"/>
    <mergeCell ref="E308:G308"/>
    <mergeCell ref="E314:F314"/>
    <mergeCell ref="A301:C301"/>
    <mergeCell ref="A149:C149"/>
    <mergeCell ref="A130:C130"/>
    <mergeCell ref="A111:C111"/>
    <mergeCell ref="A92:C92"/>
    <mergeCell ref="A73:C73"/>
    <mergeCell ref="A54:C54"/>
    <mergeCell ref="E1249:G1249"/>
    <mergeCell ref="E1255:F1255"/>
    <mergeCell ref="E1268:G1268"/>
    <mergeCell ref="E422:G422"/>
    <mergeCell ref="E428:F428"/>
    <mergeCell ref="E441:G441"/>
    <mergeCell ref="E447:F447"/>
    <mergeCell ref="E460:G460"/>
    <mergeCell ref="E327:G327"/>
    <mergeCell ref="E333:F333"/>
    <mergeCell ref="E346:G346"/>
    <mergeCell ref="E352:F352"/>
    <mergeCell ref="E365:G365"/>
    <mergeCell ref="A438:G438"/>
    <mergeCell ref="A343:G343"/>
    <mergeCell ref="A362:G362"/>
    <mergeCell ref="A381:G381"/>
    <mergeCell ref="A400:G400"/>
    <mergeCell ref="E409:F409"/>
    <mergeCell ref="A457:G457"/>
    <mergeCell ref="A453:C453"/>
    <mergeCell ref="A434:C434"/>
    <mergeCell ref="E1274:F1274"/>
    <mergeCell ref="E542:F542"/>
    <mergeCell ref="E555:G555"/>
    <mergeCell ref="E561:F561"/>
    <mergeCell ref="E574:G574"/>
    <mergeCell ref="E580:F580"/>
    <mergeCell ref="A1265:G1265"/>
    <mergeCell ref="A590:G590"/>
    <mergeCell ref="A1189:G1189"/>
    <mergeCell ref="A1208:G1208"/>
    <mergeCell ref="A1227:G1227"/>
    <mergeCell ref="A1246:G1246"/>
    <mergeCell ref="E593:G593"/>
    <mergeCell ref="E599:F599"/>
    <mergeCell ref="E1192:G1192"/>
    <mergeCell ref="E1198:F1198"/>
    <mergeCell ref="E1211:G1211"/>
    <mergeCell ref="E1217:F1217"/>
    <mergeCell ref="E1230:G1230"/>
    <mergeCell ref="E1236:F1236"/>
    <mergeCell ref="E194:G194"/>
    <mergeCell ref="E200:F200"/>
    <mergeCell ref="E213:G213"/>
    <mergeCell ref="E219:F219"/>
    <mergeCell ref="E232:G232"/>
    <mergeCell ref="E86:F86"/>
    <mergeCell ref="E99:G99"/>
    <mergeCell ref="E105:F105"/>
    <mergeCell ref="E118:G118"/>
    <mergeCell ref="E124:F124"/>
    <mergeCell ref="A210:G210"/>
    <mergeCell ref="A115:G115"/>
    <mergeCell ref="A134:G134"/>
    <mergeCell ref="A153:G153"/>
    <mergeCell ref="A172:G172"/>
    <mergeCell ref="A191:G191"/>
    <mergeCell ref="E137:G137"/>
    <mergeCell ref="E143:F143"/>
    <mergeCell ref="E156:G156"/>
    <mergeCell ref="E162:F162"/>
    <mergeCell ref="E175:G175"/>
    <mergeCell ref="E181:F181"/>
    <mergeCell ref="A229:G229"/>
    <mergeCell ref="A225:C225"/>
    <mergeCell ref="A2:G2"/>
    <mergeCell ref="A21:G21"/>
    <mergeCell ref="A39:G39"/>
    <mergeCell ref="A58:G58"/>
    <mergeCell ref="A77:G77"/>
    <mergeCell ref="A96:G96"/>
    <mergeCell ref="E5:G5"/>
    <mergeCell ref="E11:F11"/>
    <mergeCell ref="E24:G24"/>
    <mergeCell ref="E30:F30"/>
    <mergeCell ref="E42:G42"/>
    <mergeCell ref="E48:F48"/>
    <mergeCell ref="E61:G61"/>
    <mergeCell ref="E67:F67"/>
    <mergeCell ref="E80:G80"/>
    <mergeCell ref="A36:C36"/>
    <mergeCell ref="A17:C17"/>
    <mergeCell ref="A282:C282"/>
    <mergeCell ref="A263:C263"/>
    <mergeCell ref="A244:C244"/>
    <mergeCell ref="A476:G476"/>
    <mergeCell ref="A495:G495"/>
    <mergeCell ref="A514:G514"/>
    <mergeCell ref="A533:G533"/>
    <mergeCell ref="A571:G571"/>
    <mergeCell ref="A552:G552"/>
    <mergeCell ref="E466:F466"/>
    <mergeCell ref="E479:G479"/>
    <mergeCell ref="E485:F485"/>
    <mergeCell ref="E498:G498"/>
    <mergeCell ref="E504:F504"/>
    <mergeCell ref="E517:G517"/>
    <mergeCell ref="E523:F523"/>
    <mergeCell ref="E536:G536"/>
    <mergeCell ref="A491:C491"/>
    <mergeCell ref="A472:C472"/>
    <mergeCell ref="A419:G419"/>
    <mergeCell ref="E371:F371"/>
    <mergeCell ref="E384:G384"/>
    <mergeCell ref="E390:F390"/>
    <mergeCell ref="E403:G403"/>
  </mergeCells>
  <pageMargins left="0.511811024" right="0.511811024" top="0.78740157499999996" bottom="0.78740157499999996" header="0.31496062000000002" footer="0.31496062000000002"/>
  <pageSetup paperSize="9"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F772D"/>
  </sheetPr>
  <dimension ref="A2:T1778"/>
  <sheetViews>
    <sheetView topLeftCell="A841" workbookViewId="0">
      <selection activeCell="A1068" sqref="A1068"/>
    </sheetView>
  </sheetViews>
  <sheetFormatPr defaultColWidth="8.85546875" defaultRowHeight="15" x14ac:dyDescent="0.25"/>
  <cols>
    <col min="1" max="1" width="10.28515625" customWidth="1"/>
    <col min="2" max="2" width="15.42578125" customWidth="1"/>
    <col min="3" max="3" width="16.7109375" customWidth="1"/>
    <col min="4" max="4" width="19.140625" customWidth="1"/>
    <col min="5" max="5" width="20" customWidth="1"/>
    <col min="6" max="6" width="32.85546875" customWidth="1"/>
    <col min="7" max="7" width="50.140625" customWidth="1"/>
    <col min="8" max="8" width="24.85546875" customWidth="1"/>
    <col min="9" max="9" width="17.42578125" customWidth="1"/>
    <col min="10" max="12" width="11.28515625" customWidth="1"/>
  </cols>
  <sheetData>
    <row r="2" spans="1:20" ht="21" customHeight="1" x14ac:dyDescent="0.25">
      <c r="A2" s="189" t="s">
        <v>115</v>
      </c>
      <c r="B2" s="189"/>
      <c r="C2" s="189"/>
      <c r="D2" s="189"/>
      <c r="E2" s="189"/>
      <c r="F2" s="189"/>
      <c r="G2" s="189"/>
      <c r="H2" s="189"/>
      <c r="I2" s="189"/>
      <c r="J2" s="189"/>
      <c r="K2" s="189"/>
      <c r="L2" s="189"/>
      <c r="M2" s="31"/>
      <c r="N2" s="31"/>
      <c r="O2" s="31"/>
      <c r="P2" s="31"/>
      <c r="Q2" s="31"/>
      <c r="R2" s="31"/>
      <c r="S2" s="31"/>
      <c r="T2" s="31"/>
    </row>
    <row r="3" spans="1:20" x14ac:dyDescent="0.25">
      <c r="A3" s="36" t="s">
        <v>182</v>
      </c>
      <c r="B3" s="36" t="s">
        <v>183</v>
      </c>
      <c r="C3" s="36" t="s">
        <v>184</v>
      </c>
      <c r="D3" s="36" t="s">
        <v>185</v>
      </c>
      <c r="E3" s="36" t="s">
        <v>186</v>
      </c>
      <c r="F3" s="36" t="s">
        <v>187</v>
      </c>
      <c r="G3" s="36" t="s">
        <v>188</v>
      </c>
      <c r="H3" s="36" t="s">
        <v>401</v>
      </c>
      <c r="I3" s="36" t="s">
        <v>389</v>
      </c>
      <c r="J3" s="36" t="s">
        <v>121</v>
      </c>
      <c r="K3" s="36" t="s">
        <v>122</v>
      </c>
      <c r="L3" s="36" t="s">
        <v>413</v>
      </c>
    </row>
    <row r="4" spans="1:20" x14ac:dyDescent="0.25">
      <c r="A4" s="36"/>
      <c r="B4" s="129" t="s">
        <v>4</v>
      </c>
      <c r="C4" s="28">
        <v>44285</v>
      </c>
      <c r="D4" s="36" t="s">
        <v>189</v>
      </c>
      <c r="E4" s="36" t="s">
        <v>190</v>
      </c>
      <c r="F4" s="36" t="s">
        <v>191</v>
      </c>
      <c r="G4" s="36" t="s">
        <v>191</v>
      </c>
      <c r="H4" s="36">
        <v>1</v>
      </c>
      <c r="I4" s="36" t="s">
        <v>179</v>
      </c>
      <c r="J4" s="36">
        <f>YEAR(RESER3[[#This Row],[DATA]])</f>
        <v>2021</v>
      </c>
      <c r="K4" s="36">
        <f>MONTH(RESER3[[#This Row],[DATA]])</f>
        <v>3</v>
      </c>
      <c r="L4" s="36">
        <f>DAY(RESER3[[#This Row],[DATA]])</f>
        <v>30</v>
      </c>
      <c r="M4" s="36"/>
    </row>
    <row r="5" spans="1:20" x14ac:dyDescent="0.25">
      <c r="A5" s="36"/>
      <c r="B5" s="129" t="s">
        <v>4</v>
      </c>
      <c r="C5" s="28">
        <v>44285</v>
      </c>
      <c r="D5" s="36" t="s">
        <v>189</v>
      </c>
      <c r="E5" s="36" t="s">
        <v>190</v>
      </c>
      <c r="F5" s="36" t="s">
        <v>192</v>
      </c>
      <c r="G5" s="36" t="s">
        <v>193</v>
      </c>
      <c r="H5" s="36">
        <v>1</v>
      </c>
      <c r="I5" s="36" t="s">
        <v>179</v>
      </c>
      <c r="J5" s="36">
        <f>YEAR(RESER3[[#This Row],[DATA]])</f>
        <v>2021</v>
      </c>
      <c r="K5" s="36">
        <f>MONTH(RESER3[[#This Row],[DATA]])</f>
        <v>3</v>
      </c>
      <c r="L5" s="36">
        <f>DAY(RESER3[[#This Row],[DATA]])</f>
        <v>30</v>
      </c>
      <c r="M5" s="36"/>
    </row>
    <row r="6" spans="1:20" x14ac:dyDescent="0.25">
      <c r="A6" s="36"/>
      <c r="B6" s="129" t="s">
        <v>4</v>
      </c>
      <c r="C6" s="28">
        <v>44285</v>
      </c>
      <c r="D6" s="36" t="s">
        <v>189</v>
      </c>
      <c r="E6" s="36" t="s">
        <v>190</v>
      </c>
      <c r="F6" s="36" t="s">
        <v>194</v>
      </c>
      <c r="G6" s="36" t="s">
        <v>195</v>
      </c>
      <c r="H6" s="36">
        <v>1</v>
      </c>
      <c r="I6" s="36" t="s">
        <v>179</v>
      </c>
      <c r="J6" s="36">
        <f>YEAR(RESER3[[#This Row],[DATA]])</f>
        <v>2021</v>
      </c>
      <c r="K6" s="36">
        <f t="shared" ref="K6:K37" si="0">MONTH(C6)</f>
        <v>3</v>
      </c>
      <c r="L6" s="36">
        <f>DAY(RESER3[[#This Row],[DATA]])</f>
        <v>30</v>
      </c>
      <c r="M6" s="36"/>
    </row>
    <row r="7" spans="1:20" x14ac:dyDescent="0.25">
      <c r="A7" s="36"/>
      <c r="B7" s="129" t="s">
        <v>4</v>
      </c>
      <c r="C7" s="28">
        <v>44287</v>
      </c>
      <c r="D7" s="36" t="s">
        <v>189</v>
      </c>
      <c r="E7" s="36" t="s">
        <v>190</v>
      </c>
      <c r="F7" s="36" t="s">
        <v>196</v>
      </c>
      <c r="G7" s="36" t="s">
        <v>197</v>
      </c>
      <c r="H7" s="36">
        <v>1</v>
      </c>
      <c r="I7" s="36" t="s">
        <v>179</v>
      </c>
      <c r="J7" s="36">
        <f>YEAR(RESER3[[#This Row],[DATA]])</f>
        <v>2021</v>
      </c>
      <c r="K7" s="36">
        <f t="shared" si="0"/>
        <v>4</v>
      </c>
      <c r="L7" s="36">
        <f>DAY(RESER3[[#This Row],[DATA]])</f>
        <v>1</v>
      </c>
      <c r="M7" s="36"/>
    </row>
    <row r="8" spans="1:20" x14ac:dyDescent="0.25">
      <c r="A8" s="36"/>
      <c r="B8" s="129" t="s">
        <v>4</v>
      </c>
      <c r="C8" s="28">
        <v>44293</v>
      </c>
      <c r="D8" s="36" t="s">
        <v>189</v>
      </c>
      <c r="E8" s="36" t="s">
        <v>190</v>
      </c>
      <c r="F8" s="36" t="s">
        <v>192</v>
      </c>
      <c r="G8" s="36" t="s">
        <v>193</v>
      </c>
      <c r="H8" s="36">
        <v>1</v>
      </c>
      <c r="I8" s="36" t="s">
        <v>179</v>
      </c>
      <c r="J8" s="36">
        <f>YEAR(RESER3[[#This Row],[DATA]])</f>
        <v>2021</v>
      </c>
      <c r="K8" s="36">
        <f t="shared" si="0"/>
        <v>4</v>
      </c>
      <c r="L8" s="36">
        <f>DAY(RESER3[[#This Row],[DATA]])</f>
        <v>7</v>
      </c>
      <c r="M8" s="36"/>
    </row>
    <row r="9" spans="1:20" x14ac:dyDescent="0.25">
      <c r="A9" s="36"/>
      <c r="B9" s="129" t="s">
        <v>4</v>
      </c>
      <c r="C9" s="28">
        <v>44293</v>
      </c>
      <c r="D9" s="36" t="s">
        <v>189</v>
      </c>
      <c r="E9" s="36" t="s">
        <v>190</v>
      </c>
      <c r="F9" s="36" t="s">
        <v>196</v>
      </c>
      <c r="G9" s="36" t="s">
        <v>197</v>
      </c>
      <c r="H9" s="36">
        <v>1</v>
      </c>
      <c r="I9" s="36" t="s">
        <v>179</v>
      </c>
      <c r="J9" s="36">
        <f>YEAR(RESER3[[#This Row],[DATA]])</f>
        <v>2021</v>
      </c>
      <c r="K9" s="36">
        <f t="shared" si="0"/>
        <v>4</v>
      </c>
      <c r="L9" s="36">
        <f>DAY(RESER3[[#This Row],[DATA]])</f>
        <v>7</v>
      </c>
      <c r="M9" s="36"/>
    </row>
    <row r="10" spans="1:20" x14ac:dyDescent="0.25">
      <c r="A10" s="36"/>
      <c r="B10" s="129" t="s">
        <v>4</v>
      </c>
      <c r="C10" s="28">
        <v>44298</v>
      </c>
      <c r="D10" s="36" t="s">
        <v>189</v>
      </c>
      <c r="E10" s="36" t="s">
        <v>190</v>
      </c>
      <c r="F10" s="36" t="s">
        <v>196</v>
      </c>
      <c r="G10" s="36" t="s">
        <v>198</v>
      </c>
      <c r="H10" s="36">
        <v>1</v>
      </c>
      <c r="I10" s="36" t="s">
        <v>179</v>
      </c>
      <c r="J10" s="36">
        <f>YEAR(RESER3[[#This Row],[DATA]])</f>
        <v>2021</v>
      </c>
      <c r="K10" s="36">
        <f t="shared" si="0"/>
        <v>4</v>
      </c>
      <c r="L10" s="36">
        <f>DAY(RESER3[[#This Row],[DATA]])</f>
        <v>12</v>
      </c>
      <c r="M10" s="36"/>
    </row>
    <row r="11" spans="1:20" x14ac:dyDescent="0.25">
      <c r="A11" s="36"/>
      <c r="B11" s="129" t="s">
        <v>4</v>
      </c>
      <c r="C11" s="28">
        <v>44299</v>
      </c>
      <c r="D11" s="36" t="s">
        <v>189</v>
      </c>
      <c r="E11" s="36" t="s">
        <v>190</v>
      </c>
      <c r="F11" s="36" t="s">
        <v>196</v>
      </c>
      <c r="G11" s="36" t="s">
        <v>199</v>
      </c>
      <c r="H11" s="36">
        <v>1</v>
      </c>
      <c r="I11" s="36" t="s">
        <v>179</v>
      </c>
      <c r="J11" s="36">
        <f>YEAR(RESER3[[#This Row],[DATA]])</f>
        <v>2021</v>
      </c>
      <c r="K11" s="36">
        <f t="shared" si="0"/>
        <v>4</v>
      </c>
      <c r="L11" s="36">
        <f>DAY(RESER3[[#This Row],[DATA]])</f>
        <v>13</v>
      </c>
      <c r="M11" s="36"/>
    </row>
    <row r="12" spans="1:20" x14ac:dyDescent="0.25">
      <c r="A12" s="36"/>
      <c r="B12" s="129" t="s">
        <v>4</v>
      </c>
      <c r="C12" s="28">
        <v>44299</v>
      </c>
      <c r="D12" s="36" t="s">
        <v>189</v>
      </c>
      <c r="E12" s="36" t="s">
        <v>190</v>
      </c>
      <c r="F12" s="36" t="s">
        <v>196</v>
      </c>
      <c r="G12" s="36" t="s">
        <v>200</v>
      </c>
      <c r="H12" s="36">
        <v>1</v>
      </c>
      <c r="I12" s="36" t="s">
        <v>179</v>
      </c>
      <c r="J12" s="36">
        <f>YEAR(RESER3[[#This Row],[DATA]])</f>
        <v>2021</v>
      </c>
      <c r="K12" s="36">
        <f t="shared" si="0"/>
        <v>4</v>
      </c>
      <c r="L12" s="36">
        <f>DAY(RESER3[[#This Row],[DATA]])</f>
        <v>13</v>
      </c>
      <c r="M12" s="36"/>
    </row>
    <row r="13" spans="1:20" x14ac:dyDescent="0.25">
      <c r="A13" s="36"/>
      <c r="B13" s="129" t="s">
        <v>4</v>
      </c>
      <c r="C13" s="28">
        <v>44305</v>
      </c>
      <c r="D13" s="36" t="s">
        <v>201</v>
      </c>
      <c r="E13" s="36" t="s">
        <v>190</v>
      </c>
      <c r="F13" s="36" t="s">
        <v>202</v>
      </c>
      <c r="G13" s="36" t="s">
        <v>203</v>
      </c>
      <c r="H13" s="36">
        <v>1</v>
      </c>
      <c r="I13" s="36" t="s">
        <v>179</v>
      </c>
      <c r="J13" s="36">
        <f>YEAR(RESER3[[#This Row],[DATA]])</f>
        <v>2021</v>
      </c>
      <c r="K13" s="36">
        <f t="shared" si="0"/>
        <v>4</v>
      </c>
      <c r="L13" s="36">
        <f>DAY(RESER3[[#This Row],[DATA]])</f>
        <v>19</v>
      </c>
      <c r="M13" s="36"/>
    </row>
    <row r="14" spans="1:20" x14ac:dyDescent="0.25">
      <c r="A14" s="36"/>
      <c r="B14" s="129" t="s">
        <v>4</v>
      </c>
      <c r="C14" s="28">
        <v>44309</v>
      </c>
      <c r="D14" s="36" t="s">
        <v>204</v>
      </c>
      <c r="E14" s="36" t="s">
        <v>190</v>
      </c>
      <c r="F14" s="36" t="s">
        <v>192</v>
      </c>
      <c r="G14" s="36" t="s">
        <v>205</v>
      </c>
      <c r="H14" s="36">
        <v>1</v>
      </c>
      <c r="I14" s="36" t="s">
        <v>179</v>
      </c>
      <c r="J14" s="36">
        <f>YEAR(RESER3[[#This Row],[DATA]])</f>
        <v>2021</v>
      </c>
      <c r="K14" s="36">
        <f t="shared" si="0"/>
        <v>4</v>
      </c>
      <c r="L14" s="36">
        <f>DAY(RESER3[[#This Row],[DATA]])</f>
        <v>23</v>
      </c>
      <c r="M14" s="36"/>
    </row>
    <row r="15" spans="1:20" x14ac:dyDescent="0.25">
      <c r="A15" s="36"/>
      <c r="B15" s="129" t="s">
        <v>4</v>
      </c>
      <c r="C15" s="28">
        <v>44316</v>
      </c>
      <c r="D15" s="36" t="s">
        <v>206</v>
      </c>
      <c r="E15" s="36" t="s">
        <v>190</v>
      </c>
      <c r="F15" s="36" t="s">
        <v>207</v>
      </c>
      <c r="G15" s="36" t="s">
        <v>208</v>
      </c>
      <c r="H15" s="36">
        <v>1</v>
      </c>
      <c r="I15" s="36" t="s">
        <v>179</v>
      </c>
      <c r="J15" s="36">
        <f>YEAR(RESER3[[#This Row],[DATA]])</f>
        <v>2021</v>
      </c>
      <c r="K15" s="36">
        <f t="shared" si="0"/>
        <v>4</v>
      </c>
      <c r="L15" s="36">
        <f>DAY(RESER3[[#This Row],[DATA]])</f>
        <v>30</v>
      </c>
      <c r="M15" s="36"/>
    </row>
    <row r="16" spans="1:20" x14ac:dyDescent="0.25">
      <c r="A16" s="36"/>
      <c r="B16" s="129" t="s">
        <v>4</v>
      </c>
      <c r="C16" s="28">
        <v>44340</v>
      </c>
      <c r="D16" s="36" t="s">
        <v>209</v>
      </c>
      <c r="E16" s="36" t="s">
        <v>190</v>
      </c>
      <c r="F16" s="36" t="s">
        <v>207</v>
      </c>
      <c r="G16" s="36" t="s">
        <v>210</v>
      </c>
      <c r="H16" s="36">
        <v>1</v>
      </c>
      <c r="I16" s="36" t="s">
        <v>179</v>
      </c>
      <c r="J16" s="36">
        <f>YEAR(RESER3[[#This Row],[DATA]])</f>
        <v>2021</v>
      </c>
      <c r="K16" s="36">
        <f t="shared" si="0"/>
        <v>5</v>
      </c>
      <c r="L16" s="36">
        <f>DAY(RESER3[[#This Row],[DATA]])</f>
        <v>24</v>
      </c>
      <c r="M16" s="36"/>
    </row>
    <row r="17" spans="1:13" x14ac:dyDescent="0.25">
      <c r="A17" s="36"/>
      <c r="B17" s="129" t="s">
        <v>4</v>
      </c>
      <c r="C17" s="28">
        <v>44355</v>
      </c>
      <c r="D17" s="36" t="s">
        <v>211</v>
      </c>
      <c r="E17" s="36" t="s">
        <v>190</v>
      </c>
      <c r="F17" s="36" t="s">
        <v>207</v>
      </c>
      <c r="G17" s="36" t="s">
        <v>212</v>
      </c>
      <c r="H17" s="36">
        <v>1</v>
      </c>
      <c r="I17" s="36" t="s">
        <v>179</v>
      </c>
      <c r="J17" s="36">
        <f>YEAR(RESER3[[#This Row],[DATA]])</f>
        <v>2021</v>
      </c>
      <c r="K17" s="36">
        <f t="shared" si="0"/>
        <v>6</v>
      </c>
      <c r="L17" s="36">
        <f>DAY(RESER3[[#This Row],[DATA]])</f>
        <v>8</v>
      </c>
      <c r="M17" s="36"/>
    </row>
    <row r="18" spans="1:13" x14ac:dyDescent="0.25">
      <c r="A18" s="36"/>
      <c r="B18" s="129" t="s">
        <v>4</v>
      </c>
      <c r="C18" s="28">
        <v>44355</v>
      </c>
      <c r="D18" s="36" t="s">
        <v>213</v>
      </c>
      <c r="E18" s="36" t="s">
        <v>190</v>
      </c>
      <c r="F18" s="36" t="s">
        <v>192</v>
      </c>
      <c r="G18" s="36" t="s">
        <v>214</v>
      </c>
      <c r="H18" s="36">
        <v>1</v>
      </c>
      <c r="I18" s="36" t="s">
        <v>179</v>
      </c>
      <c r="J18" s="36">
        <f>YEAR(RESER3[[#This Row],[DATA]])</f>
        <v>2021</v>
      </c>
      <c r="K18" s="36">
        <f t="shared" si="0"/>
        <v>6</v>
      </c>
      <c r="L18" s="36">
        <f>DAY(RESER3[[#This Row],[DATA]])</f>
        <v>8</v>
      </c>
      <c r="M18" s="36"/>
    </row>
    <row r="19" spans="1:13" x14ac:dyDescent="0.25">
      <c r="A19" s="36"/>
      <c r="B19" s="129" t="s">
        <v>4</v>
      </c>
      <c r="C19" s="28">
        <v>44361</v>
      </c>
      <c r="D19" s="36" t="s">
        <v>215</v>
      </c>
      <c r="E19" s="36" t="s">
        <v>190</v>
      </c>
      <c r="F19" s="36" t="s">
        <v>207</v>
      </c>
      <c r="G19" s="36" t="s">
        <v>216</v>
      </c>
      <c r="H19" s="36">
        <v>1</v>
      </c>
      <c r="I19" s="36" t="s">
        <v>179</v>
      </c>
      <c r="J19" s="36">
        <f>YEAR(RESER3[[#This Row],[DATA]])</f>
        <v>2021</v>
      </c>
      <c r="K19" s="36">
        <f t="shared" si="0"/>
        <v>6</v>
      </c>
      <c r="L19" s="36">
        <f>DAY(RESER3[[#This Row],[DATA]])</f>
        <v>14</v>
      </c>
      <c r="M19" s="36"/>
    </row>
    <row r="20" spans="1:13" x14ac:dyDescent="0.25">
      <c r="A20" s="36"/>
      <c r="B20" s="129" t="s">
        <v>4</v>
      </c>
      <c r="C20" s="28">
        <v>44362</v>
      </c>
      <c r="D20" s="36" t="s">
        <v>213</v>
      </c>
      <c r="E20" s="36" t="s">
        <v>190</v>
      </c>
      <c r="F20" s="36" t="s">
        <v>207</v>
      </c>
      <c r="G20" s="36" t="s">
        <v>216</v>
      </c>
      <c r="H20" s="36">
        <v>1</v>
      </c>
      <c r="I20" s="36" t="s">
        <v>179</v>
      </c>
      <c r="J20" s="36">
        <f>YEAR(RESER3[[#This Row],[DATA]])</f>
        <v>2021</v>
      </c>
      <c r="K20" s="36">
        <f t="shared" si="0"/>
        <v>6</v>
      </c>
      <c r="L20" s="36">
        <f>DAY(RESER3[[#This Row],[DATA]])</f>
        <v>15</v>
      </c>
      <c r="M20" s="36"/>
    </row>
    <row r="21" spans="1:13" x14ac:dyDescent="0.25">
      <c r="A21" s="36"/>
      <c r="B21" s="129" t="s">
        <v>4</v>
      </c>
      <c r="C21" s="28">
        <v>44362</v>
      </c>
      <c r="D21" s="36" t="s">
        <v>217</v>
      </c>
      <c r="E21" s="36" t="s">
        <v>190</v>
      </c>
      <c r="F21" s="36" t="s">
        <v>207</v>
      </c>
      <c r="G21" s="36" t="s">
        <v>218</v>
      </c>
      <c r="H21" s="36">
        <v>1</v>
      </c>
      <c r="I21" s="36" t="s">
        <v>179</v>
      </c>
      <c r="J21" s="36">
        <f>YEAR(RESER3[[#This Row],[DATA]])</f>
        <v>2021</v>
      </c>
      <c r="K21" s="36">
        <f t="shared" si="0"/>
        <v>6</v>
      </c>
      <c r="L21" s="36">
        <f>DAY(RESER3[[#This Row],[DATA]])</f>
        <v>15</v>
      </c>
      <c r="M21" s="36"/>
    </row>
    <row r="22" spans="1:13" x14ac:dyDescent="0.25">
      <c r="A22" s="36"/>
      <c r="B22" s="129" t="s">
        <v>4</v>
      </c>
      <c r="C22" s="28">
        <v>44362</v>
      </c>
      <c r="D22" s="36" t="s">
        <v>213</v>
      </c>
      <c r="E22" s="36" t="s">
        <v>190</v>
      </c>
      <c r="F22" s="36" t="s">
        <v>207</v>
      </c>
      <c r="G22" s="36" t="s">
        <v>218</v>
      </c>
      <c r="H22" s="36">
        <v>1</v>
      </c>
      <c r="I22" s="36" t="s">
        <v>179</v>
      </c>
      <c r="J22" s="36">
        <f>YEAR(RESER3[[#This Row],[DATA]])</f>
        <v>2021</v>
      </c>
      <c r="K22" s="36">
        <f t="shared" si="0"/>
        <v>6</v>
      </c>
      <c r="L22" s="36">
        <f>DAY(RESER3[[#This Row],[DATA]])</f>
        <v>15</v>
      </c>
      <c r="M22" s="36"/>
    </row>
    <row r="23" spans="1:13" x14ac:dyDescent="0.25">
      <c r="A23" s="36"/>
      <c r="B23" s="129" t="s">
        <v>4</v>
      </c>
      <c r="C23" s="28">
        <v>44364</v>
      </c>
      <c r="D23" s="36" t="s">
        <v>209</v>
      </c>
      <c r="E23" s="36" t="s">
        <v>190</v>
      </c>
      <c r="F23" s="36" t="s">
        <v>207</v>
      </c>
      <c r="G23" s="36" t="s">
        <v>219</v>
      </c>
      <c r="H23" s="36">
        <v>1</v>
      </c>
      <c r="I23" s="36" t="s">
        <v>179</v>
      </c>
      <c r="J23" s="36">
        <f>YEAR(RESER3[[#This Row],[DATA]])</f>
        <v>2021</v>
      </c>
      <c r="K23" s="36">
        <f t="shared" si="0"/>
        <v>6</v>
      </c>
      <c r="L23" s="36">
        <f>DAY(RESER3[[#This Row],[DATA]])</f>
        <v>17</v>
      </c>
      <c r="M23" s="36"/>
    </row>
    <row r="24" spans="1:13" x14ac:dyDescent="0.25">
      <c r="A24" s="36"/>
      <c r="B24" s="129" t="s">
        <v>6</v>
      </c>
      <c r="C24" s="28">
        <v>44281</v>
      </c>
      <c r="D24" s="36" t="s">
        <v>189</v>
      </c>
      <c r="E24" s="36" t="s">
        <v>190</v>
      </c>
      <c r="F24" s="36" t="s">
        <v>191</v>
      </c>
      <c r="G24" s="36" t="s">
        <v>191</v>
      </c>
      <c r="H24" s="36">
        <v>1</v>
      </c>
      <c r="I24" s="36" t="s">
        <v>179</v>
      </c>
      <c r="J24" s="36">
        <f>YEAR(RESER3[[#This Row],[DATA]])</f>
        <v>2021</v>
      </c>
      <c r="K24" s="36">
        <f t="shared" si="0"/>
        <v>3</v>
      </c>
      <c r="L24" s="36">
        <f>DAY(RESER3[[#This Row],[DATA]])</f>
        <v>26</v>
      </c>
      <c r="M24" s="36"/>
    </row>
    <row r="25" spans="1:13" x14ac:dyDescent="0.25">
      <c r="A25" s="36"/>
      <c r="B25" s="129" t="s">
        <v>6</v>
      </c>
      <c r="C25" s="28">
        <v>44281</v>
      </c>
      <c r="D25" s="36" t="s">
        <v>189</v>
      </c>
      <c r="E25" s="36" t="s">
        <v>190</v>
      </c>
      <c r="F25" s="36" t="s">
        <v>192</v>
      </c>
      <c r="G25" s="36" t="s">
        <v>193</v>
      </c>
      <c r="H25" s="36">
        <v>1</v>
      </c>
      <c r="I25" s="36" t="s">
        <v>179</v>
      </c>
      <c r="J25" s="36">
        <f>YEAR(RESER3[[#This Row],[DATA]])</f>
        <v>2021</v>
      </c>
      <c r="K25" s="36">
        <f t="shared" si="0"/>
        <v>3</v>
      </c>
      <c r="L25" s="36">
        <f>DAY(RESER3[[#This Row],[DATA]])</f>
        <v>26</v>
      </c>
      <c r="M25" s="36"/>
    </row>
    <row r="26" spans="1:13" x14ac:dyDescent="0.25">
      <c r="A26" s="36"/>
      <c r="B26" s="129" t="s">
        <v>6</v>
      </c>
      <c r="C26" s="28">
        <v>44286</v>
      </c>
      <c r="D26" s="36" t="s">
        <v>189</v>
      </c>
      <c r="E26" s="36" t="s">
        <v>190</v>
      </c>
      <c r="F26" s="36" t="s">
        <v>192</v>
      </c>
      <c r="G26" s="36" t="s">
        <v>193</v>
      </c>
      <c r="H26" s="36">
        <v>1</v>
      </c>
      <c r="I26" s="36" t="s">
        <v>179</v>
      </c>
      <c r="J26" s="36">
        <f>YEAR(RESER3[[#This Row],[DATA]])</f>
        <v>2021</v>
      </c>
      <c r="K26" s="36">
        <f t="shared" si="0"/>
        <v>3</v>
      </c>
      <c r="L26" s="36">
        <f>DAY(RESER3[[#This Row],[DATA]])</f>
        <v>31</v>
      </c>
      <c r="M26" s="36"/>
    </row>
    <row r="27" spans="1:13" x14ac:dyDescent="0.25">
      <c r="A27" s="36"/>
      <c r="B27" s="129" t="s">
        <v>6</v>
      </c>
      <c r="C27" s="28">
        <v>44287</v>
      </c>
      <c r="D27" s="36" t="s">
        <v>189</v>
      </c>
      <c r="E27" s="36" t="s">
        <v>190</v>
      </c>
      <c r="F27" s="36" t="s">
        <v>192</v>
      </c>
      <c r="G27" s="36" t="s">
        <v>193</v>
      </c>
      <c r="H27" s="36">
        <v>1</v>
      </c>
      <c r="I27" s="36" t="s">
        <v>179</v>
      </c>
      <c r="J27" s="36">
        <f>YEAR(RESER3[[#This Row],[DATA]])</f>
        <v>2021</v>
      </c>
      <c r="K27" s="36">
        <f t="shared" si="0"/>
        <v>4</v>
      </c>
      <c r="L27" s="36">
        <f>DAY(RESER3[[#This Row],[DATA]])</f>
        <v>1</v>
      </c>
      <c r="M27" s="36"/>
    </row>
    <row r="28" spans="1:13" x14ac:dyDescent="0.25">
      <c r="A28" s="36"/>
      <c r="B28" s="129" t="s">
        <v>6</v>
      </c>
      <c r="C28" s="28">
        <v>44287</v>
      </c>
      <c r="D28" s="36" t="s">
        <v>189</v>
      </c>
      <c r="E28" s="36" t="s">
        <v>190</v>
      </c>
      <c r="F28" s="36" t="s">
        <v>191</v>
      </c>
      <c r="G28" s="36" t="s">
        <v>191</v>
      </c>
      <c r="H28" s="36">
        <v>1</v>
      </c>
      <c r="I28" s="36" t="s">
        <v>179</v>
      </c>
      <c r="J28" s="36">
        <f>YEAR(RESER3[[#This Row],[DATA]])</f>
        <v>2021</v>
      </c>
      <c r="K28" s="36">
        <f t="shared" si="0"/>
        <v>4</v>
      </c>
      <c r="L28" s="36">
        <f>DAY(RESER3[[#This Row],[DATA]])</f>
        <v>1</v>
      </c>
      <c r="M28" s="36"/>
    </row>
    <row r="29" spans="1:13" x14ac:dyDescent="0.25">
      <c r="A29" s="36"/>
      <c r="B29" s="129" t="s">
        <v>6</v>
      </c>
      <c r="C29" s="28">
        <v>44295</v>
      </c>
      <c r="D29" s="36" t="s">
        <v>189</v>
      </c>
      <c r="E29" s="36" t="s">
        <v>190</v>
      </c>
      <c r="F29" s="36" t="s">
        <v>192</v>
      </c>
      <c r="G29" s="36" t="s">
        <v>214</v>
      </c>
      <c r="H29" s="36">
        <v>1</v>
      </c>
      <c r="I29" s="36" t="s">
        <v>179</v>
      </c>
      <c r="J29" s="36">
        <f>YEAR(RESER3[[#This Row],[DATA]])</f>
        <v>2021</v>
      </c>
      <c r="K29" s="36">
        <f t="shared" si="0"/>
        <v>4</v>
      </c>
      <c r="L29" s="36">
        <f>DAY(RESER3[[#This Row],[DATA]])</f>
        <v>9</v>
      </c>
      <c r="M29" s="36"/>
    </row>
    <row r="30" spans="1:13" x14ac:dyDescent="0.25">
      <c r="A30" s="36"/>
      <c r="B30" s="129" t="s">
        <v>6</v>
      </c>
      <c r="C30" s="28">
        <v>44295</v>
      </c>
      <c r="D30" s="36" t="s">
        <v>189</v>
      </c>
      <c r="E30" s="36" t="s">
        <v>190</v>
      </c>
      <c r="F30" s="36" t="s">
        <v>192</v>
      </c>
      <c r="G30" s="36" t="s">
        <v>220</v>
      </c>
      <c r="H30" s="36">
        <v>1</v>
      </c>
      <c r="I30" s="36" t="s">
        <v>179</v>
      </c>
      <c r="J30" s="36">
        <f>YEAR(RESER3[[#This Row],[DATA]])</f>
        <v>2021</v>
      </c>
      <c r="K30" s="36">
        <f t="shared" si="0"/>
        <v>4</v>
      </c>
      <c r="L30" s="36">
        <f>DAY(RESER3[[#This Row],[DATA]])</f>
        <v>9</v>
      </c>
      <c r="M30" s="36"/>
    </row>
    <row r="31" spans="1:13" x14ac:dyDescent="0.25">
      <c r="A31" s="36"/>
      <c r="B31" s="129" t="s">
        <v>6</v>
      </c>
      <c r="C31" s="28">
        <v>44298</v>
      </c>
      <c r="D31" s="36" t="s">
        <v>189</v>
      </c>
      <c r="E31" s="36" t="s">
        <v>190</v>
      </c>
      <c r="F31" s="36" t="s">
        <v>207</v>
      </c>
      <c r="G31" s="36" t="s">
        <v>221</v>
      </c>
      <c r="H31" s="36">
        <v>1</v>
      </c>
      <c r="I31" s="36" t="s">
        <v>179</v>
      </c>
      <c r="J31" s="36">
        <f>YEAR(RESER3[[#This Row],[DATA]])</f>
        <v>2021</v>
      </c>
      <c r="K31" s="36">
        <f t="shared" si="0"/>
        <v>4</v>
      </c>
      <c r="L31" s="36">
        <f>DAY(RESER3[[#This Row],[DATA]])</f>
        <v>12</v>
      </c>
      <c r="M31" s="36"/>
    </row>
    <row r="32" spans="1:13" x14ac:dyDescent="0.25">
      <c r="A32" s="36"/>
      <c r="B32" s="129" t="s">
        <v>6</v>
      </c>
      <c r="C32" s="28">
        <v>44299</v>
      </c>
      <c r="D32" s="36" t="s">
        <v>189</v>
      </c>
      <c r="E32" s="36" t="s">
        <v>222</v>
      </c>
      <c r="F32" s="36" t="s">
        <v>192</v>
      </c>
      <c r="G32" s="36" t="s">
        <v>193</v>
      </c>
      <c r="H32" s="36">
        <v>1</v>
      </c>
      <c r="I32" s="36" t="s">
        <v>179</v>
      </c>
      <c r="J32" s="36">
        <f>YEAR(RESER3[[#This Row],[DATA]])</f>
        <v>2021</v>
      </c>
      <c r="K32" s="36">
        <f t="shared" si="0"/>
        <v>4</v>
      </c>
      <c r="L32" s="36">
        <f>DAY(RESER3[[#This Row],[DATA]])</f>
        <v>13</v>
      </c>
      <c r="M32" s="36"/>
    </row>
    <row r="33" spans="1:13" x14ac:dyDescent="0.25">
      <c r="A33" s="36"/>
      <c r="B33" s="129" t="s">
        <v>6</v>
      </c>
      <c r="C33" s="28">
        <v>44305</v>
      </c>
      <c r="D33" s="36" t="s">
        <v>223</v>
      </c>
      <c r="E33" s="36" t="s">
        <v>190</v>
      </c>
      <c r="F33" s="36" t="s">
        <v>192</v>
      </c>
      <c r="G33" s="36" t="s">
        <v>193</v>
      </c>
      <c r="H33" s="36">
        <v>1</v>
      </c>
      <c r="I33" s="36" t="s">
        <v>179</v>
      </c>
      <c r="J33" s="36">
        <f>YEAR(RESER3[[#This Row],[DATA]])</f>
        <v>2021</v>
      </c>
      <c r="K33" s="36">
        <f t="shared" si="0"/>
        <v>4</v>
      </c>
      <c r="L33" s="36">
        <f>DAY(RESER3[[#This Row],[DATA]])</f>
        <v>19</v>
      </c>
      <c r="M33" s="36"/>
    </row>
    <row r="34" spans="1:13" x14ac:dyDescent="0.25">
      <c r="A34" s="36"/>
      <c r="B34" s="129" t="s">
        <v>6</v>
      </c>
      <c r="C34" s="28">
        <v>44320</v>
      </c>
      <c r="D34" s="36" t="s">
        <v>189</v>
      </c>
      <c r="E34" s="36" t="s">
        <v>190</v>
      </c>
      <c r="F34" s="36" t="s">
        <v>191</v>
      </c>
      <c r="G34" s="36" t="s">
        <v>191</v>
      </c>
      <c r="H34" s="36">
        <v>1</v>
      </c>
      <c r="I34" s="36" t="s">
        <v>179</v>
      </c>
      <c r="J34" s="36">
        <f>YEAR(RESER3[[#This Row],[DATA]])</f>
        <v>2021</v>
      </c>
      <c r="K34" s="36">
        <f t="shared" si="0"/>
        <v>5</v>
      </c>
      <c r="L34" s="36">
        <f>DAY(RESER3[[#This Row],[DATA]])</f>
        <v>4</v>
      </c>
      <c r="M34" s="36"/>
    </row>
    <row r="35" spans="1:13" x14ac:dyDescent="0.25">
      <c r="A35" s="36"/>
      <c r="B35" s="129" t="s">
        <v>6</v>
      </c>
      <c r="C35" s="28">
        <v>44321</v>
      </c>
      <c r="D35" s="36" t="s">
        <v>224</v>
      </c>
      <c r="E35" s="36" t="s">
        <v>190</v>
      </c>
      <c r="F35" s="36" t="s">
        <v>192</v>
      </c>
      <c r="G35" s="36" t="s">
        <v>193</v>
      </c>
      <c r="H35" s="36">
        <v>1</v>
      </c>
      <c r="I35" s="36" t="s">
        <v>179</v>
      </c>
      <c r="J35" s="36">
        <f>YEAR(RESER3[[#This Row],[DATA]])</f>
        <v>2021</v>
      </c>
      <c r="K35" s="36">
        <f t="shared" si="0"/>
        <v>5</v>
      </c>
      <c r="L35" s="36">
        <f>DAY(RESER3[[#This Row],[DATA]])</f>
        <v>5</v>
      </c>
      <c r="M35" s="36"/>
    </row>
    <row r="36" spans="1:13" x14ac:dyDescent="0.25">
      <c r="A36" s="36"/>
      <c r="B36" s="129" t="s">
        <v>6</v>
      </c>
      <c r="C36" s="28">
        <v>44347</v>
      </c>
      <c r="D36" s="36" t="s">
        <v>223</v>
      </c>
      <c r="E36" s="36" t="s">
        <v>222</v>
      </c>
      <c r="F36" s="36" t="s">
        <v>192</v>
      </c>
      <c r="G36" s="36" t="s">
        <v>193</v>
      </c>
      <c r="H36" s="36">
        <v>1</v>
      </c>
      <c r="I36" s="36" t="s">
        <v>179</v>
      </c>
      <c r="J36" s="36">
        <f>YEAR(RESER3[[#This Row],[DATA]])</f>
        <v>2021</v>
      </c>
      <c r="K36" s="36">
        <f t="shared" si="0"/>
        <v>5</v>
      </c>
      <c r="L36" s="36">
        <f>DAY(RESER3[[#This Row],[DATA]])</f>
        <v>31</v>
      </c>
      <c r="M36" s="36"/>
    </row>
    <row r="37" spans="1:13" x14ac:dyDescent="0.25">
      <c r="A37" s="36"/>
      <c r="B37" s="129" t="s">
        <v>6</v>
      </c>
      <c r="C37" s="28">
        <v>44349</v>
      </c>
      <c r="D37" s="36" t="s">
        <v>209</v>
      </c>
      <c r="E37" s="36" t="s">
        <v>190</v>
      </c>
      <c r="F37" s="36" t="s">
        <v>192</v>
      </c>
      <c r="G37" s="36" t="s">
        <v>193</v>
      </c>
      <c r="H37" s="36">
        <v>1</v>
      </c>
      <c r="I37" s="36" t="s">
        <v>179</v>
      </c>
      <c r="J37" s="36">
        <f>YEAR(RESER3[[#This Row],[DATA]])</f>
        <v>2021</v>
      </c>
      <c r="K37" s="36">
        <f t="shared" si="0"/>
        <v>6</v>
      </c>
      <c r="L37" s="36">
        <f>DAY(RESER3[[#This Row],[DATA]])</f>
        <v>2</v>
      </c>
      <c r="M37" s="36"/>
    </row>
    <row r="38" spans="1:13" x14ac:dyDescent="0.25">
      <c r="A38" s="36"/>
      <c r="B38" s="129" t="s">
        <v>6</v>
      </c>
      <c r="C38" s="28">
        <v>44354</v>
      </c>
      <c r="D38" s="36" t="s">
        <v>223</v>
      </c>
      <c r="E38" s="36" t="s">
        <v>190</v>
      </c>
      <c r="F38" s="36" t="s">
        <v>191</v>
      </c>
      <c r="G38" s="36" t="s">
        <v>191</v>
      </c>
      <c r="H38" s="36">
        <v>1</v>
      </c>
      <c r="I38" s="36" t="s">
        <v>179</v>
      </c>
      <c r="J38" s="36">
        <f>YEAR(RESER3[[#This Row],[DATA]])</f>
        <v>2021</v>
      </c>
      <c r="K38" s="36">
        <f t="shared" ref="K38:K69" si="1">MONTH(C38)</f>
        <v>6</v>
      </c>
      <c r="L38" s="36">
        <f>DAY(RESER3[[#This Row],[DATA]])</f>
        <v>7</v>
      </c>
      <c r="M38" s="36"/>
    </row>
    <row r="39" spans="1:13" x14ac:dyDescent="0.25">
      <c r="A39" s="36"/>
      <c r="B39" s="129" t="s">
        <v>6</v>
      </c>
      <c r="C39" s="28">
        <v>44354</v>
      </c>
      <c r="D39" s="36" t="s">
        <v>209</v>
      </c>
      <c r="E39" s="36" t="s">
        <v>190</v>
      </c>
      <c r="F39" s="36" t="s">
        <v>192</v>
      </c>
      <c r="G39" s="36" t="s">
        <v>193</v>
      </c>
      <c r="H39" s="36">
        <v>1</v>
      </c>
      <c r="I39" s="36" t="s">
        <v>179</v>
      </c>
      <c r="J39" s="36">
        <f>YEAR(RESER3[[#This Row],[DATA]])</f>
        <v>2021</v>
      </c>
      <c r="K39" s="36">
        <f t="shared" si="1"/>
        <v>6</v>
      </c>
      <c r="L39" s="36">
        <f>DAY(RESER3[[#This Row],[DATA]])</f>
        <v>7</v>
      </c>
      <c r="M39" s="36"/>
    </row>
    <row r="40" spans="1:13" x14ac:dyDescent="0.25">
      <c r="A40" s="36"/>
      <c r="B40" s="129" t="s">
        <v>6</v>
      </c>
      <c r="C40" s="28">
        <v>44357</v>
      </c>
      <c r="D40" s="36" t="s">
        <v>224</v>
      </c>
      <c r="E40" s="36" t="s">
        <v>190</v>
      </c>
      <c r="F40" s="36" t="s">
        <v>192</v>
      </c>
      <c r="G40" s="36" t="s">
        <v>225</v>
      </c>
      <c r="H40" s="36">
        <v>1</v>
      </c>
      <c r="I40" s="36" t="s">
        <v>179</v>
      </c>
      <c r="J40" s="36">
        <f>YEAR(RESER3[[#This Row],[DATA]])</f>
        <v>2021</v>
      </c>
      <c r="K40" s="36">
        <f t="shared" si="1"/>
        <v>6</v>
      </c>
      <c r="L40" s="36">
        <f>DAY(RESER3[[#This Row],[DATA]])</f>
        <v>10</v>
      </c>
      <c r="M40" s="36"/>
    </row>
    <row r="41" spans="1:13" x14ac:dyDescent="0.25">
      <c r="A41" s="36"/>
      <c r="B41" s="129" t="s">
        <v>7</v>
      </c>
      <c r="C41" s="28">
        <v>44278</v>
      </c>
      <c r="D41" s="36" t="s">
        <v>189</v>
      </c>
      <c r="E41" s="36" t="s">
        <v>190</v>
      </c>
      <c r="F41" s="36" t="s">
        <v>192</v>
      </c>
      <c r="G41" s="36" t="s">
        <v>193</v>
      </c>
      <c r="H41" s="36">
        <v>1</v>
      </c>
      <c r="I41" s="36" t="s">
        <v>179</v>
      </c>
      <c r="J41" s="36">
        <f>YEAR(RESER3[[#This Row],[DATA]])</f>
        <v>2021</v>
      </c>
      <c r="K41" s="36">
        <f t="shared" si="1"/>
        <v>3</v>
      </c>
      <c r="L41" s="36">
        <f>DAY(RESER3[[#This Row],[DATA]])</f>
        <v>23</v>
      </c>
      <c r="M41" s="36"/>
    </row>
    <row r="42" spans="1:13" x14ac:dyDescent="0.25">
      <c r="A42" s="36"/>
      <c r="B42" s="129" t="s">
        <v>7</v>
      </c>
      <c r="C42" s="28">
        <v>44278</v>
      </c>
      <c r="D42" s="36" t="s">
        <v>189</v>
      </c>
      <c r="E42" s="36" t="s">
        <v>222</v>
      </c>
      <c r="F42" s="36" t="s">
        <v>192</v>
      </c>
      <c r="G42" s="36" t="s">
        <v>193</v>
      </c>
      <c r="H42" s="36">
        <v>1</v>
      </c>
      <c r="I42" s="36" t="s">
        <v>179</v>
      </c>
      <c r="J42" s="36">
        <f>YEAR(RESER3[[#This Row],[DATA]])</f>
        <v>2021</v>
      </c>
      <c r="K42" s="36">
        <f t="shared" si="1"/>
        <v>3</v>
      </c>
      <c r="L42" s="36">
        <f>DAY(RESER3[[#This Row],[DATA]])</f>
        <v>23</v>
      </c>
      <c r="M42" s="36"/>
    </row>
    <row r="43" spans="1:13" x14ac:dyDescent="0.25">
      <c r="A43" s="36"/>
      <c r="B43" s="129" t="s">
        <v>7</v>
      </c>
      <c r="C43" s="28">
        <v>44285</v>
      </c>
      <c r="D43" s="36" t="s">
        <v>189</v>
      </c>
      <c r="E43" s="36" t="s">
        <v>190</v>
      </c>
      <c r="F43" s="36" t="s">
        <v>192</v>
      </c>
      <c r="G43" s="36" t="s">
        <v>193</v>
      </c>
      <c r="H43" s="36">
        <v>1</v>
      </c>
      <c r="I43" s="36" t="s">
        <v>179</v>
      </c>
      <c r="J43" s="36">
        <f>YEAR(RESER3[[#This Row],[DATA]])</f>
        <v>2021</v>
      </c>
      <c r="K43" s="36">
        <f t="shared" si="1"/>
        <v>3</v>
      </c>
      <c r="L43" s="36">
        <f>DAY(RESER3[[#This Row],[DATA]])</f>
        <v>30</v>
      </c>
      <c r="M43" s="36"/>
    </row>
    <row r="44" spans="1:13" x14ac:dyDescent="0.25">
      <c r="A44" s="36"/>
      <c r="B44" s="129" t="s">
        <v>7</v>
      </c>
      <c r="C44" s="28">
        <v>44285</v>
      </c>
      <c r="D44" s="36" t="s">
        <v>189</v>
      </c>
      <c r="E44" s="36" t="s">
        <v>190</v>
      </c>
      <c r="F44" s="36" t="s">
        <v>191</v>
      </c>
      <c r="G44" s="36" t="s">
        <v>191</v>
      </c>
      <c r="H44" s="36">
        <v>1</v>
      </c>
      <c r="I44" s="36" t="s">
        <v>179</v>
      </c>
      <c r="J44" s="36">
        <f>YEAR(RESER3[[#This Row],[DATA]])</f>
        <v>2021</v>
      </c>
      <c r="K44" s="36">
        <f t="shared" si="1"/>
        <v>3</v>
      </c>
      <c r="L44" s="36">
        <f>DAY(RESER3[[#This Row],[DATA]])</f>
        <v>30</v>
      </c>
      <c r="M44" s="36"/>
    </row>
    <row r="45" spans="1:13" x14ac:dyDescent="0.25">
      <c r="A45" s="36"/>
      <c r="B45" s="129" t="s">
        <v>7</v>
      </c>
      <c r="C45" s="28">
        <v>44286</v>
      </c>
      <c r="D45" s="36" t="s">
        <v>189</v>
      </c>
      <c r="E45" s="36" t="s">
        <v>222</v>
      </c>
      <c r="F45" s="36" t="s">
        <v>192</v>
      </c>
      <c r="G45" s="36" t="s">
        <v>193</v>
      </c>
      <c r="H45" s="36">
        <v>1</v>
      </c>
      <c r="I45" s="36" t="s">
        <v>179</v>
      </c>
      <c r="J45" s="36">
        <f>YEAR(RESER3[[#This Row],[DATA]])</f>
        <v>2021</v>
      </c>
      <c r="K45" s="36">
        <f t="shared" si="1"/>
        <v>3</v>
      </c>
      <c r="L45" s="36">
        <f>DAY(RESER3[[#This Row],[DATA]])</f>
        <v>31</v>
      </c>
      <c r="M45" s="36"/>
    </row>
    <row r="46" spans="1:13" x14ac:dyDescent="0.25">
      <c r="A46" s="36"/>
      <c r="B46" s="129" t="s">
        <v>7</v>
      </c>
      <c r="C46" s="28">
        <v>44287</v>
      </c>
      <c r="D46" s="36" t="s">
        <v>189</v>
      </c>
      <c r="E46" s="36" t="s">
        <v>190</v>
      </c>
      <c r="F46" s="36" t="s">
        <v>202</v>
      </c>
      <c r="G46" s="36" t="s">
        <v>226</v>
      </c>
      <c r="H46" s="36">
        <v>1</v>
      </c>
      <c r="I46" s="36" t="s">
        <v>179</v>
      </c>
      <c r="J46" s="36">
        <f>YEAR(RESER3[[#This Row],[DATA]])</f>
        <v>2021</v>
      </c>
      <c r="K46" s="36">
        <f t="shared" si="1"/>
        <v>4</v>
      </c>
      <c r="L46" s="36">
        <f>DAY(RESER3[[#This Row],[DATA]])</f>
        <v>1</v>
      </c>
      <c r="M46" s="36"/>
    </row>
    <row r="47" spans="1:13" x14ac:dyDescent="0.25">
      <c r="A47" s="36"/>
      <c r="B47" s="129" t="s">
        <v>7</v>
      </c>
      <c r="C47" s="28">
        <v>44287</v>
      </c>
      <c r="D47" s="36" t="s">
        <v>189</v>
      </c>
      <c r="E47" s="36" t="s">
        <v>190</v>
      </c>
      <c r="F47" s="36" t="s">
        <v>192</v>
      </c>
      <c r="G47" s="36" t="s">
        <v>193</v>
      </c>
      <c r="H47" s="36">
        <v>1</v>
      </c>
      <c r="I47" s="36" t="s">
        <v>179</v>
      </c>
      <c r="J47" s="36">
        <f>YEAR(RESER3[[#This Row],[DATA]])</f>
        <v>2021</v>
      </c>
      <c r="K47" s="36">
        <f t="shared" si="1"/>
        <v>4</v>
      </c>
      <c r="L47" s="36">
        <f>DAY(RESER3[[#This Row],[DATA]])</f>
        <v>1</v>
      </c>
      <c r="M47" s="36"/>
    </row>
    <row r="48" spans="1:13" x14ac:dyDescent="0.25">
      <c r="A48" s="36"/>
      <c r="B48" s="129" t="s">
        <v>7</v>
      </c>
      <c r="C48" s="28">
        <v>44287</v>
      </c>
      <c r="D48" s="36" t="s">
        <v>189</v>
      </c>
      <c r="E48" s="36" t="s">
        <v>190</v>
      </c>
      <c r="F48" s="36" t="s">
        <v>192</v>
      </c>
      <c r="G48" s="36" t="s">
        <v>193</v>
      </c>
      <c r="H48" s="36">
        <v>1</v>
      </c>
      <c r="I48" s="36" t="s">
        <v>179</v>
      </c>
      <c r="J48" s="36">
        <f>YEAR(RESER3[[#This Row],[DATA]])</f>
        <v>2021</v>
      </c>
      <c r="K48" s="36">
        <f t="shared" si="1"/>
        <v>4</v>
      </c>
      <c r="L48" s="36">
        <f>DAY(RESER3[[#This Row],[DATA]])</f>
        <v>1</v>
      </c>
      <c r="M48" s="36"/>
    </row>
    <row r="49" spans="1:13" x14ac:dyDescent="0.25">
      <c r="A49" s="36"/>
      <c r="B49" s="129" t="s">
        <v>7</v>
      </c>
      <c r="C49" s="28">
        <v>44287</v>
      </c>
      <c r="D49" s="36" t="s">
        <v>189</v>
      </c>
      <c r="E49" s="36" t="s">
        <v>190</v>
      </c>
      <c r="F49" s="36" t="s">
        <v>191</v>
      </c>
      <c r="G49" s="36" t="s">
        <v>191</v>
      </c>
      <c r="H49" s="36">
        <v>1</v>
      </c>
      <c r="I49" s="36" t="s">
        <v>179</v>
      </c>
      <c r="J49" s="36">
        <f>YEAR(RESER3[[#This Row],[DATA]])</f>
        <v>2021</v>
      </c>
      <c r="K49" s="36">
        <f t="shared" si="1"/>
        <v>4</v>
      </c>
      <c r="L49" s="36">
        <f>DAY(RESER3[[#This Row],[DATA]])</f>
        <v>1</v>
      </c>
      <c r="M49" s="36"/>
    </row>
    <row r="50" spans="1:13" x14ac:dyDescent="0.25">
      <c r="A50" s="36"/>
      <c r="B50" s="129" t="s">
        <v>7</v>
      </c>
      <c r="C50" s="28">
        <v>44292</v>
      </c>
      <c r="D50" s="36" t="s">
        <v>189</v>
      </c>
      <c r="E50" s="36" t="s">
        <v>190</v>
      </c>
      <c r="F50" s="36" t="s">
        <v>192</v>
      </c>
      <c r="G50" s="36" t="s">
        <v>193</v>
      </c>
      <c r="H50" s="36">
        <v>1</v>
      </c>
      <c r="I50" s="36" t="s">
        <v>179</v>
      </c>
      <c r="J50" s="36">
        <f>YEAR(RESER3[[#This Row],[DATA]])</f>
        <v>2021</v>
      </c>
      <c r="K50" s="36">
        <f t="shared" si="1"/>
        <v>4</v>
      </c>
      <c r="L50" s="36">
        <f>DAY(RESER3[[#This Row],[DATA]])</f>
        <v>6</v>
      </c>
      <c r="M50" s="36"/>
    </row>
    <row r="51" spans="1:13" x14ac:dyDescent="0.25">
      <c r="A51" s="36"/>
      <c r="B51" s="129" t="s">
        <v>7</v>
      </c>
      <c r="C51" s="28">
        <v>44295</v>
      </c>
      <c r="D51" s="36" t="s">
        <v>189</v>
      </c>
      <c r="E51" s="36" t="s">
        <v>190</v>
      </c>
      <c r="F51" s="36" t="s">
        <v>192</v>
      </c>
      <c r="G51" s="36" t="s">
        <v>214</v>
      </c>
      <c r="H51" s="36">
        <v>1</v>
      </c>
      <c r="I51" s="36" t="s">
        <v>179</v>
      </c>
      <c r="J51" s="36">
        <f>YEAR(RESER3[[#This Row],[DATA]])</f>
        <v>2021</v>
      </c>
      <c r="K51" s="36">
        <f t="shared" si="1"/>
        <v>4</v>
      </c>
      <c r="L51" s="36">
        <f>DAY(RESER3[[#This Row],[DATA]])</f>
        <v>9</v>
      </c>
      <c r="M51" s="36"/>
    </row>
    <row r="52" spans="1:13" x14ac:dyDescent="0.25">
      <c r="A52" s="36"/>
      <c r="B52" s="129" t="s">
        <v>7</v>
      </c>
      <c r="C52" s="28">
        <v>44305</v>
      </c>
      <c r="D52" s="36" t="s">
        <v>223</v>
      </c>
      <c r="E52" s="36" t="s">
        <v>190</v>
      </c>
      <c r="F52" s="36" t="s">
        <v>192</v>
      </c>
      <c r="G52" s="36" t="s">
        <v>193</v>
      </c>
      <c r="H52" s="36">
        <v>1</v>
      </c>
      <c r="I52" s="36" t="s">
        <v>179</v>
      </c>
      <c r="J52" s="36">
        <f>YEAR(RESER3[[#This Row],[DATA]])</f>
        <v>2021</v>
      </c>
      <c r="K52" s="36">
        <f t="shared" si="1"/>
        <v>4</v>
      </c>
      <c r="L52" s="36">
        <f>DAY(RESER3[[#This Row],[DATA]])</f>
        <v>19</v>
      </c>
      <c r="M52" s="36"/>
    </row>
    <row r="53" spans="1:13" x14ac:dyDescent="0.25">
      <c r="A53" s="36"/>
      <c r="B53" s="129" t="s">
        <v>7</v>
      </c>
      <c r="C53" s="28">
        <v>44305</v>
      </c>
      <c r="D53" s="36" t="s">
        <v>189</v>
      </c>
      <c r="E53" s="36" t="s">
        <v>190</v>
      </c>
      <c r="F53" s="36" t="s">
        <v>191</v>
      </c>
      <c r="G53" s="36" t="s">
        <v>191</v>
      </c>
      <c r="H53" s="36">
        <v>1</v>
      </c>
      <c r="I53" s="36" t="s">
        <v>179</v>
      </c>
      <c r="J53" s="36">
        <f>YEAR(RESER3[[#This Row],[DATA]])</f>
        <v>2021</v>
      </c>
      <c r="K53" s="36">
        <f t="shared" si="1"/>
        <v>4</v>
      </c>
      <c r="L53" s="36">
        <f>DAY(RESER3[[#This Row],[DATA]])</f>
        <v>19</v>
      </c>
      <c r="M53" s="36"/>
    </row>
    <row r="54" spans="1:13" x14ac:dyDescent="0.25">
      <c r="A54" s="36"/>
      <c r="B54" s="129" t="s">
        <v>7</v>
      </c>
      <c r="C54" s="28">
        <v>44322</v>
      </c>
      <c r="D54" s="36" t="s">
        <v>204</v>
      </c>
      <c r="E54" s="36" t="s">
        <v>190</v>
      </c>
      <c r="F54" s="36" t="s">
        <v>192</v>
      </c>
      <c r="G54" s="36" t="s">
        <v>193</v>
      </c>
      <c r="H54" s="36">
        <v>1</v>
      </c>
      <c r="I54" s="36" t="s">
        <v>179</v>
      </c>
      <c r="J54" s="36">
        <f>YEAR(RESER3[[#This Row],[DATA]])</f>
        <v>2021</v>
      </c>
      <c r="K54" s="36">
        <f t="shared" si="1"/>
        <v>5</v>
      </c>
      <c r="L54" s="36">
        <f>DAY(RESER3[[#This Row],[DATA]])</f>
        <v>6</v>
      </c>
      <c r="M54" s="36"/>
    </row>
    <row r="55" spans="1:13" x14ac:dyDescent="0.25">
      <c r="A55" s="36"/>
      <c r="B55" s="129" t="s">
        <v>7</v>
      </c>
      <c r="C55" s="28">
        <v>44305</v>
      </c>
      <c r="D55" s="36" t="s">
        <v>227</v>
      </c>
      <c r="E55" s="36" t="s">
        <v>190</v>
      </c>
      <c r="F55" s="36" t="s">
        <v>228</v>
      </c>
      <c r="G55" s="36" t="s">
        <v>229</v>
      </c>
      <c r="H55" s="36">
        <v>1</v>
      </c>
      <c r="I55" s="36" t="s">
        <v>179</v>
      </c>
      <c r="J55" s="36">
        <f>YEAR(RESER3[[#This Row],[DATA]])</f>
        <v>2021</v>
      </c>
      <c r="K55" s="36">
        <f t="shared" si="1"/>
        <v>4</v>
      </c>
      <c r="L55" s="36">
        <f>DAY(RESER3[[#This Row],[DATA]])</f>
        <v>19</v>
      </c>
      <c r="M55" s="36"/>
    </row>
    <row r="56" spans="1:13" x14ac:dyDescent="0.25">
      <c r="A56" s="36"/>
      <c r="B56" s="129" t="s">
        <v>7</v>
      </c>
      <c r="C56" s="28">
        <v>44347</v>
      </c>
      <c r="D56" s="36" t="s">
        <v>223</v>
      </c>
      <c r="E56" s="36" t="s">
        <v>190</v>
      </c>
      <c r="F56" s="36" t="s">
        <v>192</v>
      </c>
      <c r="G56" s="36" t="s">
        <v>193</v>
      </c>
      <c r="H56" s="36">
        <v>1</v>
      </c>
      <c r="I56" s="36" t="s">
        <v>179</v>
      </c>
      <c r="J56" s="36">
        <f>YEAR(RESER3[[#This Row],[DATA]])</f>
        <v>2021</v>
      </c>
      <c r="K56" s="36">
        <f t="shared" si="1"/>
        <v>5</v>
      </c>
      <c r="L56" s="36">
        <f>DAY(RESER3[[#This Row],[DATA]])</f>
        <v>31</v>
      </c>
      <c r="M56" s="36"/>
    </row>
    <row r="57" spans="1:13" x14ac:dyDescent="0.25">
      <c r="A57" s="36"/>
      <c r="B57" s="129" t="s">
        <v>7</v>
      </c>
      <c r="C57" s="28">
        <v>44348</v>
      </c>
      <c r="D57" s="36" t="s">
        <v>230</v>
      </c>
      <c r="E57" s="36" t="s">
        <v>190</v>
      </c>
      <c r="F57" s="36" t="s">
        <v>192</v>
      </c>
      <c r="G57" s="36" t="s">
        <v>193</v>
      </c>
      <c r="H57" s="36">
        <v>1</v>
      </c>
      <c r="I57" s="36" t="s">
        <v>179</v>
      </c>
      <c r="J57" s="36">
        <f>YEAR(RESER3[[#This Row],[DATA]])</f>
        <v>2021</v>
      </c>
      <c r="K57" s="36">
        <f t="shared" si="1"/>
        <v>6</v>
      </c>
      <c r="L57" s="36">
        <f>DAY(RESER3[[#This Row],[DATA]])</f>
        <v>1</v>
      </c>
      <c r="M57" s="36"/>
    </row>
    <row r="58" spans="1:13" x14ac:dyDescent="0.25">
      <c r="A58" s="36"/>
      <c r="B58" s="129" t="s">
        <v>7</v>
      </c>
      <c r="C58" s="28">
        <v>44361</v>
      </c>
      <c r="D58" s="36" t="s">
        <v>189</v>
      </c>
      <c r="E58" s="36" t="s">
        <v>190</v>
      </c>
      <c r="F58" s="36" t="s">
        <v>191</v>
      </c>
      <c r="G58" s="36" t="s">
        <v>191</v>
      </c>
      <c r="H58" s="36">
        <v>1</v>
      </c>
      <c r="I58" s="36" t="s">
        <v>179</v>
      </c>
      <c r="J58" s="36">
        <f>YEAR(RESER3[[#This Row],[DATA]])</f>
        <v>2021</v>
      </c>
      <c r="K58" s="36">
        <f t="shared" si="1"/>
        <v>6</v>
      </c>
      <c r="L58" s="36">
        <f>DAY(RESER3[[#This Row],[DATA]])</f>
        <v>14</v>
      </c>
      <c r="M58" s="36"/>
    </row>
    <row r="59" spans="1:13" x14ac:dyDescent="0.25">
      <c r="A59" s="36"/>
      <c r="B59" s="129" t="s">
        <v>7</v>
      </c>
      <c r="C59" s="28">
        <v>44361</v>
      </c>
      <c r="D59" s="36" t="s">
        <v>215</v>
      </c>
      <c r="E59" s="36" t="s">
        <v>190</v>
      </c>
      <c r="F59" s="36" t="s">
        <v>231</v>
      </c>
      <c r="G59" s="36" t="s">
        <v>232</v>
      </c>
      <c r="H59" s="36">
        <v>1</v>
      </c>
      <c r="I59" s="36" t="s">
        <v>179</v>
      </c>
      <c r="J59" s="36">
        <f>YEAR(RESER3[[#This Row],[DATA]])</f>
        <v>2021</v>
      </c>
      <c r="K59" s="36">
        <f t="shared" si="1"/>
        <v>6</v>
      </c>
      <c r="L59" s="36">
        <f>DAY(RESER3[[#This Row],[DATA]])</f>
        <v>14</v>
      </c>
      <c r="M59" s="36"/>
    </row>
    <row r="60" spans="1:13" x14ac:dyDescent="0.25">
      <c r="A60" s="36"/>
      <c r="B60" s="129" t="s">
        <v>7</v>
      </c>
      <c r="C60" s="28">
        <v>44364</v>
      </c>
      <c r="D60" s="36" t="s">
        <v>233</v>
      </c>
      <c r="E60" s="36" t="s">
        <v>222</v>
      </c>
      <c r="F60" s="36" t="s">
        <v>192</v>
      </c>
      <c r="G60" s="36" t="s">
        <v>234</v>
      </c>
      <c r="H60" s="36">
        <v>1</v>
      </c>
      <c r="I60" s="36" t="s">
        <v>179</v>
      </c>
      <c r="J60" s="36">
        <f>YEAR(RESER3[[#This Row],[DATA]])</f>
        <v>2021</v>
      </c>
      <c r="K60" s="36">
        <f t="shared" si="1"/>
        <v>6</v>
      </c>
      <c r="L60" s="36">
        <f>DAY(RESER3[[#This Row],[DATA]])</f>
        <v>17</v>
      </c>
      <c r="M60" s="36"/>
    </row>
    <row r="61" spans="1:13" x14ac:dyDescent="0.25">
      <c r="A61" s="36"/>
      <c r="B61" s="129" t="s">
        <v>8</v>
      </c>
      <c r="C61" s="28">
        <v>44299</v>
      </c>
      <c r="D61" s="36" t="s">
        <v>189</v>
      </c>
      <c r="E61" s="36" t="s">
        <v>190</v>
      </c>
      <c r="F61" s="36" t="s">
        <v>191</v>
      </c>
      <c r="G61" s="36" t="s">
        <v>191</v>
      </c>
      <c r="H61" s="36">
        <v>1</v>
      </c>
      <c r="I61" s="36" t="s">
        <v>179</v>
      </c>
      <c r="J61" s="36">
        <f>YEAR(RESER3[[#This Row],[DATA]])</f>
        <v>2021</v>
      </c>
      <c r="K61" s="36">
        <f t="shared" si="1"/>
        <v>4</v>
      </c>
      <c r="L61" s="36">
        <f>DAY(RESER3[[#This Row],[DATA]])</f>
        <v>13</v>
      </c>
      <c r="M61" s="36"/>
    </row>
    <row r="62" spans="1:13" x14ac:dyDescent="0.25">
      <c r="A62" s="36"/>
      <c r="B62" s="129" t="s">
        <v>8</v>
      </c>
      <c r="C62" s="28">
        <v>44299</v>
      </c>
      <c r="D62" s="36" t="s">
        <v>189</v>
      </c>
      <c r="E62" s="36" t="s">
        <v>190</v>
      </c>
      <c r="F62" s="36" t="s">
        <v>192</v>
      </c>
      <c r="G62" s="36" t="s">
        <v>193</v>
      </c>
      <c r="H62" s="36">
        <v>1</v>
      </c>
      <c r="I62" s="36" t="s">
        <v>179</v>
      </c>
      <c r="J62" s="36">
        <f>YEAR(RESER3[[#This Row],[DATA]])</f>
        <v>2021</v>
      </c>
      <c r="K62" s="36">
        <f t="shared" si="1"/>
        <v>4</v>
      </c>
      <c r="L62" s="36">
        <f>DAY(RESER3[[#This Row],[DATA]])</f>
        <v>13</v>
      </c>
      <c r="M62" s="36"/>
    </row>
    <row r="63" spans="1:13" x14ac:dyDescent="0.25">
      <c r="A63" s="36"/>
      <c r="B63" s="129" t="s">
        <v>8</v>
      </c>
      <c r="C63" s="28">
        <v>44301</v>
      </c>
      <c r="D63" s="36" t="s">
        <v>224</v>
      </c>
      <c r="E63" s="36" t="s">
        <v>222</v>
      </c>
      <c r="F63" s="36" t="s">
        <v>192</v>
      </c>
      <c r="G63" s="36" t="s">
        <v>193</v>
      </c>
      <c r="H63" s="36">
        <v>1</v>
      </c>
      <c r="I63" s="36" t="s">
        <v>179</v>
      </c>
      <c r="J63" s="36">
        <f>YEAR(RESER3[[#This Row],[DATA]])</f>
        <v>2021</v>
      </c>
      <c r="K63" s="36">
        <f t="shared" si="1"/>
        <v>4</v>
      </c>
      <c r="L63" s="36">
        <f>DAY(RESER3[[#This Row],[DATA]])</f>
        <v>15</v>
      </c>
      <c r="M63" s="36"/>
    </row>
    <row r="64" spans="1:13" x14ac:dyDescent="0.25">
      <c r="A64" s="36"/>
      <c r="B64" s="129" t="s">
        <v>8</v>
      </c>
      <c r="C64" s="28">
        <v>44319</v>
      </c>
      <c r="D64" s="36" t="s">
        <v>223</v>
      </c>
      <c r="E64" s="36" t="s">
        <v>190</v>
      </c>
      <c r="F64" s="36" t="s">
        <v>192</v>
      </c>
      <c r="G64" s="36" t="s">
        <v>235</v>
      </c>
      <c r="H64" s="36">
        <v>1</v>
      </c>
      <c r="I64" s="36" t="s">
        <v>179</v>
      </c>
      <c r="J64" s="36">
        <f>YEAR(RESER3[[#This Row],[DATA]])</f>
        <v>2021</v>
      </c>
      <c r="K64" s="36">
        <f t="shared" si="1"/>
        <v>5</v>
      </c>
      <c r="L64" s="36">
        <f>DAY(RESER3[[#This Row],[DATA]])</f>
        <v>3</v>
      </c>
      <c r="M64" s="36"/>
    </row>
    <row r="65" spans="1:13" x14ac:dyDescent="0.25">
      <c r="A65" s="36"/>
      <c r="B65" s="129" t="s">
        <v>8</v>
      </c>
      <c r="C65" s="28">
        <v>44330</v>
      </c>
      <c r="D65" s="36" t="s">
        <v>204</v>
      </c>
      <c r="E65" s="36" t="s">
        <v>190</v>
      </c>
      <c r="F65" s="36" t="s">
        <v>192</v>
      </c>
      <c r="G65" s="36" t="s">
        <v>193</v>
      </c>
      <c r="H65" s="36">
        <v>1</v>
      </c>
      <c r="I65" s="36" t="s">
        <v>179</v>
      </c>
      <c r="J65" s="36">
        <f>YEAR(RESER3[[#This Row],[DATA]])</f>
        <v>2021</v>
      </c>
      <c r="K65" s="36">
        <f t="shared" si="1"/>
        <v>5</v>
      </c>
      <c r="L65" s="36">
        <f>DAY(RESER3[[#This Row],[DATA]])</f>
        <v>14</v>
      </c>
      <c r="M65" s="36"/>
    </row>
    <row r="66" spans="1:13" x14ac:dyDescent="0.25">
      <c r="A66" s="36"/>
      <c r="B66" s="129" t="s">
        <v>8</v>
      </c>
      <c r="C66" s="28">
        <v>44330</v>
      </c>
      <c r="D66" s="36" t="s">
        <v>189</v>
      </c>
      <c r="E66" s="36" t="s">
        <v>190</v>
      </c>
      <c r="F66" s="36" t="s">
        <v>191</v>
      </c>
      <c r="G66" s="36" t="s">
        <v>191</v>
      </c>
      <c r="H66" s="36">
        <v>1</v>
      </c>
      <c r="I66" s="36" t="s">
        <v>179</v>
      </c>
      <c r="J66" s="36">
        <f>YEAR(RESER3[[#This Row],[DATA]])</f>
        <v>2021</v>
      </c>
      <c r="K66" s="36">
        <f t="shared" si="1"/>
        <v>5</v>
      </c>
      <c r="L66" s="36">
        <f>DAY(RESER3[[#This Row],[DATA]])</f>
        <v>14</v>
      </c>
      <c r="M66" s="36"/>
    </row>
    <row r="67" spans="1:13" x14ac:dyDescent="0.25">
      <c r="A67" s="36"/>
      <c r="B67" s="129" t="s">
        <v>8</v>
      </c>
      <c r="C67" s="28">
        <v>44303</v>
      </c>
      <c r="D67" s="36" t="s">
        <v>223</v>
      </c>
      <c r="E67" s="36" t="s">
        <v>190</v>
      </c>
      <c r="F67" s="36" t="s">
        <v>192</v>
      </c>
      <c r="G67" s="36" t="s">
        <v>193</v>
      </c>
      <c r="H67" s="36">
        <v>1</v>
      </c>
      <c r="I67" s="36" t="s">
        <v>179</v>
      </c>
      <c r="J67" s="36">
        <f>YEAR(RESER3[[#This Row],[DATA]])</f>
        <v>2021</v>
      </c>
      <c r="K67" s="36">
        <f t="shared" si="1"/>
        <v>4</v>
      </c>
      <c r="L67" s="36">
        <f>DAY(RESER3[[#This Row],[DATA]])</f>
        <v>17</v>
      </c>
      <c r="M67" s="36"/>
    </row>
    <row r="68" spans="1:13" x14ac:dyDescent="0.25">
      <c r="A68" s="36"/>
      <c r="B68" s="129" t="s">
        <v>8</v>
      </c>
      <c r="C68" s="28">
        <v>44304</v>
      </c>
      <c r="D68" s="36" t="s">
        <v>204</v>
      </c>
      <c r="E68" s="36" t="s">
        <v>222</v>
      </c>
      <c r="F68" s="36" t="s">
        <v>192</v>
      </c>
      <c r="G68" s="36" t="s">
        <v>193</v>
      </c>
      <c r="H68" s="36">
        <v>1</v>
      </c>
      <c r="I68" s="36" t="s">
        <v>179</v>
      </c>
      <c r="J68" s="36">
        <f>YEAR(RESER3[[#This Row],[DATA]])</f>
        <v>2021</v>
      </c>
      <c r="K68" s="36">
        <f t="shared" si="1"/>
        <v>4</v>
      </c>
      <c r="L68" s="36">
        <f>DAY(RESER3[[#This Row],[DATA]])</f>
        <v>18</v>
      </c>
      <c r="M68" s="36"/>
    </row>
    <row r="69" spans="1:13" x14ac:dyDescent="0.25">
      <c r="A69" s="36"/>
      <c r="B69" s="129" t="s">
        <v>8</v>
      </c>
      <c r="C69" s="28">
        <v>44304</v>
      </c>
      <c r="D69" s="36" t="s">
        <v>236</v>
      </c>
      <c r="E69" s="36" t="s">
        <v>190</v>
      </c>
      <c r="F69" s="36" t="s">
        <v>231</v>
      </c>
      <c r="G69" s="36" t="s">
        <v>237</v>
      </c>
      <c r="H69" s="36">
        <v>1</v>
      </c>
      <c r="I69" s="36" t="s">
        <v>179</v>
      </c>
      <c r="J69" s="36">
        <f>YEAR(RESER3[[#This Row],[DATA]])</f>
        <v>2021</v>
      </c>
      <c r="K69" s="36">
        <f t="shared" si="1"/>
        <v>4</v>
      </c>
      <c r="L69" s="36">
        <f>DAY(RESER3[[#This Row],[DATA]])</f>
        <v>18</v>
      </c>
      <c r="M69" s="36"/>
    </row>
    <row r="70" spans="1:13" x14ac:dyDescent="0.25">
      <c r="A70" s="36"/>
      <c r="B70" s="129" t="s">
        <v>8</v>
      </c>
      <c r="C70" s="28">
        <v>44337</v>
      </c>
      <c r="D70" s="36" t="s">
        <v>204</v>
      </c>
      <c r="E70" s="36" t="s">
        <v>190</v>
      </c>
      <c r="F70" s="36" t="s">
        <v>192</v>
      </c>
      <c r="G70" s="36" t="s">
        <v>193</v>
      </c>
      <c r="H70" s="36">
        <v>1</v>
      </c>
      <c r="I70" s="36" t="s">
        <v>179</v>
      </c>
      <c r="J70" s="36">
        <f>YEAR(RESER3[[#This Row],[DATA]])</f>
        <v>2021</v>
      </c>
      <c r="K70" s="36">
        <f t="shared" ref="K70:K101" si="2">MONTH(C70)</f>
        <v>5</v>
      </c>
      <c r="L70" s="36">
        <f>DAY(RESER3[[#This Row],[DATA]])</f>
        <v>21</v>
      </c>
      <c r="M70" s="36"/>
    </row>
    <row r="71" spans="1:13" x14ac:dyDescent="0.25">
      <c r="A71" s="36"/>
      <c r="B71" s="129" t="s">
        <v>8</v>
      </c>
      <c r="C71" s="28">
        <v>44337</v>
      </c>
      <c r="D71" s="36" t="s">
        <v>189</v>
      </c>
      <c r="E71" s="36" t="s">
        <v>190</v>
      </c>
      <c r="F71" s="36" t="s">
        <v>191</v>
      </c>
      <c r="G71" s="36" t="s">
        <v>191</v>
      </c>
      <c r="H71" s="36">
        <v>1</v>
      </c>
      <c r="I71" s="36" t="s">
        <v>179</v>
      </c>
      <c r="J71" s="36">
        <f>YEAR(RESER3[[#This Row],[DATA]])</f>
        <v>2021</v>
      </c>
      <c r="K71" s="36">
        <f t="shared" si="2"/>
        <v>5</v>
      </c>
      <c r="L71" s="36">
        <f>DAY(RESER3[[#This Row],[DATA]])</f>
        <v>21</v>
      </c>
      <c r="M71" s="36"/>
    </row>
    <row r="72" spans="1:13" x14ac:dyDescent="0.25">
      <c r="A72" s="36"/>
      <c r="B72" s="129" t="s">
        <v>8</v>
      </c>
      <c r="C72" s="28">
        <v>44362</v>
      </c>
      <c r="D72" s="36" t="s">
        <v>238</v>
      </c>
      <c r="E72" s="36" t="s">
        <v>222</v>
      </c>
      <c r="F72" s="36" t="s">
        <v>192</v>
      </c>
      <c r="G72" s="36" t="s">
        <v>239</v>
      </c>
      <c r="H72" s="36">
        <v>1</v>
      </c>
      <c r="I72" s="36" t="s">
        <v>179</v>
      </c>
      <c r="J72" s="36">
        <f>YEAR(RESER3[[#This Row],[DATA]])</f>
        <v>2021</v>
      </c>
      <c r="K72" s="36">
        <f t="shared" si="2"/>
        <v>6</v>
      </c>
      <c r="L72" s="36">
        <f>DAY(RESER3[[#This Row],[DATA]])</f>
        <v>15</v>
      </c>
      <c r="M72" s="36"/>
    </row>
    <row r="73" spans="1:13" x14ac:dyDescent="0.25">
      <c r="A73" s="36"/>
      <c r="B73" s="129" t="s">
        <v>8</v>
      </c>
      <c r="C73" s="28">
        <v>44364</v>
      </c>
      <c r="D73" s="36" t="s">
        <v>240</v>
      </c>
      <c r="E73" s="36" t="s">
        <v>222</v>
      </c>
      <c r="F73" s="36" t="s">
        <v>196</v>
      </c>
      <c r="G73" s="36" t="s">
        <v>241</v>
      </c>
      <c r="H73" s="36">
        <v>1</v>
      </c>
      <c r="I73" s="36" t="s">
        <v>179</v>
      </c>
      <c r="J73" s="36">
        <f>YEAR(RESER3[[#This Row],[DATA]])</f>
        <v>2021</v>
      </c>
      <c r="K73" s="36">
        <f t="shared" si="2"/>
        <v>6</v>
      </c>
      <c r="L73" s="36">
        <f>DAY(RESER3[[#This Row],[DATA]])</f>
        <v>17</v>
      </c>
      <c r="M73" s="36"/>
    </row>
    <row r="74" spans="1:13" x14ac:dyDescent="0.25">
      <c r="A74" s="36"/>
      <c r="B74" s="129" t="s">
        <v>8</v>
      </c>
      <c r="C74" s="28">
        <v>44365</v>
      </c>
      <c r="D74" s="36" t="s">
        <v>242</v>
      </c>
      <c r="E74" s="36" t="s">
        <v>190</v>
      </c>
      <c r="F74" s="36" t="s">
        <v>196</v>
      </c>
      <c r="G74" s="36" t="s">
        <v>243</v>
      </c>
      <c r="H74" s="36">
        <v>1</v>
      </c>
      <c r="I74" s="36" t="s">
        <v>179</v>
      </c>
      <c r="J74" s="36">
        <f>YEAR(RESER3[[#This Row],[DATA]])</f>
        <v>2021</v>
      </c>
      <c r="K74" s="36">
        <f t="shared" si="2"/>
        <v>6</v>
      </c>
      <c r="L74" s="36">
        <f>DAY(RESER3[[#This Row],[DATA]])</f>
        <v>18</v>
      </c>
      <c r="M74" s="36"/>
    </row>
    <row r="75" spans="1:13" x14ac:dyDescent="0.25">
      <c r="A75" s="36"/>
      <c r="B75" s="129" t="s">
        <v>9</v>
      </c>
      <c r="C75" s="28">
        <v>44280</v>
      </c>
      <c r="D75" s="36" t="s">
        <v>189</v>
      </c>
      <c r="E75" s="36" t="s">
        <v>190</v>
      </c>
      <c r="F75" s="36" t="s">
        <v>191</v>
      </c>
      <c r="G75" s="36" t="s">
        <v>191</v>
      </c>
      <c r="H75" s="36">
        <v>1</v>
      </c>
      <c r="I75" s="36" t="s">
        <v>179</v>
      </c>
      <c r="J75" s="36">
        <f>YEAR(RESER3[[#This Row],[DATA]])</f>
        <v>2021</v>
      </c>
      <c r="K75" s="36">
        <f t="shared" si="2"/>
        <v>3</v>
      </c>
      <c r="L75" s="36">
        <f>DAY(RESER3[[#This Row],[DATA]])</f>
        <v>25</v>
      </c>
      <c r="M75" s="36"/>
    </row>
    <row r="76" spans="1:13" x14ac:dyDescent="0.25">
      <c r="A76" s="36"/>
      <c r="B76" s="129" t="s">
        <v>9</v>
      </c>
      <c r="C76" s="28">
        <v>44280</v>
      </c>
      <c r="D76" s="36" t="s">
        <v>189</v>
      </c>
      <c r="E76" s="36" t="s">
        <v>190</v>
      </c>
      <c r="F76" s="36" t="s">
        <v>192</v>
      </c>
      <c r="G76" s="36" t="s">
        <v>193</v>
      </c>
      <c r="H76" s="36">
        <v>1</v>
      </c>
      <c r="I76" s="36" t="s">
        <v>179</v>
      </c>
      <c r="J76" s="36">
        <f>YEAR(RESER3[[#This Row],[DATA]])</f>
        <v>2021</v>
      </c>
      <c r="K76" s="36">
        <f t="shared" si="2"/>
        <v>3</v>
      </c>
      <c r="L76" s="36">
        <f>DAY(RESER3[[#This Row],[DATA]])</f>
        <v>25</v>
      </c>
      <c r="M76" s="36"/>
    </row>
    <row r="77" spans="1:13" x14ac:dyDescent="0.25">
      <c r="A77" s="36"/>
      <c r="B77" s="129" t="s">
        <v>9</v>
      </c>
      <c r="C77" s="28">
        <v>44281</v>
      </c>
      <c r="D77" s="36" t="s">
        <v>189</v>
      </c>
      <c r="E77" s="36" t="s">
        <v>190</v>
      </c>
      <c r="F77" s="36" t="s">
        <v>192</v>
      </c>
      <c r="G77" s="36" t="s">
        <v>193</v>
      </c>
      <c r="H77" s="36">
        <v>1</v>
      </c>
      <c r="I77" s="36" t="s">
        <v>179</v>
      </c>
      <c r="J77" s="36">
        <f>YEAR(RESER3[[#This Row],[DATA]])</f>
        <v>2021</v>
      </c>
      <c r="K77" s="36">
        <f t="shared" si="2"/>
        <v>3</v>
      </c>
      <c r="L77" s="36">
        <f>DAY(RESER3[[#This Row],[DATA]])</f>
        <v>26</v>
      </c>
      <c r="M77" s="36"/>
    </row>
    <row r="78" spans="1:13" x14ac:dyDescent="0.25">
      <c r="A78" s="36"/>
      <c r="B78" s="129" t="s">
        <v>9</v>
      </c>
      <c r="C78" s="28">
        <v>44298</v>
      </c>
      <c r="D78" s="36" t="s">
        <v>189</v>
      </c>
      <c r="E78" s="36" t="s">
        <v>222</v>
      </c>
      <c r="F78" s="36" t="s">
        <v>192</v>
      </c>
      <c r="G78" s="36" t="s">
        <v>193</v>
      </c>
      <c r="H78" s="36">
        <v>1</v>
      </c>
      <c r="I78" s="36" t="s">
        <v>179</v>
      </c>
      <c r="J78" s="36">
        <f>YEAR(RESER3[[#This Row],[DATA]])</f>
        <v>2021</v>
      </c>
      <c r="K78" s="36">
        <f t="shared" si="2"/>
        <v>4</v>
      </c>
      <c r="L78" s="36">
        <f>DAY(RESER3[[#This Row],[DATA]])</f>
        <v>12</v>
      </c>
      <c r="M78" s="36"/>
    </row>
    <row r="79" spans="1:13" x14ac:dyDescent="0.25">
      <c r="A79" s="36"/>
      <c r="B79" s="129" t="s">
        <v>9</v>
      </c>
      <c r="C79" s="28">
        <v>44301</v>
      </c>
      <c r="D79" s="36" t="s">
        <v>244</v>
      </c>
      <c r="E79" s="36" t="s">
        <v>190</v>
      </c>
      <c r="F79" s="36" t="s">
        <v>245</v>
      </c>
      <c r="G79" s="36" t="s">
        <v>246</v>
      </c>
      <c r="H79" s="36">
        <v>1</v>
      </c>
      <c r="I79" s="36" t="s">
        <v>179</v>
      </c>
      <c r="J79" s="36">
        <f>YEAR(RESER3[[#This Row],[DATA]])</f>
        <v>2021</v>
      </c>
      <c r="K79" s="36">
        <f t="shared" si="2"/>
        <v>4</v>
      </c>
      <c r="L79" s="36">
        <f>DAY(RESER3[[#This Row],[DATA]])</f>
        <v>15</v>
      </c>
      <c r="M79" s="36"/>
    </row>
    <row r="80" spans="1:13" x14ac:dyDescent="0.25">
      <c r="A80" s="36"/>
      <c r="B80" s="129" t="s">
        <v>9</v>
      </c>
      <c r="C80" s="28">
        <v>44305</v>
      </c>
      <c r="D80" s="36" t="s">
        <v>244</v>
      </c>
      <c r="E80" s="36" t="s">
        <v>190</v>
      </c>
      <c r="F80" s="36" t="s">
        <v>192</v>
      </c>
      <c r="G80" s="36" t="s">
        <v>193</v>
      </c>
      <c r="H80" s="36">
        <v>1</v>
      </c>
      <c r="I80" s="36" t="s">
        <v>179</v>
      </c>
      <c r="J80" s="36">
        <f>YEAR(RESER3[[#This Row],[DATA]])</f>
        <v>2021</v>
      </c>
      <c r="K80" s="36">
        <f t="shared" si="2"/>
        <v>4</v>
      </c>
      <c r="L80" s="36">
        <f>DAY(RESER3[[#This Row],[DATA]])</f>
        <v>19</v>
      </c>
      <c r="M80" s="36"/>
    </row>
    <row r="81" spans="1:13" x14ac:dyDescent="0.25">
      <c r="A81" s="36"/>
      <c r="B81" s="129" t="s">
        <v>9</v>
      </c>
      <c r="C81" s="28">
        <v>44305</v>
      </c>
      <c r="D81" s="36" t="s">
        <v>189</v>
      </c>
      <c r="E81" s="36" t="s">
        <v>190</v>
      </c>
      <c r="F81" s="36" t="s">
        <v>191</v>
      </c>
      <c r="G81" s="36" t="s">
        <v>191</v>
      </c>
      <c r="H81" s="36">
        <v>1</v>
      </c>
      <c r="I81" s="36" t="s">
        <v>179</v>
      </c>
      <c r="J81" s="36">
        <f>YEAR(RESER3[[#This Row],[DATA]])</f>
        <v>2021</v>
      </c>
      <c r="K81" s="36">
        <f t="shared" si="2"/>
        <v>4</v>
      </c>
      <c r="L81" s="36">
        <f>DAY(RESER3[[#This Row],[DATA]])</f>
        <v>19</v>
      </c>
      <c r="M81" s="36"/>
    </row>
    <row r="82" spans="1:13" x14ac:dyDescent="0.25">
      <c r="A82" s="36"/>
      <c r="B82" s="129" t="s">
        <v>9</v>
      </c>
      <c r="C82" s="28">
        <v>44305</v>
      </c>
      <c r="D82" s="36" t="s">
        <v>247</v>
      </c>
      <c r="E82" s="36" t="s">
        <v>190</v>
      </c>
      <c r="F82" s="36" t="s">
        <v>231</v>
      </c>
      <c r="G82" s="36" t="s">
        <v>248</v>
      </c>
      <c r="H82" s="36">
        <v>1</v>
      </c>
      <c r="I82" s="36" t="s">
        <v>179</v>
      </c>
      <c r="J82" s="36">
        <f>YEAR(RESER3[[#This Row],[DATA]])</f>
        <v>2021</v>
      </c>
      <c r="K82" s="36">
        <f t="shared" si="2"/>
        <v>4</v>
      </c>
      <c r="L82" s="36">
        <f>DAY(RESER3[[#This Row],[DATA]])</f>
        <v>19</v>
      </c>
      <c r="M82" s="36"/>
    </row>
    <row r="83" spans="1:13" x14ac:dyDescent="0.25">
      <c r="A83" s="36"/>
      <c r="B83" s="129" t="s">
        <v>9</v>
      </c>
      <c r="C83" s="28">
        <v>44309</v>
      </c>
      <c r="D83" s="36" t="s">
        <v>244</v>
      </c>
      <c r="E83" s="36" t="s">
        <v>190</v>
      </c>
      <c r="F83" s="36" t="s">
        <v>192</v>
      </c>
      <c r="G83" s="36" t="s">
        <v>193</v>
      </c>
      <c r="H83" s="36">
        <v>1</v>
      </c>
      <c r="I83" s="36" t="s">
        <v>179</v>
      </c>
      <c r="J83" s="36">
        <f>YEAR(RESER3[[#This Row],[DATA]])</f>
        <v>2021</v>
      </c>
      <c r="K83" s="36">
        <f t="shared" si="2"/>
        <v>4</v>
      </c>
      <c r="L83" s="36">
        <f>DAY(RESER3[[#This Row],[DATA]])</f>
        <v>23</v>
      </c>
      <c r="M83" s="36"/>
    </row>
    <row r="84" spans="1:13" x14ac:dyDescent="0.25">
      <c r="A84" s="36"/>
      <c r="B84" s="129" t="s">
        <v>9</v>
      </c>
      <c r="C84" s="28">
        <v>44320</v>
      </c>
      <c r="D84" s="36" t="s">
        <v>204</v>
      </c>
      <c r="E84" s="36" t="s">
        <v>190</v>
      </c>
      <c r="F84" s="36" t="s">
        <v>192</v>
      </c>
      <c r="G84" s="36" t="s">
        <v>235</v>
      </c>
      <c r="H84" s="36">
        <v>1</v>
      </c>
      <c r="I84" s="36" t="s">
        <v>179</v>
      </c>
      <c r="J84" s="36">
        <f>YEAR(RESER3[[#This Row],[DATA]])</f>
        <v>2021</v>
      </c>
      <c r="K84" s="36">
        <f t="shared" si="2"/>
        <v>5</v>
      </c>
      <c r="L84" s="36">
        <f>DAY(RESER3[[#This Row],[DATA]])</f>
        <v>4</v>
      </c>
      <c r="M84" s="36"/>
    </row>
    <row r="85" spans="1:13" x14ac:dyDescent="0.25">
      <c r="A85" s="36"/>
      <c r="B85" s="129" t="s">
        <v>9</v>
      </c>
      <c r="C85" s="28">
        <v>44320</v>
      </c>
      <c r="D85" s="36" t="s">
        <v>244</v>
      </c>
      <c r="E85" s="36" t="s">
        <v>190</v>
      </c>
      <c r="F85" s="36" t="s">
        <v>192</v>
      </c>
      <c r="G85" s="36" t="s">
        <v>235</v>
      </c>
      <c r="H85" s="36">
        <v>1</v>
      </c>
      <c r="I85" s="36" t="s">
        <v>179</v>
      </c>
      <c r="J85" s="36">
        <f>YEAR(RESER3[[#This Row],[DATA]])</f>
        <v>2021</v>
      </c>
      <c r="K85" s="36">
        <f t="shared" si="2"/>
        <v>5</v>
      </c>
      <c r="L85" s="36">
        <f>DAY(RESER3[[#This Row],[DATA]])</f>
        <v>4</v>
      </c>
      <c r="M85" s="36"/>
    </row>
    <row r="86" spans="1:13" x14ac:dyDescent="0.25">
      <c r="A86" s="36"/>
      <c r="B86" s="129" t="s">
        <v>9</v>
      </c>
      <c r="C86" s="28">
        <v>44329</v>
      </c>
      <c r="D86" s="36" t="s">
        <v>223</v>
      </c>
      <c r="E86" s="36" t="s">
        <v>190</v>
      </c>
      <c r="F86" s="36" t="s">
        <v>192</v>
      </c>
      <c r="G86" s="36" t="s">
        <v>214</v>
      </c>
      <c r="H86" s="36">
        <v>1</v>
      </c>
      <c r="I86" s="36" t="s">
        <v>179</v>
      </c>
      <c r="J86" s="36">
        <f>YEAR(RESER3[[#This Row],[DATA]])</f>
        <v>2021</v>
      </c>
      <c r="K86" s="36">
        <f t="shared" si="2"/>
        <v>5</v>
      </c>
      <c r="L86" s="36">
        <f>DAY(RESER3[[#This Row],[DATA]])</f>
        <v>13</v>
      </c>
      <c r="M86" s="36"/>
    </row>
    <row r="87" spans="1:13" x14ac:dyDescent="0.25">
      <c r="A87" s="36"/>
      <c r="B87" s="129" t="s">
        <v>9</v>
      </c>
      <c r="C87" s="28">
        <v>44303</v>
      </c>
      <c r="D87" s="36" t="s">
        <v>189</v>
      </c>
      <c r="E87" s="36" t="s">
        <v>190</v>
      </c>
      <c r="F87" s="36" t="s">
        <v>191</v>
      </c>
      <c r="G87" s="36" t="s">
        <v>191</v>
      </c>
      <c r="H87" s="36">
        <v>1</v>
      </c>
      <c r="I87" s="36" t="s">
        <v>179</v>
      </c>
      <c r="J87" s="36">
        <f>YEAR(RESER3[[#This Row],[DATA]])</f>
        <v>2021</v>
      </c>
      <c r="K87" s="36">
        <f t="shared" si="2"/>
        <v>4</v>
      </c>
      <c r="L87" s="36">
        <f>DAY(RESER3[[#This Row],[DATA]])</f>
        <v>17</v>
      </c>
      <c r="M87" s="36"/>
    </row>
    <row r="88" spans="1:13" x14ac:dyDescent="0.25">
      <c r="A88" s="36"/>
      <c r="B88" s="129" t="s">
        <v>9</v>
      </c>
      <c r="C88" s="28">
        <v>44303</v>
      </c>
      <c r="D88" s="36" t="s">
        <v>244</v>
      </c>
      <c r="E88" s="36" t="s">
        <v>222</v>
      </c>
      <c r="F88" s="36" t="s">
        <v>192</v>
      </c>
      <c r="G88" s="36" t="s">
        <v>193</v>
      </c>
      <c r="H88" s="36">
        <v>1</v>
      </c>
      <c r="I88" s="36" t="s">
        <v>179</v>
      </c>
      <c r="J88" s="36">
        <f>YEAR(RESER3[[#This Row],[DATA]])</f>
        <v>2021</v>
      </c>
      <c r="K88" s="36">
        <f t="shared" si="2"/>
        <v>4</v>
      </c>
      <c r="L88" s="36">
        <f>DAY(RESER3[[#This Row],[DATA]])</f>
        <v>17</v>
      </c>
      <c r="M88" s="36"/>
    </row>
    <row r="89" spans="1:13" x14ac:dyDescent="0.25">
      <c r="A89" s="36"/>
      <c r="B89" s="129" t="s">
        <v>9</v>
      </c>
      <c r="C89" s="28">
        <v>44340</v>
      </c>
      <c r="D89" s="36" t="s">
        <v>204</v>
      </c>
      <c r="E89" s="36" t="s">
        <v>222</v>
      </c>
      <c r="F89" s="36" t="s">
        <v>192</v>
      </c>
      <c r="G89" s="36" t="s">
        <v>193</v>
      </c>
      <c r="H89" s="36">
        <v>1</v>
      </c>
      <c r="I89" s="36" t="s">
        <v>179</v>
      </c>
      <c r="J89" s="36">
        <f>YEAR(RESER3[[#This Row],[DATA]])</f>
        <v>2021</v>
      </c>
      <c r="K89" s="36">
        <f t="shared" si="2"/>
        <v>5</v>
      </c>
      <c r="L89" s="36">
        <f>DAY(RESER3[[#This Row],[DATA]])</f>
        <v>24</v>
      </c>
      <c r="M89" s="36"/>
    </row>
    <row r="90" spans="1:13" x14ac:dyDescent="0.25">
      <c r="A90" s="36"/>
      <c r="B90" s="129" t="s">
        <v>9</v>
      </c>
      <c r="C90" s="28">
        <v>44342</v>
      </c>
      <c r="D90" s="36" t="s">
        <v>223</v>
      </c>
      <c r="E90" s="36" t="s">
        <v>190</v>
      </c>
      <c r="F90" s="36" t="s">
        <v>192</v>
      </c>
      <c r="G90" s="36" t="s">
        <v>193</v>
      </c>
      <c r="H90" s="36">
        <v>1</v>
      </c>
      <c r="I90" s="36" t="s">
        <v>179</v>
      </c>
      <c r="J90" s="36">
        <f>YEAR(RESER3[[#This Row],[DATA]])</f>
        <v>2021</v>
      </c>
      <c r="K90" s="36">
        <f t="shared" si="2"/>
        <v>5</v>
      </c>
      <c r="L90" s="36">
        <f>DAY(RESER3[[#This Row],[DATA]])</f>
        <v>26</v>
      </c>
      <c r="M90" s="36"/>
    </row>
    <row r="91" spans="1:13" x14ac:dyDescent="0.25">
      <c r="A91" s="36"/>
      <c r="B91" s="129" t="s">
        <v>9</v>
      </c>
      <c r="C91" s="28">
        <v>44356</v>
      </c>
      <c r="D91" s="36" t="s">
        <v>242</v>
      </c>
      <c r="E91" s="36" t="s">
        <v>222</v>
      </c>
      <c r="F91" s="36" t="s">
        <v>192</v>
      </c>
      <c r="G91" s="36" t="s">
        <v>193</v>
      </c>
      <c r="H91" s="36">
        <v>1</v>
      </c>
      <c r="I91" s="36" t="s">
        <v>179</v>
      </c>
      <c r="J91" s="36">
        <f>YEAR(RESER3[[#This Row],[DATA]])</f>
        <v>2021</v>
      </c>
      <c r="K91" s="36">
        <f t="shared" si="2"/>
        <v>6</v>
      </c>
      <c r="L91" s="36">
        <f>DAY(RESER3[[#This Row],[DATA]])</f>
        <v>9</v>
      </c>
      <c r="M91" s="36"/>
    </row>
    <row r="92" spans="1:13" x14ac:dyDescent="0.25">
      <c r="A92" s="36"/>
      <c r="B92" s="129" t="s">
        <v>9</v>
      </c>
      <c r="C92" s="28">
        <v>44361</v>
      </c>
      <c r="D92" s="36" t="s">
        <v>249</v>
      </c>
      <c r="E92" s="36" t="s">
        <v>190</v>
      </c>
      <c r="F92" s="36" t="s">
        <v>192</v>
      </c>
      <c r="G92" s="36" t="s">
        <v>193</v>
      </c>
      <c r="H92" s="36">
        <v>1</v>
      </c>
      <c r="I92" s="36" t="s">
        <v>179</v>
      </c>
      <c r="J92" s="36">
        <f>YEAR(RESER3[[#This Row],[DATA]])</f>
        <v>2021</v>
      </c>
      <c r="K92" s="36">
        <f t="shared" si="2"/>
        <v>6</v>
      </c>
      <c r="L92" s="36">
        <f>DAY(RESER3[[#This Row],[DATA]])</f>
        <v>14</v>
      </c>
      <c r="M92" s="36"/>
    </row>
    <row r="93" spans="1:13" x14ac:dyDescent="0.25">
      <c r="A93" s="36"/>
      <c r="B93" s="129" t="s">
        <v>9</v>
      </c>
      <c r="C93" s="28">
        <v>44361</v>
      </c>
      <c r="D93" s="36" t="s">
        <v>189</v>
      </c>
      <c r="E93" s="36" t="s">
        <v>190</v>
      </c>
      <c r="F93" s="36" t="s">
        <v>191</v>
      </c>
      <c r="G93" s="36" t="s">
        <v>191</v>
      </c>
      <c r="H93" s="36">
        <v>1</v>
      </c>
      <c r="I93" s="36" t="s">
        <v>179</v>
      </c>
      <c r="J93" s="36">
        <f>YEAR(RESER3[[#This Row],[DATA]])</f>
        <v>2021</v>
      </c>
      <c r="K93" s="36">
        <f t="shared" si="2"/>
        <v>6</v>
      </c>
      <c r="L93" s="36">
        <f>DAY(RESER3[[#This Row],[DATA]])</f>
        <v>14</v>
      </c>
      <c r="M93" s="36"/>
    </row>
    <row r="94" spans="1:13" x14ac:dyDescent="0.25">
      <c r="A94" s="36"/>
      <c r="B94" s="129" t="s">
        <v>9</v>
      </c>
      <c r="C94" s="28">
        <v>44362</v>
      </c>
      <c r="D94" s="36" t="s">
        <v>244</v>
      </c>
      <c r="E94" s="36" t="s">
        <v>190</v>
      </c>
      <c r="F94" s="36" t="s">
        <v>192</v>
      </c>
      <c r="G94" s="36" t="s">
        <v>193</v>
      </c>
      <c r="H94" s="36">
        <v>1</v>
      </c>
      <c r="I94" s="36" t="s">
        <v>179</v>
      </c>
      <c r="J94" s="36">
        <f>YEAR(RESER3[[#This Row],[DATA]])</f>
        <v>2021</v>
      </c>
      <c r="K94" s="36">
        <f t="shared" si="2"/>
        <v>6</v>
      </c>
      <c r="L94" s="36">
        <f>DAY(RESER3[[#This Row],[DATA]])</f>
        <v>15</v>
      </c>
      <c r="M94" s="36"/>
    </row>
    <row r="95" spans="1:13" x14ac:dyDescent="0.25">
      <c r="A95" s="36"/>
      <c r="B95" s="129" t="s">
        <v>10</v>
      </c>
      <c r="C95" s="28">
        <v>44273</v>
      </c>
      <c r="D95" s="36" t="s">
        <v>189</v>
      </c>
      <c r="E95" s="36" t="s">
        <v>190</v>
      </c>
      <c r="F95" s="36" t="s">
        <v>191</v>
      </c>
      <c r="G95" s="36" t="s">
        <v>250</v>
      </c>
      <c r="H95" s="36">
        <v>1</v>
      </c>
      <c r="I95" s="36" t="s">
        <v>179</v>
      </c>
      <c r="J95" s="36">
        <f>YEAR(RESER3[[#This Row],[DATA]])</f>
        <v>2021</v>
      </c>
      <c r="K95" s="36">
        <f t="shared" si="2"/>
        <v>3</v>
      </c>
      <c r="L95" s="36">
        <f>DAY(RESER3[[#This Row],[DATA]])</f>
        <v>18</v>
      </c>
      <c r="M95" s="36"/>
    </row>
    <row r="96" spans="1:13" x14ac:dyDescent="0.25">
      <c r="A96" s="36"/>
      <c r="B96" s="129" t="s">
        <v>10</v>
      </c>
      <c r="C96" s="28">
        <v>44273</v>
      </c>
      <c r="D96" s="36" t="s">
        <v>251</v>
      </c>
      <c r="E96" s="36" t="s">
        <v>190</v>
      </c>
      <c r="F96" s="36" t="s">
        <v>192</v>
      </c>
      <c r="G96" s="36" t="s">
        <v>193</v>
      </c>
      <c r="H96" s="36">
        <v>1</v>
      </c>
      <c r="I96" s="36" t="s">
        <v>179</v>
      </c>
      <c r="J96" s="36">
        <f>YEAR(RESER3[[#This Row],[DATA]])</f>
        <v>2021</v>
      </c>
      <c r="K96" s="36">
        <f t="shared" si="2"/>
        <v>3</v>
      </c>
      <c r="L96" s="36">
        <f>DAY(RESER3[[#This Row],[DATA]])</f>
        <v>18</v>
      </c>
      <c r="M96" s="36"/>
    </row>
    <row r="97" spans="1:13" x14ac:dyDescent="0.25">
      <c r="A97" s="36"/>
      <c r="B97" s="129" t="s">
        <v>10</v>
      </c>
      <c r="C97" s="28">
        <v>44280</v>
      </c>
      <c r="D97" s="36" t="s">
        <v>189</v>
      </c>
      <c r="E97" s="36" t="s">
        <v>222</v>
      </c>
      <c r="F97" s="36" t="s">
        <v>192</v>
      </c>
      <c r="G97" s="36" t="s">
        <v>193</v>
      </c>
      <c r="H97" s="36">
        <v>1</v>
      </c>
      <c r="I97" s="36" t="s">
        <v>179</v>
      </c>
      <c r="J97" s="36">
        <f>YEAR(RESER3[[#This Row],[DATA]])</f>
        <v>2021</v>
      </c>
      <c r="K97" s="36">
        <f t="shared" si="2"/>
        <v>3</v>
      </c>
      <c r="L97" s="36">
        <f>DAY(RESER3[[#This Row],[DATA]])</f>
        <v>25</v>
      </c>
      <c r="M97" s="36"/>
    </row>
    <row r="98" spans="1:13" x14ac:dyDescent="0.25">
      <c r="A98" s="36"/>
      <c r="B98" s="129" t="s">
        <v>10</v>
      </c>
      <c r="C98" s="28">
        <v>44280</v>
      </c>
      <c r="D98" s="36" t="s">
        <v>189</v>
      </c>
      <c r="E98" s="36" t="s">
        <v>190</v>
      </c>
      <c r="F98" s="36" t="s">
        <v>192</v>
      </c>
      <c r="G98" s="36" t="s">
        <v>193</v>
      </c>
      <c r="H98" s="36">
        <v>1</v>
      </c>
      <c r="I98" s="36" t="s">
        <v>179</v>
      </c>
      <c r="J98" s="36">
        <f>YEAR(RESER3[[#This Row],[DATA]])</f>
        <v>2021</v>
      </c>
      <c r="K98" s="36">
        <f t="shared" si="2"/>
        <v>3</v>
      </c>
      <c r="L98" s="36">
        <f>DAY(RESER3[[#This Row],[DATA]])</f>
        <v>25</v>
      </c>
      <c r="M98" s="36"/>
    </row>
    <row r="99" spans="1:13" x14ac:dyDescent="0.25">
      <c r="A99" s="36"/>
      <c r="B99" s="129" t="s">
        <v>10</v>
      </c>
      <c r="C99" s="28">
        <v>44298</v>
      </c>
      <c r="D99" s="36" t="s">
        <v>189</v>
      </c>
      <c r="E99" s="36" t="s">
        <v>222</v>
      </c>
      <c r="F99" s="36" t="s">
        <v>196</v>
      </c>
      <c r="G99" s="36" t="s">
        <v>197</v>
      </c>
      <c r="H99" s="36">
        <v>1</v>
      </c>
      <c r="I99" s="36" t="s">
        <v>179</v>
      </c>
      <c r="J99" s="36">
        <f>YEAR(RESER3[[#This Row],[DATA]])</f>
        <v>2021</v>
      </c>
      <c r="K99" s="36">
        <f t="shared" si="2"/>
        <v>4</v>
      </c>
      <c r="L99" s="36">
        <f>DAY(RESER3[[#This Row],[DATA]])</f>
        <v>12</v>
      </c>
      <c r="M99" s="36"/>
    </row>
    <row r="100" spans="1:13" x14ac:dyDescent="0.25">
      <c r="A100" s="36"/>
      <c r="B100" s="129" t="s">
        <v>10</v>
      </c>
      <c r="C100" s="28">
        <v>44302</v>
      </c>
      <c r="D100" s="36" t="s">
        <v>242</v>
      </c>
      <c r="E100" s="36" t="s">
        <v>190</v>
      </c>
      <c r="F100" s="36" t="s">
        <v>192</v>
      </c>
      <c r="G100" s="36" t="s">
        <v>193</v>
      </c>
      <c r="H100" s="36">
        <v>1</v>
      </c>
      <c r="I100" s="36" t="s">
        <v>179</v>
      </c>
      <c r="J100" s="36">
        <f>YEAR(RESER3[[#This Row],[DATA]])</f>
        <v>2021</v>
      </c>
      <c r="K100" s="36">
        <f t="shared" si="2"/>
        <v>4</v>
      </c>
      <c r="L100" s="36">
        <f>DAY(RESER3[[#This Row],[DATA]])</f>
        <v>16</v>
      </c>
      <c r="M100" s="36"/>
    </row>
    <row r="101" spans="1:13" x14ac:dyDescent="0.25">
      <c r="A101" s="36"/>
      <c r="B101" s="129" t="s">
        <v>10</v>
      </c>
      <c r="C101" s="28">
        <v>44302</v>
      </c>
      <c r="D101" s="36" t="s">
        <v>252</v>
      </c>
      <c r="E101" s="36" t="s">
        <v>190</v>
      </c>
      <c r="F101" s="36" t="s">
        <v>192</v>
      </c>
      <c r="G101" s="36" t="s">
        <v>193</v>
      </c>
      <c r="H101" s="36">
        <v>1</v>
      </c>
      <c r="I101" s="36" t="s">
        <v>179</v>
      </c>
      <c r="J101" s="36">
        <f>YEAR(RESER3[[#This Row],[DATA]])</f>
        <v>2021</v>
      </c>
      <c r="K101" s="36">
        <f t="shared" si="2"/>
        <v>4</v>
      </c>
      <c r="L101" s="36">
        <f>DAY(RESER3[[#This Row],[DATA]])</f>
        <v>16</v>
      </c>
      <c r="M101" s="36"/>
    </row>
    <row r="102" spans="1:13" x14ac:dyDescent="0.25">
      <c r="A102" s="36"/>
      <c r="B102" s="129" t="s">
        <v>10</v>
      </c>
      <c r="C102" s="28">
        <v>44316</v>
      </c>
      <c r="D102" s="36" t="s">
        <v>244</v>
      </c>
      <c r="E102" s="36" t="s">
        <v>222</v>
      </c>
      <c r="F102" s="36" t="s">
        <v>231</v>
      </c>
      <c r="G102" s="36" t="s">
        <v>253</v>
      </c>
      <c r="H102" s="36">
        <v>1</v>
      </c>
      <c r="I102" s="36" t="s">
        <v>179</v>
      </c>
      <c r="J102" s="36">
        <f>YEAR(RESER3[[#This Row],[DATA]])</f>
        <v>2021</v>
      </c>
      <c r="K102" s="36">
        <f t="shared" ref="K102:K133" si="3">MONTH(C102)</f>
        <v>4</v>
      </c>
      <c r="L102" s="36">
        <f>DAY(RESER3[[#This Row],[DATA]])</f>
        <v>30</v>
      </c>
      <c r="M102" s="36"/>
    </row>
    <row r="103" spans="1:13" x14ac:dyDescent="0.25">
      <c r="A103" s="36"/>
      <c r="B103" s="129" t="s">
        <v>10</v>
      </c>
      <c r="C103" s="28">
        <v>44327</v>
      </c>
      <c r="D103" s="36" t="s">
        <v>189</v>
      </c>
      <c r="E103" s="36" t="s">
        <v>190</v>
      </c>
      <c r="F103" s="36" t="s">
        <v>191</v>
      </c>
      <c r="G103" s="36" t="s">
        <v>250</v>
      </c>
      <c r="H103" s="36">
        <v>1</v>
      </c>
      <c r="I103" s="36" t="s">
        <v>179</v>
      </c>
      <c r="J103" s="36">
        <f>YEAR(RESER3[[#This Row],[DATA]])</f>
        <v>2021</v>
      </c>
      <c r="K103" s="36">
        <f t="shared" si="3"/>
        <v>5</v>
      </c>
      <c r="L103" s="36">
        <f>DAY(RESER3[[#This Row],[DATA]])</f>
        <v>11</v>
      </c>
      <c r="M103" s="36"/>
    </row>
    <row r="104" spans="1:13" x14ac:dyDescent="0.25">
      <c r="A104" s="36"/>
      <c r="B104" s="129" t="s">
        <v>10</v>
      </c>
      <c r="C104" s="28">
        <v>44328</v>
      </c>
      <c r="D104" s="36" t="s">
        <v>244</v>
      </c>
      <c r="E104" s="36" t="s">
        <v>190</v>
      </c>
      <c r="F104" s="36" t="s">
        <v>228</v>
      </c>
      <c r="G104" s="36" t="s">
        <v>254</v>
      </c>
      <c r="H104" s="36">
        <v>1</v>
      </c>
      <c r="I104" s="36" t="s">
        <v>179</v>
      </c>
      <c r="J104" s="36">
        <f>YEAR(RESER3[[#This Row],[DATA]])</f>
        <v>2021</v>
      </c>
      <c r="K104" s="36">
        <f t="shared" si="3"/>
        <v>5</v>
      </c>
      <c r="L104" s="36">
        <f>DAY(RESER3[[#This Row],[DATA]])</f>
        <v>12</v>
      </c>
      <c r="M104" s="36"/>
    </row>
    <row r="105" spans="1:13" x14ac:dyDescent="0.25">
      <c r="A105" s="36"/>
      <c r="B105" s="129" t="s">
        <v>10</v>
      </c>
      <c r="C105" s="28">
        <v>44303</v>
      </c>
      <c r="D105" s="36" t="s">
        <v>204</v>
      </c>
      <c r="E105" s="36" t="s">
        <v>222</v>
      </c>
      <c r="F105" s="36" t="s">
        <v>192</v>
      </c>
      <c r="G105" s="36" t="s">
        <v>193</v>
      </c>
      <c r="H105" s="36">
        <v>1</v>
      </c>
      <c r="I105" s="36" t="s">
        <v>179</v>
      </c>
      <c r="J105" s="36">
        <f>YEAR(RESER3[[#This Row],[DATA]])</f>
        <v>2021</v>
      </c>
      <c r="K105" s="36">
        <f t="shared" si="3"/>
        <v>4</v>
      </c>
      <c r="L105" s="36">
        <f>DAY(RESER3[[#This Row],[DATA]])</f>
        <v>17</v>
      </c>
      <c r="M105" s="36"/>
    </row>
    <row r="106" spans="1:13" x14ac:dyDescent="0.25">
      <c r="A106" s="36"/>
      <c r="B106" s="129" t="s">
        <v>10</v>
      </c>
      <c r="C106" s="28">
        <v>44336</v>
      </c>
      <c r="D106" s="36" t="s">
        <v>204</v>
      </c>
      <c r="E106" s="36" t="s">
        <v>190</v>
      </c>
      <c r="F106" s="36" t="s">
        <v>192</v>
      </c>
      <c r="G106" s="36" t="s">
        <v>193</v>
      </c>
      <c r="H106" s="36">
        <v>1</v>
      </c>
      <c r="I106" s="36" t="s">
        <v>179</v>
      </c>
      <c r="J106" s="36">
        <f>YEAR(RESER3[[#This Row],[DATA]])</f>
        <v>2021</v>
      </c>
      <c r="K106" s="36">
        <f t="shared" si="3"/>
        <v>5</v>
      </c>
      <c r="L106" s="36">
        <f>DAY(RESER3[[#This Row],[DATA]])</f>
        <v>20</v>
      </c>
      <c r="M106" s="36"/>
    </row>
    <row r="107" spans="1:13" x14ac:dyDescent="0.25">
      <c r="A107" s="36"/>
      <c r="B107" s="129" t="s">
        <v>10</v>
      </c>
      <c r="C107" s="28">
        <v>44337</v>
      </c>
      <c r="D107" s="36" t="s">
        <v>204</v>
      </c>
      <c r="E107" s="36" t="s">
        <v>190</v>
      </c>
      <c r="F107" s="36" t="s">
        <v>192</v>
      </c>
      <c r="G107" s="36" t="s">
        <v>193</v>
      </c>
      <c r="H107" s="36">
        <v>1</v>
      </c>
      <c r="I107" s="36" t="s">
        <v>179</v>
      </c>
      <c r="J107" s="36">
        <f>YEAR(RESER3[[#This Row],[DATA]])</f>
        <v>2021</v>
      </c>
      <c r="K107" s="36">
        <f t="shared" si="3"/>
        <v>5</v>
      </c>
      <c r="L107" s="36">
        <f>DAY(RESER3[[#This Row],[DATA]])</f>
        <v>21</v>
      </c>
      <c r="M107" s="36"/>
    </row>
    <row r="108" spans="1:13" x14ac:dyDescent="0.25">
      <c r="A108" s="36"/>
      <c r="B108" s="129" t="s">
        <v>10</v>
      </c>
      <c r="C108" s="28">
        <v>44341</v>
      </c>
      <c r="D108" s="36" t="s">
        <v>238</v>
      </c>
      <c r="E108" s="36" t="s">
        <v>190</v>
      </c>
      <c r="F108" s="36" t="s">
        <v>191</v>
      </c>
      <c r="G108" s="36" t="s">
        <v>191</v>
      </c>
      <c r="H108" s="36">
        <v>1</v>
      </c>
      <c r="I108" s="36" t="s">
        <v>179</v>
      </c>
      <c r="J108" s="36">
        <f>YEAR(RESER3[[#This Row],[DATA]])</f>
        <v>2021</v>
      </c>
      <c r="K108" s="36">
        <f t="shared" si="3"/>
        <v>5</v>
      </c>
      <c r="L108" s="36">
        <f>DAY(RESER3[[#This Row],[DATA]])</f>
        <v>25</v>
      </c>
      <c r="M108" s="36"/>
    </row>
    <row r="109" spans="1:13" x14ac:dyDescent="0.25">
      <c r="A109" s="36"/>
      <c r="B109" s="129" t="s">
        <v>10</v>
      </c>
      <c r="C109" s="28">
        <v>44344</v>
      </c>
      <c r="D109" s="36" t="s">
        <v>255</v>
      </c>
      <c r="E109" s="36" t="s">
        <v>190</v>
      </c>
      <c r="F109" s="36" t="s">
        <v>245</v>
      </c>
      <c r="G109" s="36" t="s">
        <v>245</v>
      </c>
      <c r="H109" s="36">
        <v>1</v>
      </c>
      <c r="I109" s="36" t="s">
        <v>179</v>
      </c>
      <c r="J109" s="36">
        <f>YEAR(RESER3[[#This Row],[DATA]])</f>
        <v>2021</v>
      </c>
      <c r="K109" s="36">
        <f t="shared" si="3"/>
        <v>5</v>
      </c>
      <c r="L109" s="36">
        <f>DAY(RESER3[[#This Row],[DATA]])</f>
        <v>28</v>
      </c>
      <c r="M109" s="36"/>
    </row>
    <row r="110" spans="1:13" x14ac:dyDescent="0.25">
      <c r="A110" s="36"/>
      <c r="B110" s="129" t="s">
        <v>10</v>
      </c>
      <c r="C110" s="28">
        <v>44344</v>
      </c>
      <c r="D110" s="36" t="s">
        <v>242</v>
      </c>
      <c r="E110" s="36" t="s">
        <v>190</v>
      </c>
      <c r="F110" s="36" t="s">
        <v>192</v>
      </c>
      <c r="G110" s="36" t="s">
        <v>193</v>
      </c>
      <c r="H110" s="36">
        <v>1</v>
      </c>
      <c r="I110" s="36" t="s">
        <v>179</v>
      </c>
      <c r="J110" s="36">
        <f>YEAR(RESER3[[#This Row],[DATA]])</f>
        <v>2021</v>
      </c>
      <c r="K110" s="36">
        <f t="shared" si="3"/>
        <v>5</v>
      </c>
      <c r="L110" s="36">
        <f>DAY(RESER3[[#This Row],[DATA]])</f>
        <v>28</v>
      </c>
      <c r="M110" s="36"/>
    </row>
    <row r="111" spans="1:13" x14ac:dyDescent="0.25">
      <c r="A111" s="36"/>
      <c r="B111" s="129" t="s">
        <v>10</v>
      </c>
      <c r="C111" s="28">
        <v>44347</v>
      </c>
      <c r="D111" s="36" t="s">
        <v>242</v>
      </c>
      <c r="E111" s="36" t="s">
        <v>222</v>
      </c>
      <c r="F111" s="36" t="s">
        <v>196</v>
      </c>
      <c r="G111" s="36" t="s">
        <v>256</v>
      </c>
      <c r="H111" s="36">
        <v>1</v>
      </c>
      <c r="I111" s="36" t="s">
        <v>179</v>
      </c>
      <c r="J111" s="36">
        <f>YEAR(RESER3[[#This Row],[DATA]])</f>
        <v>2021</v>
      </c>
      <c r="K111" s="36">
        <f t="shared" si="3"/>
        <v>5</v>
      </c>
      <c r="L111" s="36">
        <f>DAY(RESER3[[#This Row],[DATA]])</f>
        <v>31</v>
      </c>
      <c r="M111" s="36"/>
    </row>
    <row r="112" spans="1:13" x14ac:dyDescent="0.25">
      <c r="A112" s="36"/>
      <c r="B112" s="129" t="s">
        <v>10</v>
      </c>
      <c r="C112" s="28">
        <v>44348</v>
      </c>
      <c r="D112" s="36" t="s">
        <v>242</v>
      </c>
      <c r="E112" s="36" t="s">
        <v>190</v>
      </c>
      <c r="F112" s="36" t="s">
        <v>192</v>
      </c>
      <c r="G112" s="36" t="s">
        <v>193</v>
      </c>
      <c r="H112" s="36">
        <v>1</v>
      </c>
      <c r="I112" s="36" t="s">
        <v>179</v>
      </c>
      <c r="J112" s="36">
        <f>YEAR(RESER3[[#This Row],[DATA]])</f>
        <v>2021</v>
      </c>
      <c r="K112" s="36">
        <f t="shared" si="3"/>
        <v>6</v>
      </c>
      <c r="L112" s="36">
        <f>DAY(RESER3[[#This Row],[DATA]])</f>
        <v>1</v>
      </c>
      <c r="M112" s="36"/>
    </row>
    <row r="113" spans="1:13" x14ac:dyDescent="0.25">
      <c r="A113" s="36"/>
      <c r="B113" s="129" t="s">
        <v>10</v>
      </c>
      <c r="C113" s="28">
        <v>44354</v>
      </c>
      <c r="D113" s="36" t="s">
        <v>255</v>
      </c>
      <c r="E113" s="36" t="s">
        <v>190</v>
      </c>
      <c r="F113" s="36" t="s">
        <v>191</v>
      </c>
      <c r="G113" s="36" t="s">
        <v>191</v>
      </c>
      <c r="H113" s="36">
        <v>1</v>
      </c>
      <c r="I113" s="36" t="s">
        <v>179</v>
      </c>
      <c r="J113" s="36">
        <f>YEAR(RESER3[[#This Row],[DATA]])</f>
        <v>2021</v>
      </c>
      <c r="K113" s="36">
        <f t="shared" si="3"/>
        <v>6</v>
      </c>
      <c r="L113" s="36">
        <f>DAY(RESER3[[#This Row],[DATA]])</f>
        <v>7</v>
      </c>
      <c r="M113" s="36"/>
    </row>
    <row r="114" spans="1:13" x14ac:dyDescent="0.25">
      <c r="A114" s="36"/>
      <c r="B114" s="129" t="s">
        <v>10</v>
      </c>
      <c r="C114" s="28">
        <v>44358</v>
      </c>
      <c r="D114" s="36" t="s">
        <v>255</v>
      </c>
      <c r="E114" s="36" t="s">
        <v>190</v>
      </c>
      <c r="F114" s="36" t="s">
        <v>192</v>
      </c>
      <c r="G114" s="36" t="s">
        <v>193</v>
      </c>
      <c r="H114" s="36">
        <v>1</v>
      </c>
      <c r="I114" s="36" t="s">
        <v>179</v>
      </c>
      <c r="J114" s="36">
        <f>YEAR(RESER3[[#This Row],[DATA]])</f>
        <v>2021</v>
      </c>
      <c r="K114" s="36">
        <f t="shared" si="3"/>
        <v>6</v>
      </c>
      <c r="L114" s="36">
        <f>DAY(RESER3[[#This Row],[DATA]])</f>
        <v>11</v>
      </c>
      <c r="M114" s="36"/>
    </row>
    <row r="115" spans="1:13" x14ac:dyDescent="0.25">
      <c r="A115" s="36"/>
      <c r="B115" s="129" t="s">
        <v>10</v>
      </c>
      <c r="C115" s="28">
        <v>44365</v>
      </c>
      <c r="D115" s="36" t="s">
        <v>242</v>
      </c>
      <c r="E115" s="36" t="s">
        <v>190</v>
      </c>
      <c r="F115" s="36" t="s">
        <v>228</v>
      </c>
      <c r="G115" s="36" t="s">
        <v>257</v>
      </c>
      <c r="H115" s="36">
        <v>1</v>
      </c>
      <c r="I115" s="36" t="s">
        <v>179</v>
      </c>
      <c r="J115" s="36">
        <f>YEAR(RESER3[[#This Row],[DATA]])</f>
        <v>2021</v>
      </c>
      <c r="K115" s="36">
        <f t="shared" si="3"/>
        <v>6</v>
      </c>
      <c r="L115" s="36">
        <f>DAY(RESER3[[#This Row],[DATA]])</f>
        <v>18</v>
      </c>
      <c r="M115" s="36"/>
    </row>
    <row r="116" spans="1:13" x14ac:dyDescent="0.25">
      <c r="A116" s="36"/>
      <c r="B116" s="129" t="s">
        <v>13</v>
      </c>
      <c r="C116" s="28">
        <v>44265</v>
      </c>
      <c r="D116" s="36" t="s">
        <v>251</v>
      </c>
      <c r="E116" s="36" t="s">
        <v>222</v>
      </c>
      <c r="F116" s="36" t="s">
        <v>191</v>
      </c>
      <c r="G116" s="36" t="s">
        <v>191</v>
      </c>
      <c r="H116" s="36">
        <v>1</v>
      </c>
      <c r="I116" s="36" t="s">
        <v>179</v>
      </c>
      <c r="J116" s="36">
        <f>YEAR(RESER3[[#This Row],[DATA]])</f>
        <v>2021</v>
      </c>
      <c r="K116" s="36">
        <f t="shared" si="3"/>
        <v>3</v>
      </c>
      <c r="L116" s="36">
        <f>DAY(RESER3[[#This Row],[DATA]])</f>
        <v>10</v>
      </c>
      <c r="M116" s="36"/>
    </row>
    <row r="117" spans="1:13" x14ac:dyDescent="0.25">
      <c r="A117" s="36"/>
      <c r="B117" s="129" t="s">
        <v>13</v>
      </c>
      <c r="C117" s="28">
        <v>44267</v>
      </c>
      <c r="D117" s="36" t="s">
        <v>258</v>
      </c>
      <c r="E117" s="36" t="s">
        <v>222</v>
      </c>
      <c r="F117" s="36" t="s">
        <v>228</v>
      </c>
      <c r="G117" s="36" t="s">
        <v>259</v>
      </c>
      <c r="H117" s="36">
        <v>1</v>
      </c>
      <c r="I117" s="36" t="s">
        <v>179</v>
      </c>
      <c r="J117" s="36">
        <f>YEAR(RESER3[[#This Row],[DATA]])</f>
        <v>2021</v>
      </c>
      <c r="K117" s="36">
        <f t="shared" si="3"/>
        <v>3</v>
      </c>
      <c r="L117" s="36">
        <f>DAY(RESER3[[#This Row],[DATA]])</f>
        <v>12</v>
      </c>
      <c r="M117" s="36"/>
    </row>
    <row r="118" spans="1:13" x14ac:dyDescent="0.25">
      <c r="A118" s="36"/>
      <c r="B118" s="129" t="s">
        <v>13</v>
      </c>
      <c r="C118" s="28">
        <v>44270</v>
      </c>
      <c r="D118" s="36" t="s">
        <v>260</v>
      </c>
      <c r="E118" s="36" t="s">
        <v>222</v>
      </c>
      <c r="F118" s="36" t="s">
        <v>192</v>
      </c>
      <c r="G118" s="36" t="s">
        <v>261</v>
      </c>
      <c r="H118" s="36">
        <v>1</v>
      </c>
      <c r="I118" s="36" t="s">
        <v>179</v>
      </c>
      <c r="J118" s="36">
        <f>YEAR(RESER3[[#This Row],[DATA]])</f>
        <v>2021</v>
      </c>
      <c r="K118" s="36">
        <f t="shared" si="3"/>
        <v>3</v>
      </c>
      <c r="L118" s="36">
        <f>DAY(RESER3[[#This Row],[DATA]])</f>
        <v>15</v>
      </c>
      <c r="M118" s="36"/>
    </row>
    <row r="119" spans="1:13" x14ac:dyDescent="0.25">
      <c r="A119" s="36"/>
      <c r="B119" s="129" t="s">
        <v>13</v>
      </c>
      <c r="C119" s="28">
        <v>44270</v>
      </c>
      <c r="D119" s="36" t="s">
        <v>258</v>
      </c>
      <c r="E119" s="36" t="s">
        <v>222</v>
      </c>
      <c r="F119" s="36" t="s">
        <v>191</v>
      </c>
      <c r="G119" s="36" t="s">
        <v>191</v>
      </c>
      <c r="H119" s="36">
        <v>1</v>
      </c>
      <c r="I119" s="36" t="s">
        <v>179</v>
      </c>
      <c r="J119" s="36">
        <f>YEAR(RESER3[[#This Row],[DATA]])</f>
        <v>2021</v>
      </c>
      <c r="K119" s="36">
        <f t="shared" si="3"/>
        <v>3</v>
      </c>
      <c r="L119" s="36">
        <f>DAY(RESER3[[#This Row],[DATA]])</f>
        <v>15</v>
      </c>
      <c r="M119" s="36"/>
    </row>
    <row r="120" spans="1:13" x14ac:dyDescent="0.25">
      <c r="A120" s="36"/>
      <c r="B120" s="129" t="s">
        <v>13</v>
      </c>
      <c r="C120" s="28">
        <v>44270</v>
      </c>
      <c r="D120" s="36" t="s">
        <v>258</v>
      </c>
      <c r="E120" s="36" t="s">
        <v>222</v>
      </c>
      <c r="F120" s="36" t="s">
        <v>202</v>
      </c>
      <c r="G120" s="36" t="s">
        <v>262</v>
      </c>
      <c r="H120" s="36">
        <v>1</v>
      </c>
      <c r="I120" s="36" t="s">
        <v>179</v>
      </c>
      <c r="J120" s="36">
        <f>YEAR(RESER3[[#This Row],[DATA]])</f>
        <v>2021</v>
      </c>
      <c r="K120" s="36">
        <f t="shared" si="3"/>
        <v>3</v>
      </c>
      <c r="L120" s="36">
        <f>DAY(RESER3[[#This Row],[DATA]])</f>
        <v>15</v>
      </c>
      <c r="M120" s="36"/>
    </row>
    <row r="121" spans="1:13" x14ac:dyDescent="0.25">
      <c r="A121" s="36"/>
      <c r="B121" s="129" t="s">
        <v>13</v>
      </c>
      <c r="C121" s="28">
        <v>44270</v>
      </c>
      <c r="D121" s="36" t="s">
        <v>263</v>
      </c>
      <c r="E121" s="36" t="s">
        <v>222</v>
      </c>
      <c r="F121" s="36" t="s">
        <v>192</v>
      </c>
      <c r="G121" s="36" t="s">
        <v>261</v>
      </c>
      <c r="H121" s="36">
        <v>1</v>
      </c>
      <c r="I121" s="36" t="s">
        <v>179</v>
      </c>
      <c r="J121" s="36">
        <f>YEAR(RESER3[[#This Row],[DATA]])</f>
        <v>2021</v>
      </c>
      <c r="K121" s="36">
        <f t="shared" si="3"/>
        <v>3</v>
      </c>
      <c r="L121" s="36">
        <f>DAY(RESER3[[#This Row],[DATA]])</f>
        <v>15</v>
      </c>
      <c r="M121" s="36"/>
    </row>
    <row r="122" spans="1:13" x14ac:dyDescent="0.25">
      <c r="A122" s="36"/>
      <c r="B122" s="129" t="s">
        <v>13</v>
      </c>
      <c r="C122" s="28">
        <v>44271</v>
      </c>
      <c r="D122" s="36" t="s">
        <v>240</v>
      </c>
      <c r="E122" s="36" t="s">
        <v>190</v>
      </c>
      <c r="F122" s="36" t="s">
        <v>192</v>
      </c>
      <c r="G122" s="36" t="s">
        <v>193</v>
      </c>
      <c r="H122" s="36">
        <v>1</v>
      </c>
      <c r="I122" s="36" t="s">
        <v>179</v>
      </c>
      <c r="J122" s="36">
        <f>YEAR(RESER3[[#This Row],[DATA]])</f>
        <v>2021</v>
      </c>
      <c r="K122" s="36">
        <f t="shared" si="3"/>
        <v>3</v>
      </c>
      <c r="L122" s="36">
        <f>DAY(RESER3[[#This Row],[DATA]])</f>
        <v>16</v>
      </c>
      <c r="M122" s="36"/>
    </row>
    <row r="123" spans="1:13" x14ac:dyDescent="0.25">
      <c r="A123" s="36"/>
      <c r="B123" s="129" t="s">
        <v>13</v>
      </c>
      <c r="C123" s="28">
        <v>44274</v>
      </c>
      <c r="D123" s="36" t="s">
        <v>264</v>
      </c>
      <c r="E123" s="36" t="s">
        <v>222</v>
      </c>
      <c r="F123" s="36" t="s">
        <v>192</v>
      </c>
      <c r="G123" s="36" t="s">
        <v>193</v>
      </c>
      <c r="H123" s="36">
        <v>1</v>
      </c>
      <c r="I123" s="36" t="s">
        <v>179</v>
      </c>
      <c r="J123" s="36">
        <f>YEAR(RESER3[[#This Row],[DATA]])</f>
        <v>2021</v>
      </c>
      <c r="K123" s="36">
        <f t="shared" si="3"/>
        <v>3</v>
      </c>
      <c r="L123" s="36">
        <f>DAY(RESER3[[#This Row],[DATA]])</f>
        <v>19</v>
      </c>
      <c r="M123" s="36"/>
    </row>
    <row r="124" spans="1:13" x14ac:dyDescent="0.25">
      <c r="A124" s="36"/>
      <c r="B124" s="129" t="s">
        <v>13</v>
      </c>
      <c r="C124" s="28">
        <v>44277</v>
      </c>
      <c r="D124" s="36" t="s">
        <v>260</v>
      </c>
      <c r="E124" s="36" t="s">
        <v>222</v>
      </c>
      <c r="F124" s="36" t="s">
        <v>228</v>
      </c>
      <c r="G124" s="36" t="s">
        <v>259</v>
      </c>
      <c r="H124" s="36">
        <v>1</v>
      </c>
      <c r="I124" s="36" t="s">
        <v>179</v>
      </c>
      <c r="J124" s="36">
        <f>YEAR(RESER3[[#This Row],[DATA]])</f>
        <v>2021</v>
      </c>
      <c r="K124" s="36">
        <f t="shared" si="3"/>
        <v>3</v>
      </c>
      <c r="L124" s="36">
        <f>DAY(RESER3[[#This Row],[DATA]])</f>
        <v>22</v>
      </c>
      <c r="M124" s="36"/>
    </row>
    <row r="125" spans="1:13" x14ac:dyDescent="0.25">
      <c r="A125" s="36"/>
      <c r="B125" s="129" t="s">
        <v>13</v>
      </c>
      <c r="C125" s="28">
        <v>44277</v>
      </c>
      <c r="D125" s="36" t="s">
        <v>189</v>
      </c>
      <c r="E125" s="36" t="s">
        <v>190</v>
      </c>
      <c r="F125" s="36" t="s">
        <v>228</v>
      </c>
      <c r="G125" s="36" t="s">
        <v>259</v>
      </c>
      <c r="H125" s="36">
        <v>1</v>
      </c>
      <c r="I125" s="36" t="s">
        <v>179</v>
      </c>
      <c r="J125" s="36">
        <f>YEAR(RESER3[[#This Row],[DATA]])</f>
        <v>2021</v>
      </c>
      <c r="K125" s="36">
        <f t="shared" si="3"/>
        <v>3</v>
      </c>
      <c r="L125" s="36">
        <f>DAY(RESER3[[#This Row],[DATA]])</f>
        <v>22</v>
      </c>
      <c r="M125" s="36"/>
    </row>
    <row r="126" spans="1:13" x14ac:dyDescent="0.25">
      <c r="A126" s="36"/>
      <c r="B126" s="129" t="s">
        <v>13</v>
      </c>
      <c r="C126" s="28">
        <v>44278</v>
      </c>
      <c r="D126" s="36" t="s">
        <v>189</v>
      </c>
      <c r="E126" s="36" t="s">
        <v>190</v>
      </c>
      <c r="F126" s="36" t="s">
        <v>191</v>
      </c>
      <c r="G126" s="36" t="s">
        <v>191</v>
      </c>
      <c r="H126" s="36">
        <v>1</v>
      </c>
      <c r="I126" s="36" t="s">
        <v>179</v>
      </c>
      <c r="J126" s="36">
        <f>YEAR(RESER3[[#This Row],[DATA]])</f>
        <v>2021</v>
      </c>
      <c r="K126" s="36">
        <f t="shared" si="3"/>
        <v>3</v>
      </c>
      <c r="L126" s="36">
        <f>DAY(RESER3[[#This Row],[DATA]])</f>
        <v>23</v>
      </c>
      <c r="M126" s="36"/>
    </row>
    <row r="127" spans="1:13" x14ac:dyDescent="0.25">
      <c r="A127" s="36"/>
      <c r="B127" s="129" t="s">
        <v>13</v>
      </c>
      <c r="C127" s="28">
        <v>44287</v>
      </c>
      <c r="D127" s="36" t="s">
        <v>189</v>
      </c>
      <c r="E127" s="36" t="s">
        <v>190</v>
      </c>
      <c r="F127" s="36" t="s">
        <v>192</v>
      </c>
      <c r="G127" s="36" t="s">
        <v>193</v>
      </c>
      <c r="H127" s="36">
        <v>1</v>
      </c>
      <c r="I127" s="36" t="s">
        <v>179</v>
      </c>
      <c r="J127" s="36">
        <f>YEAR(RESER3[[#This Row],[DATA]])</f>
        <v>2021</v>
      </c>
      <c r="K127" s="36">
        <f t="shared" si="3"/>
        <v>4</v>
      </c>
      <c r="L127" s="36">
        <f>DAY(RESER3[[#This Row],[DATA]])</f>
        <v>1</v>
      </c>
      <c r="M127" s="36"/>
    </row>
    <row r="128" spans="1:13" x14ac:dyDescent="0.25">
      <c r="A128" s="36"/>
      <c r="B128" s="129" t="s">
        <v>13</v>
      </c>
      <c r="C128" s="28">
        <v>44287</v>
      </c>
      <c r="D128" s="36" t="s">
        <v>189</v>
      </c>
      <c r="E128" s="36" t="s">
        <v>190</v>
      </c>
      <c r="F128" s="36" t="s">
        <v>191</v>
      </c>
      <c r="G128" s="36" t="s">
        <v>191</v>
      </c>
      <c r="H128" s="36">
        <v>1</v>
      </c>
      <c r="I128" s="36" t="s">
        <v>179</v>
      </c>
      <c r="J128" s="36">
        <f>YEAR(RESER3[[#This Row],[DATA]])</f>
        <v>2021</v>
      </c>
      <c r="K128" s="36">
        <f t="shared" si="3"/>
        <v>4</v>
      </c>
      <c r="L128" s="36">
        <f>DAY(RESER3[[#This Row],[DATA]])</f>
        <v>1</v>
      </c>
      <c r="M128" s="36"/>
    </row>
    <row r="129" spans="1:13" x14ac:dyDescent="0.25">
      <c r="A129" s="36"/>
      <c r="B129" s="129" t="s">
        <v>13</v>
      </c>
      <c r="C129" s="28">
        <v>44287</v>
      </c>
      <c r="D129" s="36" t="s">
        <v>189</v>
      </c>
      <c r="E129" s="36" t="s">
        <v>190</v>
      </c>
      <c r="F129" s="36" t="s">
        <v>192</v>
      </c>
      <c r="G129" s="36" t="s">
        <v>193</v>
      </c>
      <c r="H129" s="36">
        <v>1</v>
      </c>
      <c r="I129" s="36" t="s">
        <v>179</v>
      </c>
      <c r="J129" s="36">
        <f>YEAR(RESER3[[#This Row],[DATA]])</f>
        <v>2021</v>
      </c>
      <c r="K129" s="36">
        <f t="shared" si="3"/>
        <v>4</v>
      </c>
      <c r="L129" s="36">
        <f>DAY(RESER3[[#This Row],[DATA]])</f>
        <v>1</v>
      </c>
      <c r="M129" s="36"/>
    </row>
    <row r="130" spans="1:13" x14ac:dyDescent="0.25">
      <c r="A130" s="36"/>
      <c r="B130" s="129" t="s">
        <v>13</v>
      </c>
      <c r="C130" s="28">
        <v>44291</v>
      </c>
      <c r="D130" s="36" t="s">
        <v>189</v>
      </c>
      <c r="E130" s="36" t="s">
        <v>222</v>
      </c>
      <c r="F130" s="36" t="s">
        <v>265</v>
      </c>
      <c r="G130" s="36" t="s">
        <v>266</v>
      </c>
      <c r="H130" s="36">
        <v>1</v>
      </c>
      <c r="I130" s="36" t="s">
        <v>179</v>
      </c>
      <c r="J130" s="36">
        <f>YEAR(RESER3[[#This Row],[DATA]])</f>
        <v>2021</v>
      </c>
      <c r="K130" s="36">
        <f t="shared" si="3"/>
        <v>4</v>
      </c>
      <c r="L130" s="36">
        <f>DAY(RESER3[[#This Row],[DATA]])</f>
        <v>5</v>
      </c>
      <c r="M130" s="36"/>
    </row>
    <row r="131" spans="1:13" x14ac:dyDescent="0.25">
      <c r="A131" s="36"/>
      <c r="B131" s="129" t="s">
        <v>13</v>
      </c>
      <c r="C131" s="28">
        <v>44292</v>
      </c>
      <c r="D131" s="36" t="s">
        <v>189</v>
      </c>
      <c r="E131" s="36" t="s">
        <v>190</v>
      </c>
      <c r="F131" s="36" t="s">
        <v>192</v>
      </c>
      <c r="G131" s="36" t="s">
        <v>193</v>
      </c>
      <c r="H131" s="36">
        <v>1</v>
      </c>
      <c r="I131" s="36" t="s">
        <v>179</v>
      </c>
      <c r="J131" s="36">
        <f>YEAR(RESER3[[#This Row],[DATA]])</f>
        <v>2021</v>
      </c>
      <c r="K131" s="36">
        <f t="shared" si="3"/>
        <v>4</v>
      </c>
      <c r="L131" s="36">
        <f>DAY(RESER3[[#This Row],[DATA]])</f>
        <v>6</v>
      </c>
      <c r="M131" s="36"/>
    </row>
    <row r="132" spans="1:13" x14ac:dyDescent="0.25">
      <c r="A132" s="36"/>
      <c r="B132" s="129" t="s">
        <v>13</v>
      </c>
      <c r="C132" s="28">
        <v>44302</v>
      </c>
      <c r="D132" s="36" t="s">
        <v>267</v>
      </c>
      <c r="E132" s="36" t="s">
        <v>190</v>
      </c>
      <c r="F132" s="36" t="s">
        <v>192</v>
      </c>
      <c r="G132" s="36" t="s">
        <v>193</v>
      </c>
      <c r="H132" s="36">
        <v>1</v>
      </c>
      <c r="I132" s="36" t="s">
        <v>179</v>
      </c>
      <c r="J132" s="36">
        <f>YEAR(RESER3[[#This Row],[DATA]])</f>
        <v>2021</v>
      </c>
      <c r="K132" s="36">
        <f t="shared" si="3"/>
        <v>4</v>
      </c>
      <c r="L132" s="36">
        <f>DAY(RESER3[[#This Row],[DATA]])</f>
        <v>16</v>
      </c>
      <c r="M132" s="36"/>
    </row>
    <row r="133" spans="1:13" x14ac:dyDescent="0.25">
      <c r="A133" s="36"/>
      <c r="B133" s="129" t="s">
        <v>13</v>
      </c>
      <c r="C133" s="28">
        <v>44306</v>
      </c>
      <c r="D133" s="36" t="s">
        <v>189</v>
      </c>
      <c r="E133" s="36" t="s">
        <v>190</v>
      </c>
      <c r="F133" s="36" t="s">
        <v>191</v>
      </c>
      <c r="G133" s="36" t="s">
        <v>191</v>
      </c>
      <c r="H133" s="36">
        <v>1</v>
      </c>
      <c r="I133" s="36" t="s">
        <v>179</v>
      </c>
      <c r="J133" s="36">
        <f>YEAR(RESER3[[#This Row],[DATA]])</f>
        <v>2021</v>
      </c>
      <c r="K133" s="36">
        <f t="shared" si="3"/>
        <v>4</v>
      </c>
      <c r="L133" s="36">
        <f>DAY(RESER3[[#This Row],[DATA]])</f>
        <v>20</v>
      </c>
      <c r="M133" s="36"/>
    </row>
    <row r="134" spans="1:13" x14ac:dyDescent="0.25">
      <c r="A134" s="36"/>
      <c r="B134" s="129" t="s">
        <v>13</v>
      </c>
      <c r="C134" s="28">
        <v>44306</v>
      </c>
      <c r="D134" s="36" t="s">
        <v>268</v>
      </c>
      <c r="E134" s="36" t="s">
        <v>190</v>
      </c>
      <c r="F134" s="36" t="s">
        <v>192</v>
      </c>
      <c r="G134" s="36" t="s">
        <v>193</v>
      </c>
      <c r="H134" s="36">
        <v>1</v>
      </c>
      <c r="I134" s="36" t="s">
        <v>179</v>
      </c>
      <c r="J134" s="36">
        <f>YEAR(RESER3[[#This Row],[DATA]])</f>
        <v>2021</v>
      </c>
      <c r="K134" s="36">
        <f t="shared" ref="K134:K165" si="4">MONTH(C134)</f>
        <v>4</v>
      </c>
      <c r="L134" s="36">
        <f>DAY(RESER3[[#This Row],[DATA]])</f>
        <v>20</v>
      </c>
      <c r="M134" s="36"/>
    </row>
    <row r="135" spans="1:13" x14ac:dyDescent="0.25">
      <c r="A135" s="36"/>
      <c r="B135" s="129" t="s">
        <v>13</v>
      </c>
      <c r="C135" s="28">
        <v>44306</v>
      </c>
      <c r="D135" s="36" t="s">
        <v>269</v>
      </c>
      <c r="E135" s="36" t="s">
        <v>222</v>
      </c>
      <c r="F135" s="36" t="s">
        <v>270</v>
      </c>
      <c r="G135" s="36" t="s">
        <v>271</v>
      </c>
      <c r="H135" s="36">
        <v>1</v>
      </c>
      <c r="I135" s="36" t="s">
        <v>179</v>
      </c>
      <c r="J135" s="36">
        <f>YEAR(RESER3[[#This Row],[DATA]])</f>
        <v>2021</v>
      </c>
      <c r="K135" s="36">
        <f t="shared" si="4"/>
        <v>4</v>
      </c>
      <c r="L135" s="36">
        <f>DAY(RESER3[[#This Row],[DATA]])</f>
        <v>20</v>
      </c>
      <c r="M135" s="36"/>
    </row>
    <row r="136" spans="1:13" x14ac:dyDescent="0.25">
      <c r="A136" s="36"/>
      <c r="B136" s="129" t="s">
        <v>13</v>
      </c>
      <c r="C136" s="28">
        <v>44340</v>
      </c>
      <c r="D136" s="36" t="s">
        <v>240</v>
      </c>
      <c r="E136" s="36" t="s">
        <v>190</v>
      </c>
      <c r="F136" s="36" t="s">
        <v>265</v>
      </c>
      <c r="G136" s="36" t="s">
        <v>266</v>
      </c>
      <c r="H136" s="36">
        <v>1</v>
      </c>
      <c r="I136" s="36" t="s">
        <v>179</v>
      </c>
      <c r="J136" s="36">
        <f>YEAR(RESER3[[#This Row],[DATA]])</f>
        <v>2021</v>
      </c>
      <c r="K136" s="36">
        <f t="shared" si="4"/>
        <v>5</v>
      </c>
      <c r="L136" s="36">
        <f>DAY(RESER3[[#This Row],[DATA]])</f>
        <v>24</v>
      </c>
      <c r="M136" s="36"/>
    </row>
    <row r="137" spans="1:13" x14ac:dyDescent="0.25">
      <c r="A137" s="36"/>
      <c r="B137" s="129" t="s">
        <v>21</v>
      </c>
      <c r="C137" s="28">
        <v>44221</v>
      </c>
      <c r="D137" s="36" t="s">
        <v>272</v>
      </c>
      <c r="E137" s="36" t="s">
        <v>222</v>
      </c>
      <c r="F137" s="36" t="s">
        <v>458</v>
      </c>
      <c r="G137" s="36" t="s">
        <v>458</v>
      </c>
      <c r="H137" s="36">
        <v>1</v>
      </c>
      <c r="I137" s="36" t="s">
        <v>179</v>
      </c>
      <c r="J137" s="36">
        <f>YEAR(RESER3[[#This Row],[DATA]])</f>
        <v>2021</v>
      </c>
      <c r="K137" s="36">
        <f t="shared" si="4"/>
        <v>1</v>
      </c>
      <c r="L137" s="36">
        <f>DAY(RESER3[[#This Row],[DATA]])</f>
        <v>25</v>
      </c>
      <c r="M137" s="36"/>
    </row>
    <row r="138" spans="1:13" x14ac:dyDescent="0.25">
      <c r="A138" s="36"/>
      <c r="B138" s="129" t="s">
        <v>21</v>
      </c>
      <c r="C138" s="28">
        <v>44221</v>
      </c>
      <c r="D138" s="36" t="s">
        <v>263</v>
      </c>
      <c r="E138" s="36" t="s">
        <v>222</v>
      </c>
      <c r="F138" s="36" t="s">
        <v>192</v>
      </c>
      <c r="G138" s="36" t="s">
        <v>273</v>
      </c>
      <c r="H138" s="36">
        <v>1</v>
      </c>
      <c r="I138" s="36" t="s">
        <v>179</v>
      </c>
      <c r="J138" s="36">
        <f>YEAR(RESER3[[#This Row],[DATA]])</f>
        <v>2021</v>
      </c>
      <c r="K138" s="36">
        <f t="shared" si="4"/>
        <v>1</v>
      </c>
      <c r="L138" s="36">
        <f>DAY(RESER3[[#This Row],[DATA]])</f>
        <v>25</v>
      </c>
      <c r="M138" s="36"/>
    </row>
    <row r="139" spans="1:13" x14ac:dyDescent="0.25">
      <c r="A139" s="36"/>
      <c r="B139" s="129" t="s">
        <v>21</v>
      </c>
      <c r="C139" s="28">
        <v>44235</v>
      </c>
      <c r="D139" s="36" t="s">
        <v>274</v>
      </c>
      <c r="E139" s="36" t="s">
        <v>222</v>
      </c>
      <c r="F139" s="36" t="s">
        <v>192</v>
      </c>
      <c r="G139" s="36" t="s">
        <v>193</v>
      </c>
      <c r="H139" s="36">
        <v>1</v>
      </c>
      <c r="I139" s="36" t="s">
        <v>179</v>
      </c>
      <c r="J139" s="36">
        <f>YEAR(RESER3[[#This Row],[DATA]])</f>
        <v>2021</v>
      </c>
      <c r="K139" s="36">
        <f t="shared" si="4"/>
        <v>2</v>
      </c>
      <c r="L139" s="36">
        <f>DAY(RESER3[[#This Row],[DATA]])</f>
        <v>8</v>
      </c>
      <c r="M139" s="36"/>
    </row>
    <row r="140" spans="1:13" x14ac:dyDescent="0.25">
      <c r="A140" s="36"/>
      <c r="B140" s="129" t="s">
        <v>21</v>
      </c>
      <c r="C140" s="28">
        <v>44237</v>
      </c>
      <c r="D140" s="36" t="s">
        <v>258</v>
      </c>
      <c r="E140" s="36" t="s">
        <v>222</v>
      </c>
      <c r="F140" s="36" t="s">
        <v>228</v>
      </c>
      <c r="G140" s="36" t="s">
        <v>259</v>
      </c>
      <c r="H140" s="36">
        <v>1</v>
      </c>
      <c r="I140" s="36" t="s">
        <v>179</v>
      </c>
      <c r="J140" s="36">
        <f>YEAR(RESER3[[#This Row],[DATA]])</f>
        <v>2021</v>
      </c>
      <c r="K140" s="36">
        <f t="shared" si="4"/>
        <v>2</v>
      </c>
      <c r="L140" s="36">
        <f>DAY(RESER3[[#This Row],[DATA]])</f>
        <v>10</v>
      </c>
      <c r="M140" s="36"/>
    </row>
    <row r="141" spans="1:13" x14ac:dyDescent="0.25">
      <c r="A141" s="36"/>
      <c r="B141" s="129" t="s">
        <v>21</v>
      </c>
      <c r="C141" s="28">
        <v>44238</v>
      </c>
      <c r="D141" s="36" t="s">
        <v>272</v>
      </c>
      <c r="E141" s="36" t="s">
        <v>222</v>
      </c>
      <c r="F141" s="36" t="s">
        <v>192</v>
      </c>
      <c r="G141" s="36" t="s">
        <v>193</v>
      </c>
      <c r="H141" s="36">
        <v>1</v>
      </c>
      <c r="I141" s="36" t="s">
        <v>179</v>
      </c>
      <c r="J141" s="36">
        <f>YEAR(RESER3[[#This Row],[DATA]])</f>
        <v>2021</v>
      </c>
      <c r="K141" s="36">
        <f t="shared" si="4"/>
        <v>2</v>
      </c>
      <c r="L141" s="36">
        <f>DAY(RESER3[[#This Row],[DATA]])</f>
        <v>11</v>
      </c>
      <c r="M141" s="36"/>
    </row>
    <row r="142" spans="1:13" x14ac:dyDescent="0.25">
      <c r="A142" s="36"/>
      <c r="B142" s="129" t="s">
        <v>21</v>
      </c>
      <c r="C142" s="28">
        <v>44245</v>
      </c>
      <c r="D142" s="36" t="s">
        <v>272</v>
      </c>
      <c r="E142" s="36" t="s">
        <v>222</v>
      </c>
      <c r="F142" s="36" t="s">
        <v>458</v>
      </c>
      <c r="G142" s="36" t="s">
        <v>458</v>
      </c>
      <c r="H142" s="36">
        <v>1</v>
      </c>
      <c r="I142" s="36" t="s">
        <v>179</v>
      </c>
      <c r="J142" s="36">
        <f>YEAR(RESER3[[#This Row],[DATA]])</f>
        <v>2021</v>
      </c>
      <c r="K142" s="36">
        <f t="shared" si="4"/>
        <v>2</v>
      </c>
      <c r="L142" s="36">
        <f>DAY(RESER3[[#This Row],[DATA]])</f>
        <v>18</v>
      </c>
      <c r="M142" s="36"/>
    </row>
    <row r="143" spans="1:13" x14ac:dyDescent="0.25">
      <c r="A143" s="36"/>
      <c r="B143" s="129" t="s">
        <v>21</v>
      </c>
      <c r="C143" s="28">
        <v>44277</v>
      </c>
      <c r="D143" s="36" t="s">
        <v>275</v>
      </c>
      <c r="E143" s="36" t="s">
        <v>222</v>
      </c>
      <c r="F143" s="36" t="s">
        <v>458</v>
      </c>
      <c r="G143" s="36" t="s">
        <v>458</v>
      </c>
      <c r="H143" s="36">
        <v>1</v>
      </c>
      <c r="I143" s="36" t="s">
        <v>179</v>
      </c>
      <c r="J143" s="36">
        <f>YEAR(RESER3[[#This Row],[DATA]])</f>
        <v>2021</v>
      </c>
      <c r="K143" s="36">
        <f t="shared" si="4"/>
        <v>3</v>
      </c>
      <c r="L143" s="36">
        <f>DAY(RESER3[[#This Row],[DATA]])</f>
        <v>22</v>
      </c>
      <c r="M143" s="36"/>
    </row>
    <row r="144" spans="1:13" x14ac:dyDescent="0.25">
      <c r="A144" s="36"/>
      <c r="B144" s="129" t="s">
        <v>21</v>
      </c>
      <c r="C144" s="28">
        <v>44277</v>
      </c>
      <c r="D144" s="36" t="s">
        <v>189</v>
      </c>
      <c r="E144" s="36" t="s">
        <v>190</v>
      </c>
      <c r="F144" s="36" t="s">
        <v>191</v>
      </c>
      <c r="G144" s="36" t="s">
        <v>458</v>
      </c>
      <c r="H144" s="36">
        <v>1</v>
      </c>
      <c r="I144" s="36" t="s">
        <v>179</v>
      </c>
      <c r="J144" s="36">
        <f>YEAR(RESER3[[#This Row],[DATA]])</f>
        <v>2021</v>
      </c>
      <c r="K144" s="36">
        <f t="shared" si="4"/>
        <v>3</v>
      </c>
      <c r="L144" s="36">
        <f>DAY(RESER3[[#This Row],[DATA]])</f>
        <v>22</v>
      </c>
      <c r="M144" s="36"/>
    </row>
    <row r="145" spans="1:13" x14ac:dyDescent="0.25">
      <c r="A145" s="36"/>
      <c r="B145" s="129" t="s">
        <v>21</v>
      </c>
      <c r="C145" s="28">
        <v>44278</v>
      </c>
      <c r="D145" s="36" t="s">
        <v>189</v>
      </c>
      <c r="E145" s="36" t="s">
        <v>190</v>
      </c>
      <c r="F145" s="36" t="s">
        <v>192</v>
      </c>
      <c r="G145" s="36" t="s">
        <v>193</v>
      </c>
      <c r="H145" s="36">
        <v>1</v>
      </c>
      <c r="I145" s="36" t="s">
        <v>179</v>
      </c>
      <c r="J145" s="36">
        <f>YEAR(RESER3[[#This Row],[DATA]])</f>
        <v>2021</v>
      </c>
      <c r="K145" s="36">
        <f t="shared" si="4"/>
        <v>3</v>
      </c>
      <c r="L145" s="36">
        <f>DAY(RESER3[[#This Row],[DATA]])</f>
        <v>23</v>
      </c>
      <c r="M145" s="36"/>
    </row>
    <row r="146" spans="1:13" x14ac:dyDescent="0.25">
      <c r="A146" s="36"/>
      <c r="B146" s="129" t="s">
        <v>21</v>
      </c>
      <c r="C146" s="28">
        <v>44278</v>
      </c>
      <c r="D146" s="36" t="s">
        <v>189</v>
      </c>
      <c r="E146" s="36" t="s">
        <v>190</v>
      </c>
      <c r="F146" s="36" t="s">
        <v>192</v>
      </c>
      <c r="G146" s="36" t="s">
        <v>193</v>
      </c>
      <c r="H146" s="36">
        <v>1</v>
      </c>
      <c r="I146" s="36" t="s">
        <v>179</v>
      </c>
      <c r="J146" s="36">
        <f>YEAR(RESER3[[#This Row],[DATA]])</f>
        <v>2021</v>
      </c>
      <c r="K146" s="36">
        <f t="shared" si="4"/>
        <v>3</v>
      </c>
      <c r="L146" s="36">
        <f>DAY(RESER3[[#This Row],[DATA]])</f>
        <v>23</v>
      </c>
      <c r="M146" s="36"/>
    </row>
    <row r="147" spans="1:13" x14ac:dyDescent="0.25">
      <c r="A147" s="36"/>
      <c r="B147" s="129" t="s">
        <v>21</v>
      </c>
      <c r="C147" s="28">
        <v>44278</v>
      </c>
      <c r="D147" s="36" t="s">
        <v>189</v>
      </c>
      <c r="E147" s="36" t="s">
        <v>190</v>
      </c>
      <c r="F147" s="36" t="s">
        <v>192</v>
      </c>
      <c r="G147" s="36" t="s">
        <v>193</v>
      </c>
      <c r="H147" s="36">
        <v>1</v>
      </c>
      <c r="I147" s="36" t="s">
        <v>179</v>
      </c>
      <c r="J147" s="36">
        <f>YEAR(RESER3[[#This Row],[DATA]])</f>
        <v>2021</v>
      </c>
      <c r="K147" s="36">
        <f t="shared" si="4"/>
        <v>3</v>
      </c>
      <c r="L147" s="36">
        <f>DAY(RESER3[[#This Row],[DATA]])</f>
        <v>23</v>
      </c>
      <c r="M147" s="36"/>
    </row>
    <row r="148" spans="1:13" x14ac:dyDescent="0.25">
      <c r="A148" s="36"/>
      <c r="B148" s="129" t="s">
        <v>21</v>
      </c>
      <c r="C148" s="28">
        <v>44278</v>
      </c>
      <c r="D148" s="36" t="s">
        <v>275</v>
      </c>
      <c r="E148" s="36" t="s">
        <v>222</v>
      </c>
      <c r="F148" s="36" t="s">
        <v>458</v>
      </c>
      <c r="G148" s="36" t="s">
        <v>458</v>
      </c>
      <c r="H148" s="36">
        <v>1</v>
      </c>
      <c r="I148" s="36" t="s">
        <v>179</v>
      </c>
      <c r="J148" s="36">
        <f>YEAR(RESER3[[#This Row],[DATA]])</f>
        <v>2021</v>
      </c>
      <c r="K148" s="36">
        <f t="shared" si="4"/>
        <v>3</v>
      </c>
      <c r="L148" s="36">
        <f>DAY(RESER3[[#This Row],[DATA]])</f>
        <v>23</v>
      </c>
      <c r="M148" s="36"/>
    </row>
    <row r="149" spans="1:13" x14ac:dyDescent="0.25">
      <c r="A149" s="36"/>
      <c r="B149" s="129" t="s">
        <v>21</v>
      </c>
      <c r="C149" s="28">
        <v>44285</v>
      </c>
      <c r="D149" s="36" t="s">
        <v>189</v>
      </c>
      <c r="E149" s="36" t="s">
        <v>190</v>
      </c>
      <c r="F149" s="36" t="s">
        <v>245</v>
      </c>
      <c r="G149" s="36" t="s">
        <v>276</v>
      </c>
      <c r="H149" s="36">
        <v>1</v>
      </c>
      <c r="I149" s="36" t="s">
        <v>179</v>
      </c>
      <c r="J149" s="36">
        <f>YEAR(RESER3[[#This Row],[DATA]])</f>
        <v>2021</v>
      </c>
      <c r="K149" s="36">
        <f t="shared" si="4"/>
        <v>3</v>
      </c>
      <c r="L149" s="36">
        <f>DAY(RESER3[[#This Row],[DATA]])</f>
        <v>30</v>
      </c>
      <c r="M149" s="36"/>
    </row>
    <row r="150" spans="1:13" x14ac:dyDescent="0.25">
      <c r="A150" s="36"/>
      <c r="B150" s="129" t="s">
        <v>21</v>
      </c>
      <c r="C150" s="28">
        <v>44293</v>
      </c>
      <c r="D150" s="36" t="s">
        <v>189</v>
      </c>
      <c r="E150" s="36" t="s">
        <v>190</v>
      </c>
      <c r="F150" s="36" t="s">
        <v>192</v>
      </c>
      <c r="G150" s="36" t="s">
        <v>193</v>
      </c>
      <c r="H150" s="36">
        <v>1</v>
      </c>
      <c r="I150" s="36" t="s">
        <v>179</v>
      </c>
      <c r="J150" s="36">
        <f>YEAR(RESER3[[#This Row],[DATA]])</f>
        <v>2021</v>
      </c>
      <c r="K150" s="36">
        <f t="shared" si="4"/>
        <v>4</v>
      </c>
      <c r="L150" s="36">
        <f>DAY(RESER3[[#This Row],[DATA]])</f>
        <v>7</v>
      </c>
      <c r="M150" s="36"/>
    </row>
    <row r="151" spans="1:13" x14ac:dyDescent="0.25">
      <c r="A151" s="36"/>
      <c r="B151" s="129" t="s">
        <v>21</v>
      </c>
      <c r="C151" s="28">
        <v>44299</v>
      </c>
      <c r="D151" s="36" t="s">
        <v>189</v>
      </c>
      <c r="E151" s="36" t="s">
        <v>190</v>
      </c>
      <c r="F151" s="36" t="s">
        <v>265</v>
      </c>
      <c r="G151" s="36" t="s">
        <v>266</v>
      </c>
      <c r="H151" s="36">
        <v>1</v>
      </c>
      <c r="I151" s="36" t="s">
        <v>179</v>
      </c>
      <c r="J151" s="36">
        <f>YEAR(RESER3[[#This Row],[DATA]])</f>
        <v>2021</v>
      </c>
      <c r="K151" s="36">
        <f t="shared" si="4"/>
        <v>4</v>
      </c>
      <c r="L151" s="36">
        <f>DAY(RESER3[[#This Row],[DATA]])</f>
        <v>13</v>
      </c>
      <c r="M151" s="36"/>
    </row>
    <row r="152" spans="1:13" x14ac:dyDescent="0.25">
      <c r="A152" s="36"/>
      <c r="B152" s="129" t="s">
        <v>21</v>
      </c>
      <c r="C152" s="28">
        <v>44302</v>
      </c>
      <c r="D152" s="36" t="s">
        <v>233</v>
      </c>
      <c r="E152" s="36" t="s">
        <v>190</v>
      </c>
      <c r="F152" s="36" t="s">
        <v>191</v>
      </c>
      <c r="G152" s="36" t="s">
        <v>458</v>
      </c>
      <c r="H152" s="36">
        <v>1</v>
      </c>
      <c r="I152" s="36" t="s">
        <v>179</v>
      </c>
      <c r="J152" s="36">
        <f>YEAR(RESER3[[#This Row],[DATA]])</f>
        <v>2021</v>
      </c>
      <c r="K152" s="36">
        <f t="shared" si="4"/>
        <v>4</v>
      </c>
      <c r="L152" s="36">
        <f>DAY(RESER3[[#This Row],[DATA]])</f>
        <v>16</v>
      </c>
      <c r="M152" s="36"/>
    </row>
    <row r="153" spans="1:13" x14ac:dyDescent="0.25">
      <c r="A153" s="36"/>
      <c r="B153" s="129" t="s">
        <v>21</v>
      </c>
      <c r="C153" s="28">
        <v>44308</v>
      </c>
      <c r="D153" s="36" t="s">
        <v>272</v>
      </c>
      <c r="E153" s="36" t="s">
        <v>222</v>
      </c>
      <c r="F153" s="36" t="s">
        <v>192</v>
      </c>
      <c r="G153" s="36" t="s">
        <v>193</v>
      </c>
      <c r="H153" s="36">
        <v>1</v>
      </c>
      <c r="I153" s="36" t="s">
        <v>179</v>
      </c>
      <c r="J153" s="36">
        <f>YEAR(RESER3[[#This Row],[DATA]])</f>
        <v>2021</v>
      </c>
      <c r="K153" s="36">
        <f t="shared" si="4"/>
        <v>4</v>
      </c>
      <c r="L153" s="36">
        <f>DAY(RESER3[[#This Row],[DATA]])</f>
        <v>22</v>
      </c>
      <c r="M153" s="36"/>
    </row>
    <row r="154" spans="1:13" x14ac:dyDescent="0.25">
      <c r="A154" s="36"/>
      <c r="B154" s="129" t="s">
        <v>21</v>
      </c>
      <c r="C154" s="28">
        <v>44329</v>
      </c>
      <c r="D154" s="36" t="s">
        <v>258</v>
      </c>
      <c r="E154" s="36" t="s">
        <v>190</v>
      </c>
      <c r="F154" s="36" t="s">
        <v>192</v>
      </c>
      <c r="G154" s="36" t="s">
        <v>214</v>
      </c>
      <c r="H154" s="36">
        <v>1</v>
      </c>
      <c r="I154" s="36" t="s">
        <v>179</v>
      </c>
      <c r="J154" s="36">
        <f>YEAR(RESER3[[#This Row],[DATA]])</f>
        <v>2021</v>
      </c>
      <c r="K154" s="36">
        <f t="shared" si="4"/>
        <v>5</v>
      </c>
      <c r="L154" s="36">
        <f>DAY(RESER3[[#This Row],[DATA]])</f>
        <v>13</v>
      </c>
      <c r="M154" s="36"/>
    </row>
    <row r="155" spans="1:13" x14ac:dyDescent="0.25">
      <c r="A155" s="36"/>
      <c r="B155" s="129" t="s">
        <v>21</v>
      </c>
      <c r="C155" s="28">
        <v>44330</v>
      </c>
      <c r="D155" s="36" t="s">
        <v>258</v>
      </c>
      <c r="E155" s="36" t="s">
        <v>222</v>
      </c>
      <c r="F155" s="36" t="s">
        <v>192</v>
      </c>
      <c r="G155" s="36" t="s">
        <v>193</v>
      </c>
      <c r="H155" s="36">
        <v>1</v>
      </c>
      <c r="I155" s="36" t="s">
        <v>179</v>
      </c>
      <c r="J155" s="36">
        <f>YEAR(RESER3[[#This Row],[DATA]])</f>
        <v>2021</v>
      </c>
      <c r="K155" s="36">
        <f t="shared" si="4"/>
        <v>5</v>
      </c>
      <c r="L155" s="36">
        <f>DAY(RESER3[[#This Row],[DATA]])</f>
        <v>14</v>
      </c>
      <c r="M155" s="36"/>
    </row>
    <row r="156" spans="1:13" x14ac:dyDescent="0.25">
      <c r="A156" s="36"/>
      <c r="B156" s="129" t="s">
        <v>21</v>
      </c>
      <c r="C156" s="28">
        <v>44330</v>
      </c>
      <c r="D156" s="36" t="s">
        <v>233</v>
      </c>
      <c r="E156" s="36" t="s">
        <v>190</v>
      </c>
      <c r="F156" s="36" t="s">
        <v>191</v>
      </c>
      <c r="G156" s="36" t="s">
        <v>458</v>
      </c>
      <c r="H156" s="36">
        <v>1</v>
      </c>
      <c r="I156" s="36" t="s">
        <v>179</v>
      </c>
      <c r="J156" s="36">
        <f>YEAR(RESER3[[#This Row],[DATA]])</f>
        <v>2021</v>
      </c>
      <c r="K156" s="36">
        <f t="shared" si="4"/>
        <v>5</v>
      </c>
      <c r="L156" s="36">
        <f>DAY(RESER3[[#This Row],[DATA]])</f>
        <v>14</v>
      </c>
      <c r="M156" s="36"/>
    </row>
    <row r="157" spans="1:13" x14ac:dyDescent="0.25">
      <c r="A157" s="36"/>
      <c r="B157" s="129" t="s">
        <v>21</v>
      </c>
      <c r="C157" s="28">
        <v>44330</v>
      </c>
      <c r="D157" s="36" t="s">
        <v>233</v>
      </c>
      <c r="E157" s="36" t="s">
        <v>222</v>
      </c>
      <c r="F157" s="36" t="s">
        <v>228</v>
      </c>
      <c r="G157" s="36" t="s">
        <v>259</v>
      </c>
      <c r="H157" s="36">
        <v>1</v>
      </c>
      <c r="I157" s="36" t="s">
        <v>179</v>
      </c>
      <c r="J157" s="36">
        <f>YEAR(RESER3[[#This Row],[DATA]])</f>
        <v>2021</v>
      </c>
      <c r="K157" s="36">
        <f t="shared" si="4"/>
        <v>5</v>
      </c>
      <c r="L157" s="36">
        <f>DAY(RESER3[[#This Row],[DATA]])</f>
        <v>14</v>
      </c>
      <c r="M157" s="36"/>
    </row>
    <row r="158" spans="1:13" x14ac:dyDescent="0.25">
      <c r="A158" s="36"/>
      <c r="B158" s="129" t="s">
        <v>21</v>
      </c>
      <c r="C158" s="28">
        <v>44305</v>
      </c>
      <c r="D158" s="36" t="s">
        <v>268</v>
      </c>
      <c r="E158" s="36" t="s">
        <v>222</v>
      </c>
      <c r="F158" s="36" t="s">
        <v>192</v>
      </c>
      <c r="G158" s="36" t="s">
        <v>193</v>
      </c>
      <c r="H158" s="36">
        <v>1</v>
      </c>
      <c r="I158" s="36" t="s">
        <v>179</v>
      </c>
      <c r="J158" s="36">
        <f>YEAR(RESER3[[#This Row],[DATA]])</f>
        <v>2021</v>
      </c>
      <c r="K158" s="36">
        <f t="shared" si="4"/>
        <v>4</v>
      </c>
      <c r="L158" s="36">
        <f>DAY(RESER3[[#This Row],[DATA]])</f>
        <v>19</v>
      </c>
      <c r="M158" s="36"/>
    </row>
    <row r="159" spans="1:13" x14ac:dyDescent="0.25">
      <c r="A159" s="36"/>
      <c r="B159" s="129" t="s">
        <v>21</v>
      </c>
      <c r="C159" s="28">
        <v>44343</v>
      </c>
      <c r="D159" s="36" t="s">
        <v>277</v>
      </c>
      <c r="E159" s="36" t="s">
        <v>190</v>
      </c>
      <c r="F159" s="36" t="s">
        <v>192</v>
      </c>
      <c r="G159" s="36" t="s">
        <v>278</v>
      </c>
      <c r="H159" s="36">
        <v>1</v>
      </c>
      <c r="I159" s="36" t="s">
        <v>179</v>
      </c>
      <c r="J159" s="36">
        <f>YEAR(RESER3[[#This Row],[DATA]])</f>
        <v>2021</v>
      </c>
      <c r="K159" s="36">
        <f t="shared" si="4"/>
        <v>5</v>
      </c>
      <c r="L159" s="36">
        <f>DAY(RESER3[[#This Row],[DATA]])</f>
        <v>27</v>
      </c>
      <c r="M159" s="36"/>
    </row>
    <row r="160" spans="1:13" x14ac:dyDescent="0.25">
      <c r="A160" s="36"/>
      <c r="B160" s="129" t="s">
        <v>21</v>
      </c>
      <c r="C160" s="28">
        <v>44343</v>
      </c>
      <c r="D160" s="36" t="s">
        <v>277</v>
      </c>
      <c r="E160" s="36" t="s">
        <v>190</v>
      </c>
      <c r="F160" s="36" t="s">
        <v>192</v>
      </c>
      <c r="G160" s="36" t="s">
        <v>235</v>
      </c>
      <c r="H160" s="36">
        <v>1</v>
      </c>
      <c r="I160" s="36" t="s">
        <v>179</v>
      </c>
      <c r="J160" s="36">
        <f>YEAR(RESER3[[#This Row],[DATA]])</f>
        <v>2021</v>
      </c>
      <c r="K160" s="36">
        <f t="shared" si="4"/>
        <v>5</v>
      </c>
      <c r="L160" s="36">
        <f>DAY(RESER3[[#This Row],[DATA]])</f>
        <v>27</v>
      </c>
      <c r="M160" s="36"/>
    </row>
    <row r="161" spans="1:13" x14ac:dyDescent="0.25">
      <c r="A161" s="36"/>
      <c r="B161" s="129" t="s">
        <v>21</v>
      </c>
      <c r="C161" s="28">
        <v>44347</v>
      </c>
      <c r="D161" s="36" t="s">
        <v>277</v>
      </c>
      <c r="E161" s="36" t="s">
        <v>190</v>
      </c>
      <c r="F161" s="36" t="s">
        <v>228</v>
      </c>
      <c r="G161" s="36" t="s">
        <v>259</v>
      </c>
      <c r="H161" s="36">
        <v>1</v>
      </c>
      <c r="I161" s="36" t="s">
        <v>179</v>
      </c>
      <c r="J161" s="36">
        <f>YEAR(RESER3[[#This Row],[DATA]])</f>
        <v>2021</v>
      </c>
      <c r="K161" s="36">
        <f t="shared" si="4"/>
        <v>5</v>
      </c>
      <c r="L161" s="36">
        <f>DAY(RESER3[[#This Row],[DATA]])</f>
        <v>31</v>
      </c>
      <c r="M161" s="36"/>
    </row>
    <row r="162" spans="1:13" x14ac:dyDescent="0.25">
      <c r="A162" s="36"/>
      <c r="B162" s="129" t="s">
        <v>22</v>
      </c>
      <c r="C162" s="28">
        <v>44245</v>
      </c>
      <c r="D162" s="36" t="s">
        <v>233</v>
      </c>
      <c r="E162" s="36" t="s">
        <v>222</v>
      </c>
      <c r="F162" s="36" t="s">
        <v>228</v>
      </c>
      <c r="G162" s="36" t="s">
        <v>259</v>
      </c>
      <c r="H162" s="36">
        <v>1</v>
      </c>
      <c r="I162" s="36" t="s">
        <v>179</v>
      </c>
      <c r="J162" s="36">
        <f>YEAR(RESER3[[#This Row],[DATA]])</f>
        <v>2021</v>
      </c>
      <c r="K162" s="36">
        <f t="shared" si="4"/>
        <v>2</v>
      </c>
      <c r="L162" s="36">
        <f>DAY(RESER3[[#This Row],[DATA]])</f>
        <v>18</v>
      </c>
      <c r="M162" s="36"/>
    </row>
    <row r="163" spans="1:13" x14ac:dyDescent="0.25">
      <c r="A163" s="36"/>
      <c r="B163" s="129" t="s">
        <v>22</v>
      </c>
      <c r="C163" s="28">
        <v>44245</v>
      </c>
      <c r="D163" s="36" t="s">
        <v>274</v>
      </c>
      <c r="E163" s="36" t="s">
        <v>222</v>
      </c>
      <c r="F163" s="36" t="s">
        <v>196</v>
      </c>
      <c r="G163" s="36" t="s">
        <v>279</v>
      </c>
      <c r="H163" s="36">
        <v>1</v>
      </c>
      <c r="I163" s="36" t="s">
        <v>179</v>
      </c>
      <c r="J163" s="36">
        <f>YEAR(RESER3[[#This Row],[DATA]])</f>
        <v>2021</v>
      </c>
      <c r="K163" s="36">
        <f t="shared" si="4"/>
        <v>2</v>
      </c>
      <c r="L163" s="36">
        <f>DAY(RESER3[[#This Row],[DATA]])</f>
        <v>18</v>
      </c>
      <c r="M163" s="36"/>
    </row>
    <row r="164" spans="1:13" x14ac:dyDescent="0.25">
      <c r="A164" s="36"/>
      <c r="B164" s="129" t="s">
        <v>22</v>
      </c>
      <c r="C164" s="28">
        <v>44252</v>
      </c>
      <c r="D164" s="36" t="s">
        <v>280</v>
      </c>
      <c r="E164" s="36" t="s">
        <v>222</v>
      </c>
      <c r="F164" s="36" t="s">
        <v>458</v>
      </c>
      <c r="G164" s="36" t="s">
        <v>458</v>
      </c>
      <c r="H164" s="36">
        <v>1</v>
      </c>
      <c r="I164" s="36" t="s">
        <v>179</v>
      </c>
      <c r="J164" s="36">
        <f>YEAR(RESER3[[#This Row],[DATA]])</f>
        <v>2021</v>
      </c>
      <c r="K164" s="36">
        <f t="shared" si="4"/>
        <v>2</v>
      </c>
      <c r="L164" s="36">
        <f>DAY(RESER3[[#This Row],[DATA]])</f>
        <v>25</v>
      </c>
      <c r="M164" s="36"/>
    </row>
    <row r="165" spans="1:13" x14ac:dyDescent="0.25">
      <c r="A165" s="36"/>
      <c r="B165" s="129" t="s">
        <v>22</v>
      </c>
      <c r="C165" s="28">
        <v>44270</v>
      </c>
      <c r="D165" s="36" t="s">
        <v>274</v>
      </c>
      <c r="E165" s="36" t="s">
        <v>222</v>
      </c>
      <c r="F165" s="36" t="s">
        <v>458</v>
      </c>
      <c r="G165" s="36" t="s">
        <v>458</v>
      </c>
      <c r="H165" s="36">
        <v>1</v>
      </c>
      <c r="I165" s="36" t="s">
        <v>179</v>
      </c>
      <c r="J165" s="36">
        <f>YEAR(RESER3[[#This Row],[DATA]])</f>
        <v>2021</v>
      </c>
      <c r="K165" s="36">
        <f t="shared" si="4"/>
        <v>3</v>
      </c>
      <c r="L165" s="36">
        <f>DAY(RESER3[[#This Row],[DATA]])</f>
        <v>15</v>
      </c>
      <c r="M165" s="36"/>
    </row>
    <row r="166" spans="1:13" x14ac:dyDescent="0.25">
      <c r="A166" s="36"/>
      <c r="B166" s="129" t="s">
        <v>22</v>
      </c>
      <c r="C166" s="28">
        <v>44271</v>
      </c>
      <c r="D166" s="36" t="s">
        <v>281</v>
      </c>
      <c r="E166" s="36" t="s">
        <v>222</v>
      </c>
      <c r="F166" s="36" t="s">
        <v>458</v>
      </c>
      <c r="G166" s="36" t="s">
        <v>458</v>
      </c>
      <c r="H166" s="36">
        <v>1</v>
      </c>
      <c r="I166" s="36" t="s">
        <v>179</v>
      </c>
      <c r="J166" s="36">
        <f>YEAR(RESER3[[#This Row],[DATA]])</f>
        <v>2021</v>
      </c>
      <c r="K166" s="36">
        <f t="shared" ref="K166:K192" si="5">MONTH(C166)</f>
        <v>3</v>
      </c>
      <c r="L166" s="36">
        <f>DAY(RESER3[[#This Row],[DATA]])</f>
        <v>16</v>
      </c>
      <c r="M166" s="36"/>
    </row>
    <row r="167" spans="1:13" x14ac:dyDescent="0.25">
      <c r="A167" s="36"/>
      <c r="B167" s="129" t="s">
        <v>22</v>
      </c>
      <c r="C167" s="28">
        <v>44273</v>
      </c>
      <c r="D167" s="36" t="s">
        <v>272</v>
      </c>
      <c r="E167" s="36" t="s">
        <v>222</v>
      </c>
      <c r="F167" s="36" t="s">
        <v>196</v>
      </c>
      <c r="G167" s="36" t="s">
        <v>282</v>
      </c>
      <c r="H167" s="36">
        <v>1</v>
      </c>
      <c r="I167" s="36" t="s">
        <v>179</v>
      </c>
      <c r="J167" s="36">
        <f>YEAR(RESER3[[#This Row],[DATA]])</f>
        <v>2021</v>
      </c>
      <c r="K167" s="36">
        <f t="shared" si="5"/>
        <v>3</v>
      </c>
      <c r="L167" s="36">
        <f>DAY(RESER3[[#This Row],[DATA]])</f>
        <v>18</v>
      </c>
      <c r="M167" s="36"/>
    </row>
    <row r="168" spans="1:13" x14ac:dyDescent="0.25">
      <c r="A168" s="36"/>
      <c r="B168" s="129" t="s">
        <v>22</v>
      </c>
      <c r="C168" s="28">
        <v>44277</v>
      </c>
      <c r="D168" s="36" t="s">
        <v>189</v>
      </c>
      <c r="E168" s="36" t="s">
        <v>190</v>
      </c>
      <c r="F168" s="36" t="s">
        <v>192</v>
      </c>
      <c r="G168" s="36" t="s">
        <v>193</v>
      </c>
      <c r="H168" s="36">
        <v>1</v>
      </c>
      <c r="I168" s="36" t="s">
        <v>179</v>
      </c>
      <c r="J168" s="36">
        <f>YEAR(RESER3[[#This Row],[DATA]])</f>
        <v>2021</v>
      </c>
      <c r="K168" s="36">
        <f t="shared" si="5"/>
        <v>3</v>
      </c>
      <c r="L168" s="36">
        <f>DAY(RESER3[[#This Row],[DATA]])</f>
        <v>22</v>
      </c>
      <c r="M168" s="36"/>
    </row>
    <row r="169" spans="1:13" x14ac:dyDescent="0.25">
      <c r="A169" s="36"/>
      <c r="B169" s="129" t="s">
        <v>22</v>
      </c>
      <c r="C169" s="28">
        <v>44280</v>
      </c>
      <c r="D169" s="36" t="s">
        <v>189</v>
      </c>
      <c r="E169" s="36" t="s">
        <v>190</v>
      </c>
      <c r="F169" s="36" t="s">
        <v>191</v>
      </c>
      <c r="G169" s="36" t="s">
        <v>191</v>
      </c>
      <c r="H169" s="36">
        <v>1</v>
      </c>
      <c r="I169" s="36" t="s">
        <v>179</v>
      </c>
      <c r="J169" s="36">
        <f>YEAR(RESER3[[#This Row],[DATA]])</f>
        <v>2021</v>
      </c>
      <c r="K169" s="36">
        <f t="shared" si="5"/>
        <v>3</v>
      </c>
      <c r="L169" s="36">
        <f>DAY(RESER3[[#This Row],[DATA]])</f>
        <v>25</v>
      </c>
      <c r="M169" s="36"/>
    </row>
    <row r="170" spans="1:13" x14ac:dyDescent="0.25">
      <c r="A170" s="36"/>
      <c r="B170" s="129" t="s">
        <v>22</v>
      </c>
      <c r="C170" s="28">
        <v>44280</v>
      </c>
      <c r="D170" s="36" t="s">
        <v>189</v>
      </c>
      <c r="E170" s="36" t="s">
        <v>190</v>
      </c>
      <c r="F170" s="36" t="s">
        <v>192</v>
      </c>
      <c r="G170" s="36" t="s">
        <v>193</v>
      </c>
      <c r="H170" s="36">
        <v>1</v>
      </c>
      <c r="I170" s="36" t="s">
        <v>179</v>
      </c>
      <c r="J170" s="36">
        <f>YEAR(RESER3[[#This Row],[DATA]])</f>
        <v>2021</v>
      </c>
      <c r="K170" s="36">
        <f t="shared" si="5"/>
        <v>3</v>
      </c>
      <c r="L170" s="36">
        <f>DAY(RESER3[[#This Row],[DATA]])</f>
        <v>25</v>
      </c>
      <c r="M170" s="36"/>
    </row>
    <row r="171" spans="1:13" x14ac:dyDescent="0.25">
      <c r="A171" s="36"/>
      <c r="B171" s="129" t="s">
        <v>22</v>
      </c>
      <c r="C171" s="28">
        <v>44280</v>
      </c>
      <c r="D171" s="36" t="s">
        <v>189</v>
      </c>
      <c r="E171" s="36" t="s">
        <v>190</v>
      </c>
      <c r="F171" s="36" t="s">
        <v>228</v>
      </c>
      <c r="G171" s="36" t="s">
        <v>283</v>
      </c>
      <c r="H171" s="36">
        <v>1</v>
      </c>
      <c r="I171" s="36" t="s">
        <v>179</v>
      </c>
      <c r="J171" s="36">
        <f>YEAR(RESER3[[#This Row],[DATA]])</f>
        <v>2021</v>
      </c>
      <c r="K171" s="36">
        <f t="shared" si="5"/>
        <v>3</v>
      </c>
      <c r="L171" s="36">
        <f>DAY(RESER3[[#This Row],[DATA]])</f>
        <v>25</v>
      </c>
      <c r="M171" s="36"/>
    </row>
    <row r="172" spans="1:13" x14ac:dyDescent="0.25">
      <c r="A172" s="36"/>
      <c r="B172" s="129" t="s">
        <v>22</v>
      </c>
      <c r="C172" s="28">
        <v>44295</v>
      </c>
      <c r="D172" s="36" t="s">
        <v>189</v>
      </c>
      <c r="E172" s="36" t="s">
        <v>222</v>
      </c>
      <c r="F172" s="36" t="s">
        <v>191</v>
      </c>
      <c r="G172" s="36" t="s">
        <v>191</v>
      </c>
      <c r="H172" s="36">
        <v>1</v>
      </c>
      <c r="I172" s="36" t="s">
        <v>179</v>
      </c>
      <c r="J172" s="36">
        <f>YEAR(RESER3[[#This Row],[DATA]])</f>
        <v>2021</v>
      </c>
      <c r="K172" s="36">
        <f t="shared" si="5"/>
        <v>4</v>
      </c>
      <c r="L172" s="36">
        <f>DAY(RESER3[[#This Row],[DATA]])</f>
        <v>9</v>
      </c>
      <c r="M172" s="36"/>
    </row>
    <row r="173" spans="1:13" x14ac:dyDescent="0.25">
      <c r="A173" s="36"/>
      <c r="B173" s="129" t="s">
        <v>22</v>
      </c>
      <c r="C173" s="28">
        <v>44298</v>
      </c>
      <c r="D173" s="36" t="s">
        <v>189</v>
      </c>
      <c r="E173" s="36" t="s">
        <v>190</v>
      </c>
      <c r="F173" s="36" t="s">
        <v>191</v>
      </c>
      <c r="G173" s="36" t="s">
        <v>191</v>
      </c>
      <c r="H173" s="36">
        <v>1</v>
      </c>
      <c r="I173" s="36" t="s">
        <v>179</v>
      </c>
      <c r="J173" s="36">
        <f>YEAR(RESER3[[#This Row],[DATA]])</f>
        <v>2021</v>
      </c>
      <c r="K173" s="36">
        <f t="shared" si="5"/>
        <v>4</v>
      </c>
      <c r="L173" s="36">
        <f>DAY(RESER3[[#This Row],[DATA]])</f>
        <v>12</v>
      </c>
      <c r="M173" s="36"/>
    </row>
    <row r="174" spans="1:13" x14ac:dyDescent="0.25">
      <c r="A174" s="36"/>
      <c r="B174" s="129" t="s">
        <v>22</v>
      </c>
      <c r="C174" s="28">
        <v>44316</v>
      </c>
      <c r="D174" s="36" t="s">
        <v>240</v>
      </c>
      <c r="E174" s="36" t="s">
        <v>190</v>
      </c>
      <c r="F174" s="36" t="s">
        <v>191</v>
      </c>
      <c r="G174" s="36" t="s">
        <v>191</v>
      </c>
      <c r="H174" s="36">
        <v>1</v>
      </c>
      <c r="I174" s="36" t="s">
        <v>179</v>
      </c>
      <c r="J174" s="36">
        <f>YEAR(RESER3[[#This Row],[DATA]])</f>
        <v>2021</v>
      </c>
      <c r="K174" s="36">
        <f t="shared" si="5"/>
        <v>4</v>
      </c>
      <c r="L174" s="36">
        <f>DAY(RESER3[[#This Row],[DATA]])</f>
        <v>30</v>
      </c>
      <c r="M174" s="36"/>
    </row>
    <row r="175" spans="1:13" x14ac:dyDescent="0.25">
      <c r="A175" s="36"/>
      <c r="B175" s="129" t="s">
        <v>22</v>
      </c>
      <c r="C175" s="28">
        <v>44319</v>
      </c>
      <c r="D175" s="36" t="s">
        <v>274</v>
      </c>
      <c r="E175" s="36" t="s">
        <v>190</v>
      </c>
      <c r="F175" s="36" t="s">
        <v>192</v>
      </c>
      <c r="G175" s="36" t="s">
        <v>235</v>
      </c>
      <c r="H175" s="36">
        <v>1</v>
      </c>
      <c r="I175" s="36" t="s">
        <v>179</v>
      </c>
      <c r="J175" s="36">
        <f>YEAR(RESER3[[#This Row],[DATA]])</f>
        <v>2021</v>
      </c>
      <c r="K175" s="36">
        <f t="shared" si="5"/>
        <v>5</v>
      </c>
      <c r="L175" s="36">
        <f>DAY(RESER3[[#This Row],[DATA]])</f>
        <v>3</v>
      </c>
      <c r="M175" s="36"/>
    </row>
    <row r="176" spans="1:13" x14ac:dyDescent="0.25">
      <c r="A176" s="36"/>
      <c r="B176" s="129" t="s">
        <v>22</v>
      </c>
      <c r="C176" s="28">
        <v>44320</v>
      </c>
      <c r="D176" s="36" t="s">
        <v>272</v>
      </c>
      <c r="E176" s="36" t="s">
        <v>222</v>
      </c>
      <c r="F176" s="36" t="s">
        <v>192</v>
      </c>
      <c r="G176" s="36" t="s">
        <v>235</v>
      </c>
      <c r="H176" s="36">
        <v>1</v>
      </c>
      <c r="I176" s="36" t="s">
        <v>179</v>
      </c>
      <c r="J176" s="36">
        <f>YEAR(RESER3[[#This Row],[DATA]])</f>
        <v>2021</v>
      </c>
      <c r="K176" s="36">
        <f t="shared" si="5"/>
        <v>5</v>
      </c>
      <c r="L176" s="36">
        <f>DAY(RESER3[[#This Row],[DATA]])</f>
        <v>4</v>
      </c>
      <c r="M176" s="36"/>
    </row>
    <row r="177" spans="1:13" x14ac:dyDescent="0.25">
      <c r="A177" s="36"/>
      <c r="B177" s="129" t="s">
        <v>22</v>
      </c>
      <c r="C177" s="28">
        <v>44323</v>
      </c>
      <c r="D177" s="36" t="s">
        <v>233</v>
      </c>
      <c r="E177" s="36" t="s">
        <v>222</v>
      </c>
      <c r="F177" s="36" t="s">
        <v>191</v>
      </c>
      <c r="G177" s="36" t="s">
        <v>191</v>
      </c>
      <c r="H177" s="36">
        <v>1</v>
      </c>
      <c r="I177" s="36" t="s">
        <v>179</v>
      </c>
      <c r="J177" s="36">
        <f>YEAR(RESER3[[#This Row],[DATA]])</f>
        <v>2021</v>
      </c>
      <c r="K177" s="36">
        <f t="shared" si="5"/>
        <v>5</v>
      </c>
      <c r="L177" s="36">
        <f>DAY(RESER3[[#This Row],[DATA]])</f>
        <v>7</v>
      </c>
      <c r="M177" s="36"/>
    </row>
    <row r="178" spans="1:13" x14ac:dyDescent="0.25">
      <c r="A178" s="36"/>
      <c r="B178" s="129" t="s">
        <v>22</v>
      </c>
      <c r="C178" s="28">
        <v>44329</v>
      </c>
      <c r="D178" s="36" t="s">
        <v>258</v>
      </c>
      <c r="E178" s="36" t="s">
        <v>222</v>
      </c>
      <c r="F178" s="36" t="s">
        <v>192</v>
      </c>
      <c r="G178" s="36" t="s">
        <v>193</v>
      </c>
      <c r="H178" s="36">
        <v>1</v>
      </c>
      <c r="I178" s="36" t="s">
        <v>179</v>
      </c>
      <c r="J178" s="36">
        <f>YEAR(RESER3[[#This Row],[DATA]])</f>
        <v>2021</v>
      </c>
      <c r="K178" s="36">
        <f t="shared" si="5"/>
        <v>5</v>
      </c>
      <c r="L178" s="36">
        <f>DAY(RESER3[[#This Row],[DATA]])</f>
        <v>13</v>
      </c>
      <c r="M178" s="36"/>
    </row>
    <row r="179" spans="1:13" x14ac:dyDescent="0.25">
      <c r="A179" s="36"/>
      <c r="B179" s="129" t="s">
        <v>22</v>
      </c>
      <c r="C179" s="28">
        <v>44304</v>
      </c>
      <c r="D179" s="36" t="s">
        <v>272</v>
      </c>
      <c r="E179" s="36" t="s">
        <v>190</v>
      </c>
      <c r="F179" s="36" t="s">
        <v>192</v>
      </c>
      <c r="G179" s="36" t="s">
        <v>193</v>
      </c>
      <c r="H179" s="36">
        <v>1</v>
      </c>
      <c r="I179" s="36" t="s">
        <v>179</v>
      </c>
      <c r="J179" s="36">
        <f>YEAR(RESER3[[#This Row],[DATA]])</f>
        <v>2021</v>
      </c>
      <c r="K179" s="36">
        <f t="shared" si="5"/>
        <v>4</v>
      </c>
      <c r="L179" s="36">
        <f>DAY(RESER3[[#This Row],[DATA]])</f>
        <v>18</v>
      </c>
      <c r="M179" s="36"/>
    </row>
    <row r="180" spans="1:13" x14ac:dyDescent="0.25">
      <c r="A180" s="36"/>
      <c r="B180" s="129" t="s">
        <v>22</v>
      </c>
      <c r="C180" s="28">
        <v>44305</v>
      </c>
      <c r="D180" s="36" t="s">
        <v>258</v>
      </c>
      <c r="E180" s="36" t="s">
        <v>190</v>
      </c>
      <c r="F180" s="36" t="s">
        <v>228</v>
      </c>
      <c r="G180" s="36" t="s">
        <v>257</v>
      </c>
      <c r="H180" s="36">
        <v>1</v>
      </c>
      <c r="I180" s="36" t="s">
        <v>179</v>
      </c>
      <c r="J180" s="36">
        <f>YEAR(RESER3[[#This Row],[DATA]])</f>
        <v>2021</v>
      </c>
      <c r="K180" s="36">
        <f t="shared" si="5"/>
        <v>4</v>
      </c>
      <c r="L180" s="36">
        <f>DAY(RESER3[[#This Row],[DATA]])</f>
        <v>19</v>
      </c>
      <c r="M180" s="36"/>
    </row>
    <row r="181" spans="1:13" x14ac:dyDescent="0.25">
      <c r="A181" s="36"/>
      <c r="B181" s="129" t="s">
        <v>22</v>
      </c>
      <c r="C181" s="28">
        <v>44337</v>
      </c>
      <c r="D181" s="36" t="s">
        <v>233</v>
      </c>
      <c r="E181" s="36" t="s">
        <v>222</v>
      </c>
      <c r="F181" s="36" t="s">
        <v>191</v>
      </c>
      <c r="G181" s="36" t="s">
        <v>191</v>
      </c>
      <c r="H181" s="36">
        <v>1</v>
      </c>
      <c r="I181" s="36" t="s">
        <v>179</v>
      </c>
      <c r="J181" s="36">
        <f>YEAR(RESER3[[#This Row],[DATA]])</f>
        <v>2021</v>
      </c>
      <c r="K181" s="36">
        <f t="shared" si="5"/>
        <v>5</v>
      </c>
      <c r="L181" s="36">
        <f>DAY(RESER3[[#This Row],[DATA]])</f>
        <v>21</v>
      </c>
      <c r="M181" s="36"/>
    </row>
    <row r="182" spans="1:13" x14ac:dyDescent="0.25">
      <c r="A182" s="36"/>
      <c r="B182" s="129" t="s">
        <v>22</v>
      </c>
      <c r="C182" s="28">
        <v>44347</v>
      </c>
      <c r="D182" s="36" t="s">
        <v>240</v>
      </c>
      <c r="E182" s="36" t="s">
        <v>222</v>
      </c>
      <c r="F182" s="36" t="s">
        <v>192</v>
      </c>
      <c r="G182" s="36" t="s">
        <v>193</v>
      </c>
      <c r="H182" s="36">
        <v>1</v>
      </c>
      <c r="I182" s="36" t="s">
        <v>179</v>
      </c>
      <c r="J182" s="36">
        <f>YEAR(RESER3[[#This Row],[DATA]])</f>
        <v>2021</v>
      </c>
      <c r="K182" s="36">
        <f t="shared" si="5"/>
        <v>5</v>
      </c>
      <c r="L182" s="36">
        <f>DAY(RESER3[[#This Row],[DATA]])</f>
        <v>31</v>
      </c>
      <c r="M182" s="36"/>
    </row>
    <row r="183" spans="1:13" x14ac:dyDescent="0.25">
      <c r="A183" s="36"/>
      <c r="B183" s="129" t="s">
        <v>22</v>
      </c>
      <c r="C183" s="28">
        <v>44355</v>
      </c>
      <c r="D183" s="36" t="s">
        <v>240</v>
      </c>
      <c r="E183" s="36" t="s">
        <v>190</v>
      </c>
      <c r="F183" s="36" t="s">
        <v>191</v>
      </c>
      <c r="G183" s="36" t="s">
        <v>191</v>
      </c>
      <c r="H183" s="36">
        <v>1</v>
      </c>
      <c r="I183" s="36" t="s">
        <v>179</v>
      </c>
      <c r="J183" s="36">
        <f>YEAR(RESER3[[#This Row],[DATA]])</f>
        <v>2021</v>
      </c>
      <c r="K183" s="36">
        <f t="shared" si="5"/>
        <v>6</v>
      </c>
      <c r="L183" s="36">
        <f>DAY(RESER3[[#This Row],[DATA]])</f>
        <v>8</v>
      </c>
      <c r="M183" s="36"/>
    </row>
    <row r="184" spans="1:13" x14ac:dyDescent="0.25">
      <c r="A184" s="36"/>
      <c r="B184" s="129" t="s">
        <v>22</v>
      </c>
      <c r="C184" s="28">
        <v>44363</v>
      </c>
      <c r="D184" s="36" t="s">
        <v>240</v>
      </c>
      <c r="E184" s="36" t="s">
        <v>190</v>
      </c>
      <c r="F184" s="36" t="s">
        <v>191</v>
      </c>
      <c r="G184" s="36" t="s">
        <v>191</v>
      </c>
      <c r="H184" s="36">
        <v>1</v>
      </c>
      <c r="I184" s="36" t="s">
        <v>179</v>
      </c>
      <c r="J184" s="36">
        <f>YEAR(RESER3[[#This Row],[DATA]])</f>
        <v>2021</v>
      </c>
      <c r="K184" s="36">
        <f t="shared" si="5"/>
        <v>6</v>
      </c>
      <c r="L184" s="36">
        <f>DAY(RESER3[[#This Row],[DATA]])</f>
        <v>16</v>
      </c>
      <c r="M184" s="36"/>
    </row>
    <row r="185" spans="1:13" x14ac:dyDescent="0.25">
      <c r="A185" s="36"/>
      <c r="B185" s="129" t="s">
        <v>22</v>
      </c>
      <c r="C185" s="28">
        <v>44267</v>
      </c>
      <c r="D185" s="36" t="s">
        <v>233</v>
      </c>
      <c r="E185" s="36" t="s">
        <v>222</v>
      </c>
      <c r="F185" s="36" t="s">
        <v>192</v>
      </c>
      <c r="G185" s="36" t="s">
        <v>284</v>
      </c>
      <c r="H185" s="36">
        <v>1</v>
      </c>
      <c r="I185" s="36" t="s">
        <v>179</v>
      </c>
      <c r="J185" s="36">
        <f>YEAR(RESER3[[#This Row],[DATA]])</f>
        <v>2021</v>
      </c>
      <c r="K185" s="36">
        <f t="shared" si="5"/>
        <v>3</v>
      </c>
      <c r="L185" s="36">
        <f>DAY(RESER3[[#This Row],[DATA]])</f>
        <v>12</v>
      </c>
      <c r="M185" s="36"/>
    </row>
    <row r="186" spans="1:13" x14ac:dyDescent="0.25">
      <c r="A186" s="36"/>
      <c r="B186" s="129" t="s">
        <v>14</v>
      </c>
      <c r="C186" s="28">
        <v>44229</v>
      </c>
      <c r="D186" s="36" t="s">
        <v>280</v>
      </c>
      <c r="E186" s="36" t="s">
        <v>222</v>
      </c>
      <c r="F186" s="36" t="s">
        <v>191</v>
      </c>
      <c r="G186" s="36" t="s">
        <v>191</v>
      </c>
      <c r="H186" s="36">
        <v>1</v>
      </c>
      <c r="I186" s="36" t="s">
        <v>179</v>
      </c>
      <c r="J186" s="36">
        <f>YEAR(RESER3[[#This Row],[DATA]])</f>
        <v>2021</v>
      </c>
      <c r="K186" s="36">
        <f t="shared" si="5"/>
        <v>2</v>
      </c>
      <c r="L186" s="36">
        <f>DAY(RESER3[[#This Row],[DATA]])</f>
        <v>2</v>
      </c>
      <c r="M186" s="36"/>
    </row>
    <row r="187" spans="1:13" x14ac:dyDescent="0.25">
      <c r="A187" s="36"/>
      <c r="B187" s="129" t="s">
        <v>14</v>
      </c>
      <c r="C187" s="28">
        <v>44229</v>
      </c>
      <c r="D187" s="36" t="s">
        <v>251</v>
      </c>
      <c r="E187" s="36" t="s">
        <v>222</v>
      </c>
      <c r="F187" s="36" t="s">
        <v>285</v>
      </c>
      <c r="G187" s="36" t="s">
        <v>286</v>
      </c>
      <c r="H187" s="36">
        <v>1</v>
      </c>
      <c r="I187" s="36" t="s">
        <v>179</v>
      </c>
      <c r="J187" s="36">
        <f>YEAR(RESER3[[#This Row],[DATA]])</f>
        <v>2021</v>
      </c>
      <c r="K187" s="36">
        <f t="shared" si="5"/>
        <v>2</v>
      </c>
      <c r="L187" s="36">
        <f>DAY(RESER3[[#This Row],[DATA]])</f>
        <v>2</v>
      </c>
      <c r="M187" s="36"/>
    </row>
    <row r="188" spans="1:13" x14ac:dyDescent="0.25">
      <c r="A188" s="36"/>
      <c r="B188" s="129" t="s">
        <v>14</v>
      </c>
      <c r="C188" s="28">
        <v>44249</v>
      </c>
      <c r="D188" s="36" t="s">
        <v>287</v>
      </c>
      <c r="E188" s="36" t="s">
        <v>222</v>
      </c>
      <c r="F188" s="36" t="s">
        <v>192</v>
      </c>
      <c r="G188" s="36" t="s">
        <v>273</v>
      </c>
      <c r="H188" s="36">
        <v>1</v>
      </c>
      <c r="I188" s="36" t="s">
        <v>179</v>
      </c>
      <c r="J188" s="36">
        <f>YEAR(RESER3[[#This Row],[DATA]])</f>
        <v>2021</v>
      </c>
      <c r="K188" s="36">
        <f t="shared" si="5"/>
        <v>2</v>
      </c>
      <c r="L188" s="36">
        <f>DAY(RESER3[[#This Row],[DATA]])</f>
        <v>22</v>
      </c>
      <c r="M188" s="36"/>
    </row>
    <row r="189" spans="1:13" x14ac:dyDescent="0.25">
      <c r="A189" s="36"/>
      <c r="B189" s="129" t="s">
        <v>14</v>
      </c>
      <c r="C189" s="28">
        <v>44249</v>
      </c>
      <c r="D189" s="36" t="s">
        <v>280</v>
      </c>
      <c r="E189" s="36" t="s">
        <v>222</v>
      </c>
      <c r="F189" s="36" t="s">
        <v>191</v>
      </c>
      <c r="G189" s="36" t="s">
        <v>191</v>
      </c>
      <c r="H189" s="36">
        <v>1</v>
      </c>
      <c r="I189" s="36" t="s">
        <v>179</v>
      </c>
      <c r="J189" s="36">
        <f>YEAR(RESER3[[#This Row],[DATA]])</f>
        <v>2021</v>
      </c>
      <c r="K189" s="36">
        <f t="shared" si="5"/>
        <v>2</v>
      </c>
      <c r="L189" s="36">
        <f>DAY(RESER3[[#This Row],[DATA]])</f>
        <v>22</v>
      </c>
      <c r="M189" s="36"/>
    </row>
    <row r="190" spans="1:13" x14ac:dyDescent="0.25">
      <c r="A190" s="36"/>
      <c r="B190" s="129" t="s">
        <v>14</v>
      </c>
      <c r="C190" s="28">
        <v>44277</v>
      </c>
      <c r="D190" s="36" t="s">
        <v>189</v>
      </c>
      <c r="E190" s="36" t="s">
        <v>190</v>
      </c>
      <c r="F190" s="36" t="s">
        <v>192</v>
      </c>
      <c r="G190" s="36" t="s">
        <v>193</v>
      </c>
      <c r="H190" s="36">
        <v>1</v>
      </c>
      <c r="I190" s="36" t="s">
        <v>179</v>
      </c>
      <c r="J190" s="36">
        <f>YEAR(RESER3[[#This Row],[DATA]])</f>
        <v>2021</v>
      </c>
      <c r="K190" s="36">
        <f t="shared" si="5"/>
        <v>3</v>
      </c>
      <c r="L190" s="36">
        <f>DAY(RESER3[[#This Row],[DATA]])</f>
        <v>22</v>
      </c>
      <c r="M190" s="36"/>
    </row>
    <row r="191" spans="1:13" x14ac:dyDescent="0.25">
      <c r="A191" s="36"/>
      <c r="B191" s="129" t="s">
        <v>14</v>
      </c>
      <c r="C191" s="28">
        <v>44284</v>
      </c>
      <c r="D191" s="36" t="s">
        <v>189</v>
      </c>
      <c r="E191" s="36" t="s">
        <v>190</v>
      </c>
      <c r="F191" s="36" t="s">
        <v>207</v>
      </c>
      <c r="G191" s="36" t="s">
        <v>100</v>
      </c>
      <c r="H191" s="36">
        <v>1</v>
      </c>
      <c r="I191" s="36" t="s">
        <v>179</v>
      </c>
      <c r="J191" s="36">
        <f>YEAR(RESER3[[#This Row],[DATA]])</f>
        <v>2021</v>
      </c>
      <c r="K191" s="36">
        <f t="shared" si="5"/>
        <v>3</v>
      </c>
      <c r="L191" s="36">
        <f>DAY(RESER3[[#This Row],[DATA]])</f>
        <v>29</v>
      </c>
      <c r="M191" s="36"/>
    </row>
    <row r="192" spans="1:13" x14ac:dyDescent="0.25">
      <c r="A192" s="36"/>
      <c r="B192" s="129" t="s">
        <v>14</v>
      </c>
      <c r="C192" s="28">
        <v>44285</v>
      </c>
      <c r="D192" s="36" t="s">
        <v>189</v>
      </c>
      <c r="E192" s="36" t="s">
        <v>190</v>
      </c>
      <c r="F192" s="36" t="s">
        <v>207</v>
      </c>
      <c r="G192" s="36" t="s">
        <v>100</v>
      </c>
      <c r="H192" s="36">
        <v>1</v>
      </c>
      <c r="I192" s="36" t="s">
        <v>179</v>
      </c>
      <c r="J192" s="36">
        <f>YEAR(RESER3[[#This Row],[DATA]])</f>
        <v>2021</v>
      </c>
      <c r="K192" s="36">
        <f t="shared" si="5"/>
        <v>3</v>
      </c>
      <c r="L192" s="36">
        <f>DAY(RESER3[[#This Row],[DATA]])</f>
        <v>30</v>
      </c>
      <c r="M192" s="36"/>
    </row>
    <row r="193" spans="1:13" x14ac:dyDescent="0.25">
      <c r="A193" s="36"/>
      <c r="B193" s="129" t="s">
        <v>14</v>
      </c>
      <c r="C193" s="28">
        <v>44286</v>
      </c>
      <c r="D193" s="36" t="s">
        <v>280</v>
      </c>
      <c r="E193" s="36" t="s">
        <v>222</v>
      </c>
      <c r="F193" s="36" t="s">
        <v>191</v>
      </c>
      <c r="G193" s="36" t="s">
        <v>191</v>
      </c>
      <c r="H193" s="36">
        <v>1</v>
      </c>
      <c r="I193" s="36" t="s">
        <v>179</v>
      </c>
      <c r="J193" s="36">
        <f>YEAR(RESER3[[#This Row],[DATA]])</f>
        <v>2021</v>
      </c>
      <c r="K193" s="36">
        <f>MONTH(RESER3[[#This Row],[DATA]])</f>
        <v>3</v>
      </c>
      <c r="L193" s="36">
        <f>DAY(RESER3[[#This Row],[DATA]])</f>
        <v>31</v>
      </c>
      <c r="M193" s="36"/>
    </row>
    <row r="194" spans="1:13" x14ac:dyDescent="0.25">
      <c r="A194" s="36"/>
      <c r="B194" s="129" t="s">
        <v>14</v>
      </c>
      <c r="C194" s="28">
        <v>44286</v>
      </c>
      <c r="D194" s="36" t="s">
        <v>189</v>
      </c>
      <c r="E194" s="36" t="s">
        <v>222</v>
      </c>
      <c r="F194" s="36" t="s">
        <v>192</v>
      </c>
      <c r="G194" s="36" t="s">
        <v>193</v>
      </c>
      <c r="H194" s="36">
        <v>1</v>
      </c>
      <c r="I194" s="36" t="s">
        <v>179</v>
      </c>
      <c r="J194" s="36">
        <f>YEAR(RESER3[[#This Row],[DATA]])</f>
        <v>2021</v>
      </c>
      <c r="K194" s="36">
        <f>MONTH(RESER3[[#This Row],[DATA]])</f>
        <v>3</v>
      </c>
      <c r="L194" s="36">
        <f>DAY(RESER3[[#This Row],[DATA]])</f>
        <v>31</v>
      </c>
      <c r="M194" s="36"/>
    </row>
    <row r="195" spans="1:13" x14ac:dyDescent="0.25">
      <c r="A195" s="36"/>
      <c r="B195" s="129" t="s">
        <v>14</v>
      </c>
      <c r="C195" s="28">
        <v>44287</v>
      </c>
      <c r="D195" s="36" t="s">
        <v>189</v>
      </c>
      <c r="E195" s="36" t="s">
        <v>190</v>
      </c>
      <c r="F195" s="36" t="s">
        <v>207</v>
      </c>
      <c r="G195" s="36" t="s">
        <v>100</v>
      </c>
      <c r="H195" s="36">
        <v>1</v>
      </c>
      <c r="I195" s="36" t="s">
        <v>179</v>
      </c>
      <c r="J195" s="36">
        <f>YEAR(RESER3[[#This Row],[DATA]])</f>
        <v>2021</v>
      </c>
      <c r="K195" s="36">
        <f t="shared" ref="K195:K258" si="6">MONTH(C195)</f>
        <v>4</v>
      </c>
      <c r="L195" s="36">
        <f>DAY(RESER3[[#This Row],[DATA]])</f>
        <v>1</v>
      </c>
      <c r="M195" s="36"/>
    </row>
    <row r="196" spans="1:13" x14ac:dyDescent="0.25">
      <c r="A196" s="36"/>
      <c r="B196" s="129" t="s">
        <v>14</v>
      </c>
      <c r="C196" s="28">
        <v>44291</v>
      </c>
      <c r="D196" s="36" t="s">
        <v>189</v>
      </c>
      <c r="E196" s="36" t="s">
        <v>190</v>
      </c>
      <c r="F196" s="36" t="s">
        <v>192</v>
      </c>
      <c r="G196" s="36" t="s">
        <v>193</v>
      </c>
      <c r="H196" s="36">
        <v>1</v>
      </c>
      <c r="I196" s="36" t="s">
        <v>179</v>
      </c>
      <c r="J196" s="36">
        <f>YEAR(RESER3[[#This Row],[DATA]])</f>
        <v>2021</v>
      </c>
      <c r="K196" s="36">
        <f t="shared" si="6"/>
        <v>4</v>
      </c>
      <c r="L196" s="36">
        <f>DAY(RESER3[[#This Row],[DATA]])</f>
        <v>5</v>
      </c>
      <c r="M196" s="36"/>
    </row>
    <row r="197" spans="1:13" x14ac:dyDescent="0.25">
      <c r="A197" s="36"/>
      <c r="B197" s="129" t="s">
        <v>14</v>
      </c>
      <c r="C197" s="28">
        <v>44291</v>
      </c>
      <c r="D197" s="36" t="s">
        <v>280</v>
      </c>
      <c r="E197" s="36" t="s">
        <v>222</v>
      </c>
      <c r="F197" s="36" t="s">
        <v>191</v>
      </c>
      <c r="G197" s="36" t="s">
        <v>191</v>
      </c>
      <c r="H197" s="36">
        <v>1</v>
      </c>
      <c r="I197" s="36" t="s">
        <v>179</v>
      </c>
      <c r="J197" s="36">
        <f>YEAR(RESER3[[#This Row],[DATA]])</f>
        <v>2021</v>
      </c>
      <c r="K197" s="36">
        <f t="shared" si="6"/>
        <v>4</v>
      </c>
      <c r="L197" s="36">
        <f>DAY(RESER3[[#This Row],[DATA]])</f>
        <v>5</v>
      </c>
      <c r="M197" s="36"/>
    </row>
    <row r="198" spans="1:13" x14ac:dyDescent="0.25">
      <c r="A198" s="36"/>
      <c r="B198" s="129" t="s">
        <v>14</v>
      </c>
      <c r="C198" s="28">
        <v>44293</v>
      </c>
      <c r="D198" s="36" t="s">
        <v>189</v>
      </c>
      <c r="E198" s="36" t="s">
        <v>222</v>
      </c>
      <c r="F198" s="36" t="s">
        <v>192</v>
      </c>
      <c r="G198" s="36" t="s">
        <v>193</v>
      </c>
      <c r="H198" s="36">
        <v>1</v>
      </c>
      <c r="I198" s="36" t="s">
        <v>179</v>
      </c>
      <c r="J198" s="36">
        <f>YEAR(RESER3[[#This Row],[DATA]])</f>
        <v>2021</v>
      </c>
      <c r="K198" s="36">
        <f t="shared" si="6"/>
        <v>4</v>
      </c>
      <c r="L198" s="36">
        <f>DAY(RESER3[[#This Row],[DATA]])</f>
        <v>7</v>
      </c>
      <c r="M198" s="36"/>
    </row>
    <row r="199" spans="1:13" x14ac:dyDescent="0.25">
      <c r="A199" s="36"/>
      <c r="B199" s="129" t="s">
        <v>14</v>
      </c>
      <c r="C199" s="28">
        <v>44293</v>
      </c>
      <c r="D199" s="36" t="s">
        <v>189</v>
      </c>
      <c r="E199" s="36" t="s">
        <v>190</v>
      </c>
      <c r="F199" s="36" t="s">
        <v>192</v>
      </c>
      <c r="G199" s="36" t="s">
        <v>193</v>
      </c>
      <c r="H199" s="36">
        <v>1</v>
      </c>
      <c r="I199" s="36" t="s">
        <v>179</v>
      </c>
      <c r="J199" s="36">
        <f>YEAR(RESER3[[#This Row],[DATA]])</f>
        <v>2021</v>
      </c>
      <c r="K199" s="36">
        <f t="shared" si="6"/>
        <v>4</v>
      </c>
      <c r="L199" s="36">
        <f>DAY(RESER3[[#This Row],[DATA]])</f>
        <v>7</v>
      </c>
      <c r="M199" s="36"/>
    </row>
    <row r="200" spans="1:13" x14ac:dyDescent="0.25">
      <c r="A200" s="36"/>
      <c r="B200" s="129" t="s">
        <v>14</v>
      </c>
      <c r="C200" s="28">
        <v>44293</v>
      </c>
      <c r="D200" s="36" t="s">
        <v>189</v>
      </c>
      <c r="E200" s="36" t="s">
        <v>190</v>
      </c>
      <c r="F200" s="36" t="s">
        <v>192</v>
      </c>
      <c r="G200" s="36" t="s">
        <v>193</v>
      </c>
      <c r="H200" s="36">
        <v>1</v>
      </c>
      <c r="I200" s="36" t="s">
        <v>179</v>
      </c>
      <c r="J200" s="36">
        <f>YEAR(RESER3[[#This Row],[DATA]])</f>
        <v>2021</v>
      </c>
      <c r="K200" s="36">
        <f t="shared" si="6"/>
        <v>4</v>
      </c>
      <c r="L200" s="36">
        <f>DAY(RESER3[[#This Row],[DATA]])</f>
        <v>7</v>
      </c>
      <c r="M200" s="36"/>
    </row>
    <row r="201" spans="1:13" x14ac:dyDescent="0.25">
      <c r="A201" s="36"/>
      <c r="B201" s="129" t="s">
        <v>14</v>
      </c>
      <c r="C201" s="28">
        <v>44298</v>
      </c>
      <c r="D201" s="36" t="s">
        <v>189</v>
      </c>
      <c r="E201" s="36" t="s">
        <v>190</v>
      </c>
      <c r="F201" s="36" t="s">
        <v>228</v>
      </c>
      <c r="G201" s="36" t="s">
        <v>288</v>
      </c>
      <c r="H201" s="36">
        <v>1</v>
      </c>
      <c r="I201" s="36" t="s">
        <v>179</v>
      </c>
      <c r="J201" s="36">
        <f>YEAR(RESER3[[#This Row],[DATA]])</f>
        <v>2021</v>
      </c>
      <c r="K201" s="36">
        <f t="shared" si="6"/>
        <v>4</v>
      </c>
      <c r="L201" s="36">
        <f>DAY(RESER3[[#This Row],[DATA]])</f>
        <v>12</v>
      </c>
      <c r="M201" s="36"/>
    </row>
    <row r="202" spans="1:13" x14ac:dyDescent="0.25">
      <c r="A202" s="36"/>
      <c r="B202" s="129" t="s">
        <v>14</v>
      </c>
      <c r="C202" s="28">
        <v>44299</v>
      </c>
      <c r="D202" s="36" t="s">
        <v>189</v>
      </c>
      <c r="E202" s="36" t="s">
        <v>190</v>
      </c>
      <c r="F202" s="36" t="s">
        <v>207</v>
      </c>
      <c r="G202" s="36" t="s">
        <v>289</v>
      </c>
      <c r="H202" s="36">
        <v>1</v>
      </c>
      <c r="I202" s="36" t="s">
        <v>179</v>
      </c>
      <c r="J202" s="36">
        <f>YEAR(RESER3[[#This Row],[DATA]])</f>
        <v>2021</v>
      </c>
      <c r="K202" s="36">
        <f t="shared" si="6"/>
        <v>4</v>
      </c>
      <c r="L202" s="36">
        <f>DAY(RESER3[[#This Row],[DATA]])</f>
        <v>13</v>
      </c>
      <c r="M202" s="36"/>
    </row>
    <row r="203" spans="1:13" x14ac:dyDescent="0.25">
      <c r="A203" s="36"/>
      <c r="B203" s="129" t="s">
        <v>14</v>
      </c>
      <c r="C203" s="28">
        <v>44300</v>
      </c>
      <c r="D203" s="36" t="s">
        <v>255</v>
      </c>
      <c r="E203" s="36" t="s">
        <v>222</v>
      </c>
      <c r="F203" s="36" t="s">
        <v>192</v>
      </c>
      <c r="G203" s="36" t="s">
        <v>193</v>
      </c>
      <c r="H203" s="36">
        <v>1</v>
      </c>
      <c r="I203" s="36" t="s">
        <v>179</v>
      </c>
      <c r="J203" s="36">
        <f>YEAR(RESER3[[#This Row],[DATA]])</f>
        <v>2021</v>
      </c>
      <c r="K203" s="36">
        <f t="shared" si="6"/>
        <v>4</v>
      </c>
      <c r="L203" s="36">
        <f>DAY(RESER3[[#This Row],[DATA]])</f>
        <v>14</v>
      </c>
      <c r="M203" s="36"/>
    </row>
    <row r="204" spans="1:13" x14ac:dyDescent="0.25">
      <c r="A204" s="36"/>
      <c r="B204" s="129" t="s">
        <v>14</v>
      </c>
      <c r="C204" s="28">
        <v>44300</v>
      </c>
      <c r="D204" s="36" t="s">
        <v>204</v>
      </c>
      <c r="E204" s="36" t="s">
        <v>190</v>
      </c>
      <c r="F204" s="36" t="s">
        <v>192</v>
      </c>
      <c r="G204" s="36" t="s">
        <v>193</v>
      </c>
      <c r="H204" s="36">
        <v>1</v>
      </c>
      <c r="I204" s="36" t="s">
        <v>179</v>
      </c>
      <c r="J204" s="36">
        <f>YEAR(RESER3[[#This Row],[DATA]])</f>
        <v>2021</v>
      </c>
      <c r="K204" s="36">
        <f t="shared" si="6"/>
        <v>4</v>
      </c>
      <c r="L204" s="36">
        <f>DAY(RESER3[[#This Row],[DATA]])</f>
        <v>14</v>
      </c>
      <c r="M204" s="36"/>
    </row>
    <row r="205" spans="1:13" x14ac:dyDescent="0.25">
      <c r="A205" s="36"/>
      <c r="B205" s="129" t="s">
        <v>14</v>
      </c>
      <c r="C205" s="28">
        <v>44300</v>
      </c>
      <c r="D205" s="36" t="s">
        <v>280</v>
      </c>
      <c r="E205" s="36" t="s">
        <v>222</v>
      </c>
      <c r="F205" s="36" t="s">
        <v>191</v>
      </c>
      <c r="G205" s="36" t="s">
        <v>191</v>
      </c>
      <c r="H205" s="36">
        <v>1</v>
      </c>
      <c r="I205" s="36" t="s">
        <v>179</v>
      </c>
      <c r="J205" s="36">
        <f>YEAR(RESER3[[#This Row],[DATA]])</f>
        <v>2021</v>
      </c>
      <c r="K205" s="36">
        <f t="shared" si="6"/>
        <v>4</v>
      </c>
      <c r="L205" s="36">
        <f>DAY(RESER3[[#This Row],[DATA]])</f>
        <v>14</v>
      </c>
      <c r="M205" s="36"/>
    </row>
    <row r="206" spans="1:13" x14ac:dyDescent="0.25">
      <c r="A206" s="36"/>
      <c r="B206" s="129" t="s">
        <v>14</v>
      </c>
      <c r="C206" s="28">
        <v>44305</v>
      </c>
      <c r="D206" s="36" t="s">
        <v>255</v>
      </c>
      <c r="E206" s="36" t="s">
        <v>190</v>
      </c>
      <c r="F206" s="36" t="s">
        <v>207</v>
      </c>
      <c r="G206" s="36" t="s">
        <v>290</v>
      </c>
      <c r="H206" s="36">
        <v>1</v>
      </c>
      <c r="I206" s="36" t="s">
        <v>179</v>
      </c>
      <c r="J206" s="36">
        <f>YEAR(RESER3[[#This Row],[DATA]])</f>
        <v>2021</v>
      </c>
      <c r="K206" s="36">
        <f t="shared" si="6"/>
        <v>4</v>
      </c>
      <c r="L206" s="36">
        <f>DAY(RESER3[[#This Row],[DATA]])</f>
        <v>19</v>
      </c>
      <c r="M206" s="36"/>
    </row>
    <row r="207" spans="1:13" x14ac:dyDescent="0.25">
      <c r="A207" s="36"/>
      <c r="B207" s="129" t="s">
        <v>14</v>
      </c>
      <c r="C207" s="28">
        <v>44306</v>
      </c>
      <c r="D207" s="36" t="s">
        <v>280</v>
      </c>
      <c r="E207" s="36" t="s">
        <v>222</v>
      </c>
      <c r="F207" s="36" t="s">
        <v>191</v>
      </c>
      <c r="G207" s="36" t="s">
        <v>191</v>
      </c>
      <c r="H207" s="36">
        <v>1</v>
      </c>
      <c r="I207" s="36" t="s">
        <v>179</v>
      </c>
      <c r="J207" s="36">
        <f>YEAR(RESER3[[#This Row],[DATA]])</f>
        <v>2021</v>
      </c>
      <c r="K207" s="36">
        <f t="shared" si="6"/>
        <v>4</v>
      </c>
      <c r="L207" s="36">
        <f>DAY(RESER3[[#This Row],[DATA]])</f>
        <v>20</v>
      </c>
      <c r="M207" s="36"/>
    </row>
    <row r="208" spans="1:13" x14ac:dyDescent="0.25">
      <c r="A208" s="36"/>
      <c r="B208" s="129" t="s">
        <v>14</v>
      </c>
      <c r="C208" s="28">
        <v>44306</v>
      </c>
      <c r="D208" s="36" t="s">
        <v>204</v>
      </c>
      <c r="E208" s="36" t="s">
        <v>190</v>
      </c>
      <c r="F208" s="36" t="s">
        <v>192</v>
      </c>
      <c r="G208" s="36" t="s">
        <v>291</v>
      </c>
      <c r="H208" s="36">
        <v>1</v>
      </c>
      <c r="I208" s="36" t="s">
        <v>179</v>
      </c>
      <c r="J208" s="36">
        <f>YEAR(RESER3[[#This Row],[DATA]])</f>
        <v>2021</v>
      </c>
      <c r="K208" s="36">
        <f t="shared" si="6"/>
        <v>4</v>
      </c>
      <c r="L208" s="36">
        <f>DAY(RESER3[[#This Row],[DATA]])</f>
        <v>20</v>
      </c>
      <c r="M208" s="36"/>
    </row>
    <row r="209" spans="1:13" x14ac:dyDescent="0.25">
      <c r="A209" s="36"/>
      <c r="B209" s="129" t="s">
        <v>14</v>
      </c>
      <c r="C209" s="28">
        <v>44320</v>
      </c>
      <c r="D209" s="36" t="s">
        <v>204</v>
      </c>
      <c r="E209" s="36" t="s">
        <v>190</v>
      </c>
      <c r="F209" s="36" t="s">
        <v>292</v>
      </c>
      <c r="G209" s="36" t="s">
        <v>293</v>
      </c>
      <c r="H209" s="36">
        <v>1</v>
      </c>
      <c r="I209" s="36" t="s">
        <v>179</v>
      </c>
      <c r="J209" s="36">
        <f>YEAR(RESER3[[#This Row],[DATA]])</f>
        <v>2021</v>
      </c>
      <c r="K209" s="36">
        <f t="shared" si="6"/>
        <v>5</v>
      </c>
      <c r="L209" s="36">
        <f>DAY(RESER3[[#This Row],[DATA]])</f>
        <v>4</v>
      </c>
      <c r="M209" s="36"/>
    </row>
    <row r="210" spans="1:13" x14ac:dyDescent="0.25">
      <c r="A210" s="36"/>
      <c r="B210" s="129" t="s">
        <v>14</v>
      </c>
      <c r="C210" s="28">
        <v>44321</v>
      </c>
      <c r="D210" s="36" t="s">
        <v>230</v>
      </c>
      <c r="E210" s="36" t="s">
        <v>190</v>
      </c>
      <c r="F210" s="36" t="s">
        <v>207</v>
      </c>
      <c r="G210" s="36" t="s">
        <v>294</v>
      </c>
      <c r="H210" s="36">
        <v>1</v>
      </c>
      <c r="I210" s="36" t="s">
        <v>179</v>
      </c>
      <c r="J210" s="36">
        <f>YEAR(RESER3[[#This Row],[DATA]])</f>
        <v>2021</v>
      </c>
      <c r="K210" s="36">
        <f t="shared" si="6"/>
        <v>5</v>
      </c>
      <c r="L210" s="36">
        <f>DAY(RESER3[[#This Row],[DATA]])</f>
        <v>5</v>
      </c>
      <c r="M210" s="36"/>
    </row>
    <row r="211" spans="1:13" x14ac:dyDescent="0.25">
      <c r="A211" s="36"/>
      <c r="B211" s="129" t="s">
        <v>14</v>
      </c>
      <c r="C211" s="28">
        <v>44322</v>
      </c>
      <c r="D211" s="36" t="s">
        <v>251</v>
      </c>
      <c r="E211" s="36" t="s">
        <v>190</v>
      </c>
      <c r="F211" s="36" t="s">
        <v>207</v>
      </c>
      <c r="G211" s="36" t="s">
        <v>294</v>
      </c>
      <c r="H211" s="36">
        <v>1</v>
      </c>
      <c r="I211" s="36" t="s">
        <v>179</v>
      </c>
      <c r="J211" s="36">
        <f>YEAR(RESER3[[#This Row],[DATA]])</f>
        <v>2021</v>
      </c>
      <c r="K211" s="36">
        <f t="shared" si="6"/>
        <v>5</v>
      </c>
      <c r="L211" s="36">
        <f>DAY(RESER3[[#This Row],[DATA]])</f>
        <v>6</v>
      </c>
      <c r="M211" s="36"/>
    </row>
    <row r="212" spans="1:13" x14ac:dyDescent="0.25">
      <c r="A212" s="36"/>
      <c r="B212" s="129" t="s">
        <v>14</v>
      </c>
      <c r="C212" s="28">
        <v>44327</v>
      </c>
      <c r="D212" s="36" t="s">
        <v>224</v>
      </c>
      <c r="E212" s="36" t="s">
        <v>190</v>
      </c>
      <c r="F212" s="36" t="s">
        <v>207</v>
      </c>
      <c r="G212" s="36" t="s">
        <v>290</v>
      </c>
      <c r="H212" s="36">
        <v>1</v>
      </c>
      <c r="I212" s="36" t="s">
        <v>179</v>
      </c>
      <c r="J212" s="36">
        <f>YEAR(RESER3[[#This Row],[DATA]])</f>
        <v>2021</v>
      </c>
      <c r="K212" s="36">
        <f t="shared" si="6"/>
        <v>5</v>
      </c>
      <c r="L212" s="36">
        <f>DAY(RESER3[[#This Row],[DATA]])</f>
        <v>11</v>
      </c>
      <c r="M212" s="36"/>
    </row>
    <row r="213" spans="1:13" x14ac:dyDescent="0.25">
      <c r="A213" s="36"/>
      <c r="B213" s="129" t="s">
        <v>14</v>
      </c>
      <c r="C213" s="28">
        <v>44304</v>
      </c>
      <c r="D213" s="36" t="s">
        <v>213</v>
      </c>
      <c r="E213" s="36" t="s">
        <v>190</v>
      </c>
      <c r="F213" s="36" t="s">
        <v>202</v>
      </c>
      <c r="G213" s="36" t="s">
        <v>295</v>
      </c>
      <c r="H213" s="36">
        <v>1</v>
      </c>
      <c r="I213" s="36" t="s">
        <v>179</v>
      </c>
      <c r="J213" s="36">
        <f>YEAR(RESER3[[#This Row],[DATA]])</f>
        <v>2021</v>
      </c>
      <c r="K213" s="36">
        <f t="shared" si="6"/>
        <v>4</v>
      </c>
      <c r="L213" s="36">
        <f>DAY(RESER3[[#This Row],[DATA]])</f>
        <v>18</v>
      </c>
      <c r="M213" s="36"/>
    </row>
    <row r="214" spans="1:13" x14ac:dyDescent="0.25">
      <c r="A214" s="36"/>
      <c r="B214" s="129" t="s">
        <v>14</v>
      </c>
      <c r="C214" s="28">
        <v>44305</v>
      </c>
      <c r="D214" s="36" t="s">
        <v>224</v>
      </c>
      <c r="E214" s="36" t="s">
        <v>190</v>
      </c>
      <c r="F214" s="36" t="s">
        <v>292</v>
      </c>
      <c r="G214" s="36" t="s">
        <v>296</v>
      </c>
      <c r="H214" s="36">
        <v>1</v>
      </c>
      <c r="I214" s="36" t="s">
        <v>179</v>
      </c>
      <c r="J214" s="36">
        <f>YEAR(RESER3[[#This Row],[DATA]])</f>
        <v>2021</v>
      </c>
      <c r="K214" s="36">
        <f t="shared" si="6"/>
        <v>4</v>
      </c>
      <c r="L214" s="36">
        <f>DAY(RESER3[[#This Row],[DATA]])</f>
        <v>19</v>
      </c>
      <c r="M214" s="36"/>
    </row>
    <row r="215" spans="1:13" x14ac:dyDescent="0.25">
      <c r="A215" s="36"/>
      <c r="B215" s="129" t="s">
        <v>14</v>
      </c>
      <c r="C215" s="28">
        <v>44344</v>
      </c>
      <c r="D215" s="36" t="s">
        <v>263</v>
      </c>
      <c r="E215" s="36" t="s">
        <v>190</v>
      </c>
      <c r="F215" s="36" t="s">
        <v>228</v>
      </c>
      <c r="G215" s="36" t="s">
        <v>257</v>
      </c>
      <c r="H215" s="36">
        <v>1</v>
      </c>
      <c r="I215" s="36" t="s">
        <v>179</v>
      </c>
      <c r="J215" s="36">
        <f>YEAR(RESER3[[#This Row],[DATA]])</f>
        <v>2021</v>
      </c>
      <c r="K215" s="36">
        <f t="shared" si="6"/>
        <v>5</v>
      </c>
      <c r="L215" s="36">
        <f>DAY(RESER3[[#This Row],[DATA]])</f>
        <v>28</v>
      </c>
      <c r="M215" s="36"/>
    </row>
    <row r="216" spans="1:13" x14ac:dyDescent="0.25">
      <c r="A216" s="36"/>
      <c r="B216" s="129" t="s">
        <v>14</v>
      </c>
      <c r="C216" s="28">
        <v>44344</v>
      </c>
      <c r="D216" s="36" t="s">
        <v>280</v>
      </c>
      <c r="E216" s="36" t="s">
        <v>222</v>
      </c>
      <c r="F216" s="36" t="s">
        <v>191</v>
      </c>
      <c r="G216" s="36" t="s">
        <v>191</v>
      </c>
      <c r="H216" s="36">
        <v>1</v>
      </c>
      <c r="I216" s="36" t="s">
        <v>179</v>
      </c>
      <c r="J216" s="36">
        <f>YEAR(RESER3[[#This Row],[DATA]])</f>
        <v>2021</v>
      </c>
      <c r="K216" s="36">
        <f t="shared" si="6"/>
        <v>5</v>
      </c>
      <c r="L216" s="36">
        <f>DAY(RESER3[[#This Row],[DATA]])</f>
        <v>28</v>
      </c>
      <c r="M216" s="36"/>
    </row>
    <row r="217" spans="1:13" x14ac:dyDescent="0.25">
      <c r="A217" s="36"/>
      <c r="B217" s="129" t="s">
        <v>14</v>
      </c>
      <c r="C217" s="28">
        <v>44356</v>
      </c>
      <c r="D217" s="36" t="s">
        <v>260</v>
      </c>
      <c r="E217" s="36" t="s">
        <v>190</v>
      </c>
      <c r="F217" s="36" t="s">
        <v>228</v>
      </c>
      <c r="G217" s="36" t="s">
        <v>257</v>
      </c>
      <c r="H217" s="36">
        <v>1</v>
      </c>
      <c r="I217" s="36" t="s">
        <v>179</v>
      </c>
      <c r="J217" s="36">
        <f>YEAR(RESER3[[#This Row],[DATA]])</f>
        <v>2021</v>
      </c>
      <c r="K217" s="36">
        <f t="shared" si="6"/>
        <v>6</v>
      </c>
      <c r="L217" s="36">
        <f>DAY(RESER3[[#This Row],[DATA]])</f>
        <v>9</v>
      </c>
      <c r="M217" s="36"/>
    </row>
    <row r="218" spans="1:13" x14ac:dyDescent="0.25">
      <c r="A218" s="36"/>
      <c r="B218" s="129" t="s">
        <v>14</v>
      </c>
      <c r="C218" s="28">
        <v>44362</v>
      </c>
      <c r="D218" s="36" t="s">
        <v>260</v>
      </c>
      <c r="E218" s="36" t="s">
        <v>190</v>
      </c>
      <c r="F218" s="36" t="s">
        <v>228</v>
      </c>
      <c r="G218" s="36" t="s">
        <v>257</v>
      </c>
      <c r="H218" s="36">
        <v>1</v>
      </c>
      <c r="I218" s="36" t="s">
        <v>179</v>
      </c>
      <c r="J218" s="36">
        <f>YEAR(RESER3[[#This Row],[DATA]])</f>
        <v>2021</v>
      </c>
      <c r="K218" s="36">
        <f t="shared" si="6"/>
        <v>6</v>
      </c>
      <c r="L218" s="36">
        <f>DAY(RESER3[[#This Row],[DATA]])</f>
        <v>15</v>
      </c>
      <c r="M218" s="36"/>
    </row>
    <row r="219" spans="1:13" x14ac:dyDescent="0.25">
      <c r="A219" s="36"/>
      <c r="B219" s="129" t="s">
        <v>15</v>
      </c>
      <c r="C219" s="28">
        <v>44222</v>
      </c>
      <c r="D219" s="36" t="s">
        <v>280</v>
      </c>
      <c r="E219" s="36" t="s">
        <v>222</v>
      </c>
      <c r="F219" s="36" t="s">
        <v>191</v>
      </c>
      <c r="G219" s="36" t="s">
        <v>191</v>
      </c>
      <c r="H219" s="36">
        <v>1</v>
      </c>
      <c r="I219" s="36" t="s">
        <v>179</v>
      </c>
      <c r="J219" s="36">
        <f>YEAR(RESER3[[#This Row],[DATA]])</f>
        <v>2021</v>
      </c>
      <c r="K219" s="36">
        <f t="shared" si="6"/>
        <v>1</v>
      </c>
      <c r="L219" s="36">
        <f>DAY(RESER3[[#This Row],[DATA]])</f>
        <v>26</v>
      </c>
      <c r="M219" s="36"/>
    </row>
    <row r="220" spans="1:13" x14ac:dyDescent="0.25">
      <c r="A220" s="36"/>
      <c r="B220" s="129" t="s">
        <v>15</v>
      </c>
      <c r="C220" s="28">
        <v>44222</v>
      </c>
      <c r="D220" s="36" t="s">
        <v>260</v>
      </c>
      <c r="E220" s="36" t="s">
        <v>222</v>
      </c>
      <c r="F220" s="36" t="s">
        <v>192</v>
      </c>
      <c r="G220" s="36" t="s">
        <v>273</v>
      </c>
      <c r="H220" s="36">
        <v>1</v>
      </c>
      <c r="I220" s="36" t="s">
        <v>179</v>
      </c>
      <c r="J220" s="36">
        <f>YEAR(RESER3[[#This Row],[DATA]])</f>
        <v>2021</v>
      </c>
      <c r="K220" s="36">
        <f t="shared" si="6"/>
        <v>1</v>
      </c>
      <c r="L220" s="36">
        <f>DAY(RESER3[[#This Row],[DATA]])</f>
        <v>26</v>
      </c>
      <c r="M220" s="36"/>
    </row>
    <row r="221" spans="1:13" x14ac:dyDescent="0.25">
      <c r="A221" s="36"/>
      <c r="B221" s="129" t="s">
        <v>15</v>
      </c>
      <c r="C221" s="28">
        <v>44224</v>
      </c>
      <c r="D221" s="36" t="s">
        <v>260</v>
      </c>
      <c r="E221" s="36" t="s">
        <v>222</v>
      </c>
      <c r="F221" s="36" t="s">
        <v>192</v>
      </c>
      <c r="G221" s="36" t="s">
        <v>273</v>
      </c>
      <c r="H221" s="36">
        <v>1</v>
      </c>
      <c r="I221" s="36" t="s">
        <v>179</v>
      </c>
      <c r="J221" s="36">
        <f>YEAR(RESER3[[#This Row],[DATA]])</f>
        <v>2021</v>
      </c>
      <c r="K221" s="36">
        <f t="shared" si="6"/>
        <v>1</v>
      </c>
      <c r="L221" s="36">
        <f>DAY(RESER3[[#This Row],[DATA]])</f>
        <v>28</v>
      </c>
      <c r="M221" s="36"/>
    </row>
    <row r="222" spans="1:13" x14ac:dyDescent="0.25">
      <c r="A222" s="36"/>
      <c r="B222" s="129" t="s">
        <v>15</v>
      </c>
      <c r="C222" s="28">
        <v>44281</v>
      </c>
      <c r="D222" s="36" t="s">
        <v>189</v>
      </c>
      <c r="E222" s="36" t="s">
        <v>222</v>
      </c>
      <c r="F222" s="36" t="s">
        <v>192</v>
      </c>
      <c r="G222" s="36" t="s">
        <v>193</v>
      </c>
      <c r="H222" s="36">
        <v>1</v>
      </c>
      <c r="I222" s="36" t="s">
        <v>179</v>
      </c>
      <c r="J222" s="36">
        <f>YEAR(RESER3[[#This Row],[DATA]])</f>
        <v>2021</v>
      </c>
      <c r="K222" s="36">
        <f t="shared" si="6"/>
        <v>3</v>
      </c>
      <c r="L222" s="36">
        <f>DAY(RESER3[[#This Row],[DATA]])</f>
        <v>26</v>
      </c>
      <c r="M222" s="36"/>
    </row>
    <row r="223" spans="1:13" x14ac:dyDescent="0.25">
      <c r="A223" s="36"/>
      <c r="B223" s="129" t="s">
        <v>15</v>
      </c>
      <c r="C223" s="28">
        <v>44284</v>
      </c>
      <c r="D223" s="36" t="s">
        <v>280</v>
      </c>
      <c r="E223" s="36" t="s">
        <v>222</v>
      </c>
      <c r="F223" s="36" t="s">
        <v>191</v>
      </c>
      <c r="G223" s="36" t="s">
        <v>191</v>
      </c>
      <c r="H223" s="36">
        <v>1</v>
      </c>
      <c r="I223" s="36" t="s">
        <v>179</v>
      </c>
      <c r="J223" s="36">
        <f>YEAR(RESER3[[#This Row],[DATA]])</f>
        <v>2021</v>
      </c>
      <c r="K223" s="36">
        <f t="shared" si="6"/>
        <v>3</v>
      </c>
      <c r="L223" s="36">
        <f>DAY(RESER3[[#This Row],[DATA]])</f>
        <v>29</v>
      </c>
      <c r="M223" s="36"/>
    </row>
    <row r="224" spans="1:13" x14ac:dyDescent="0.25">
      <c r="A224" s="36"/>
      <c r="B224" s="129" t="s">
        <v>15</v>
      </c>
      <c r="C224" s="28">
        <v>44284</v>
      </c>
      <c r="D224" s="36" t="s">
        <v>189</v>
      </c>
      <c r="E224" s="36" t="s">
        <v>190</v>
      </c>
      <c r="F224" s="36" t="s">
        <v>192</v>
      </c>
      <c r="G224" s="36" t="s">
        <v>193</v>
      </c>
      <c r="H224" s="36">
        <v>1</v>
      </c>
      <c r="I224" s="36" t="s">
        <v>179</v>
      </c>
      <c r="J224" s="36">
        <f>YEAR(RESER3[[#This Row],[DATA]])</f>
        <v>2021</v>
      </c>
      <c r="K224" s="36">
        <f t="shared" si="6"/>
        <v>3</v>
      </c>
      <c r="L224" s="36">
        <f>DAY(RESER3[[#This Row],[DATA]])</f>
        <v>29</v>
      </c>
      <c r="M224" s="36"/>
    </row>
    <row r="225" spans="1:13" x14ac:dyDescent="0.25">
      <c r="A225" s="36"/>
      <c r="B225" s="129" t="s">
        <v>15</v>
      </c>
      <c r="C225" s="28">
        <v>44284</v>
      </c>
      <c r="D225" s="36" t="s">
        <v>189</v>
      </c>
      <c r="E225" s="36" t="s">
        <v>190</v>
      </c>
      <c r="F225" s="36" t="s">
        <v>192</v>
      </c>
      <c r="G225" s="36" t="s">
        <v>193</v>
      </c>
      <c r="H225" s="36">
        <v>1</v>
      </c>
      <c r="I225" s="36" t="s">
        <v>179</v>
      </c>
      <c r="J225" s="36">
        <f>YEAR(RESER3[[#This Row],[DATA]])</f>
        <v>2021</v>
      </c>
      <c r="K225" s="36">
        <f t="shared" si="6"/>
        <v>3</v>
      </c>
      <c r="L225" s="36">
        <f>DAY(RESER3[[#This Row],[DATA]])</f>
        <v>29</v>
      </c>
      <c r="M225" s="36"/>
    </row>
    <row r="226" spans="1:13" x14ac:dyDescent="0.25">
      <c r="A226" s="36"/>
      <c r="B226" s="129" t="s">
        <v>15</v>
      </c>
      <c r="C226" s="28">
        <v>44285</v>
      </c>
      <c r="D226" s="36" t="s">
        <v>189</v>
      </c>
      <c r="E226" s="36" t="s">
        <v>222</v>
      </c>
      <c r="F226" s="36" t="s">
        <v>192</v>
      </c>
      <c r="G226" s="36" t="s">
        <v>193</v>
      </c>
      <c r="H226" s="36">
        <v>1</v>
      </c>
      <c r="I226" s="36" t="s">
        <v>179</v>
      </c>
      <c r="J226" s="36">
        <f>YEAR(RESER3[[#This Row],[DATA]])</f>
        <v>2021</v>
      </c>
      <c r="K226" s="36">
        <f t="shared" si="6"/>
        <v>3</v>
      </c>
      <c r="L226" s="36">
        <f>DAY(RESER3[[#This Row],[DATA]])</f>
        <v>30</v>
      </c>
      <c r="M226" s="36"/>
    </row>
    <row r="227" spans="1:13" x14ac:dyDescent="0.25">
      <c r="A227" s="36"/>
      <c r="B227" s="129" t="s">
        <v>15</v>
      </c>
      <c r="C227" s="28">
        <v>44299</v>
      </c>
      <c r="D227" s="36" t="s">
        <v>189</v>
      </c>
      <c r="E227" s="36" t="s">
        <v>190</v>
      </c>
      <c r="F227" s="36" t="s">
        <v>202</v>
      </c>
      <c r="G227" s="36" t="s">
        <v>295</v>
      </c>
      <c r="H227" s="36">
        <v>1</v>
      </c>
      <c r="I227" s="36" t="s">
        <v>179</v>
      </c>
      <c r="J227" s="36">
        <f>YEAR(RESER3[[#This Row],[DATA]])</f>
        <v>2021</v>
      </c>
      <c r="K227" s="36">
        <f t="shared" si="6"/>
        <v>4</v>
      </c>
      <c r="L227" s="36">
        <f>DAY(RESER3[[#This Row],[DATA]])</f>
        <v>13</v>
      </c>
      <c r="M227" s="36"/>
    </row>
    <row r="228" spans="1:13" x14ac:dyDescent="0.25">
      <c r="A228" s="36"/>
      <c r="B228" s="129" t="s">
        <v>15</v>
      </c>
      <c r="C228" s="28">
        <v>44299</v>
      </c>
      <c r="D228" s="36" t="s">
        <v>280</v>
      </c>
      <c r="E228" s="36" t="s">
        <v>222</v>
      </c>
      <c r="F228" s="36" t="s">
        <v>191</v>
      </c>
      <c r="G228" s="36" t="s">
        <v>191</v>
      </c>
      <c r="H228" s="36">
        <v>1</v>
      </c>
      <c r="I228" s="36" t="s">
        <v>179</v>
      </c>
      <c r="J228" s="36">
        <f>YEAR(RESER3[[#This Row],[DATA]])</f>
        <v>2021</v>
      </c>
      <c r="K228" s="36">
        <f t="shared" si="6"/>
        <v>4</v>
      </c>
      <c r="L228" s="36">
        <f>DAY(RESER3[[#This Row],[DATA]])</f>
        <v>13</v>
      </c>
      <c r="M228" s="36"/>
    </row>
    <row r="229" spans="1:13" x14ac:dyDescent="0.25">
      <c r="A229" s="36"/>
      <c r="B229" s="129" t="s">
        <v>15</v>
      </c>
      <c r="C229" s="28">
        <v>44300</v>
      </c>
      <c r="D229" s="36" t="s">
        <v>224</v>
      </c>
      <c r="E229" s="36" t="s">
        <v>190</v>
      </c>
      <c r="F229" s="36" t="s">
        <v>192</v>
      </c>
      <c r="G229" s="36" t="s">
        <v>193</v>
      </c>
      <c r="H229" s="36">
        <v>1</v>
      </c>
      <c r="I229" s="36" t="s">
        <v>179</v>
      </c>
      <c r="J229" s="36">
        <f>YEAR(RESER3[[#This Row],[DATA]])</f>
        <v>2021</v>
      </c>
      <c r="K229" s="36">
        <f t="shared" si="6"/>
        <v>4</v>
      </c>
      <c r="L229" s="36">
        <f>DAY(RESER3[[#This Row],[DATA]])</f>
        <v>14</v>
      </c>
      <c r="M229" s="36"/>
    </row>
    <row r="230" spans="1:13" x14ac:dyDescent="0.25">
      <c r="A230" s="36"/>
      <c r="B230" s="129" t="s">
        <v>15</v>
      </c>
      <c r="C230" s="28">
        <v>44305</v>
      </c>
      <c r="D230" s="36" t="s">
        <v>201</v>
      </c>
      <c r="E230" s="36" t="s">
        <v>190</v>
      </c>
      <c r="F230" s="36" t="s">
        <v>192</v>
      </c>
      <c r="G230" s="36" t="s">
        <v>193</v>
      </c>
      <c r="H230" s="36">
        <v>1</v>
      </c>
      <c r="I230" s="36" t="s">
        <v>179</v>
      </c>
      <c r="J230" s="36">
        <f>YEAR(RESER3[[#This Row],[DATA]])</f>
        <v>2021</v>
      </c>
      <c r="K230" s="36">
        <f t="shared" si="6"/>
        <v>4</v>
      </c>
      <c r="L230" s="36">
        <f>DAY(RESER3[[#This Row],[DATA]])</f>
        <v>19</v>
      </c>
      <c r="M230" s="36"/>
    </row>
    <row r="231" spans="1:13" x14ac:dyDescent="0.25">
      <c r="A231" s="36"/>
      <c r="B231" s="129" t="s">
        <v>15</v>
      </c>
      <c r="C231" s="28">
        <v>44305</v>
      </c>
      <c r="D231" s="36" t="s">
        <v>280</v>
      </c>
      <c r="E231" s="36" t="s">
        <v>222</v>
      </c>
      <c r="F231" s="36" t="s">
        <v>191</v>
      </c>
      <c r="G231" s="36" t="s">
        <v>191</v>
      </c>
      <c r="H231" s="36">
        <v>1</v>
      </c>
      <c r="I231" s="36" t="s">
        <v>179</v>
      </c>
      <c r="J231" s="36">
        <f>YEAR(RESER3[[#This Row],[DATA]])</f>
        <v>2021</v>
      </c>
      <c r="K231" s="36">
        <f t="shared" si="6"/>
        <v>4</v>
      </c>
      <c r="L231" s="36">
        <f>DAY(RESER3[[#This Row],[DATA]])</f>
        <v>19</v>
      </c>
      <c r="M231" s="36"/>
    </row>
    <row r="232" spans="1:13" x14ac:dyDescent="0.25">
      <c r="A232" s="36"/>
      <c r="B232" s="129" t="s">
        <v>15</v>
      </c>
      <c r="C232" s="28">
        <v>44306</v>
      </c>
      <c r="D232" s="36" t="s">
        <v>201</v>
      </c>
      <c r="E232" s="36" t="s">
        <v>190</v>
      </c>
      <c r="F232" s="36" t="s">
        <v>202</v>
      </c>
      <c r="G232" s="36" t="s">
        <v>297</v>
      </c>
      <c r="H232" s="36">
        <v>1</v>
      </c>
      <c r="I232" s="36" t="s">
        <v>179</v>
      </c>
      <c r="J232" s="36">
        <f>YEAR(RESER3[[#This Row],[DATA]])</f>
        <v>2021</v>
      </c>
      <c r="K232" s="36">
        <f t="shared" si="6"/>
        <v>4</v>
      </c>
      <c r="L232" s="36">
        <f>DAY(RESER3[[#This Row],[DATA]])</f>
        <v>20</v>
      </c>
      <c r="M232" s="36"/>
    </row>
    <row r="233" spans="1:13" x14ac:dyDescent="0.25">
      <c r="A233" s="36"/>
      <c r="B233" s="129" t="s">
        <v>15</v>
      </c>
      <c r="C233" s="28">
        <v>44306</v>
      </c>
      <c r="D233" s="36" t="s">
        <v>238</v>
      </c>
      <c r="E233" s="36" t="s">
        <v>190</v>
      </c>
      <c r="F233" s="36" t="s">
        <v>207</v>
      </c>
      <c r="G233" s="36" t="s">
        <v>290</v>
      </c>
      <c r="H233" s="36">
        <v>1</v>
      </c>
      <c r="I233" s="36" t="s">
        <v>179</v>
      </c>
      <c r="J233" s="36">
        <f>YEAR(RESER3[[#This Row],[DATA]])</f>
        <v>2021</v>
      </c>
      <c r="K233" s="36">
        <f t="shared" si="6"/>
        <v>4</v>
      </c>
      <c r="L233" s="36">
        <f>DAY(RESER3[[#This Row],[DATA]])</f>
        <v>20</v>
      </c>
      <c r="M233" s="36"/>
    </row>
    <row r="234" spans="1:13" x14ac:dyDescent="0.25">
      <c r="A234" s="36"/>
      <c r="B234" s="129" t="s">
        <v>15</v>
      </c>
      <c r="C234" s="28">
        <v>44309</v>
      </c>
      <c r="D234" s="36" t="s">
        <v>201</v>
      </c>
      <c r="E234" s="36" t="s">
        <v>190</v>
      </c>
      <c r="F234" s="36" t="s">
        <v>192</v>
      </c>
      <c r="G234" s="36" t="s">
        <v>235</v>
      </c>
      <c r="H234" s="36">
        <v>1</v>
      </c>
      <c r="I234" s="36" t="s">
        <v>179</v>
      </c>
      <c r="J234" s="36">
        <f>YEAR(RESER3[[#This Row],[DATA]])</f>
        <v>2021</v>
      </c>
      <c r="K234" s="36">
        <f t="shared" si="6"/>
        <v>4</v>
      </c>
      <c r="L234" s="36">
        <f>DAY(RESER3[[#This Row],[DATA]])</f>
        <v>23</v>
      </c>
      <c r="M234" s="36"/>
    </row>
    <row r="235" spans="1:13" x14ac:dyDescent="0.25">
      <c r="A235" s="36"/>
      <c r="B235" s="129" t="s">
        <v>15</v>
      </c>
      <c r="C235" s="28">
        <v>44309</v>
      </c>
      <c r="D235" s="36" t="s">
        <v>224</v>
      </c>
      <c r="E235" s="36" t="s">
        <v>190</v>
      </c>
      <c r="F235" s="36" t="s">
        <v>207</v>
      </c>
      <c r="G235" s="36" t="s">
        <v>289</v>
      </c>
      <c r="H235" s="36">
        <v>1</v>
      </c>
      <c r="I235" s="36" t="s">
        <v>179</v>
      </c>
      <c r="J235" s="36">
        <f>YEAR(RESER3[[#This Row],[DATA]])</f>
        <v>2021</v>
      </c>
      <c r="K235" s="36">
        <f t="shared" si="6"/>
        <v>4</v>
      </c>
      <c r="L235" s="36">
        <f>DAY(RESER3[[#This Row],[DATA]])</f>
        <v>23</v>
      </c>
      <c r="M235" s="36"/>
    </row>
    <row r="236" spans="1:13" x14ac:dyDescent="0.25">
      <c r="A236" s="36"/>
      <c r="B236" s="129" t="s">
        <v>15</v>
      </c>
      <c r="C236" s="28">
        <v>44309</v>
      </c>
      <c r="D236" s="36" t="s">
        <v>224</v>
      </c>
      <c r="E236" s="36" t="s">
        <v>190</v>
      </c>
      <c r="F236" s="36" t="s">
        <v>207</v>
      </c>
      <c r="G236" s="36" t="s">
        <v>298</v>
      </c>
      <c r="H236" s="36">
        <v>1</v>
      </c>
      <c r="I236" s="36" t="s">
        <v>179</v>
      </c>
      <c r="J236" s="36">
        <f>YEAR(RESER3[[#This Row],[DATA]])</f>
        <v>2021</v>
      </c>
      <c r="K236" s="36">
        <f t="shared" si="6"/>
        <v>4</v>
      </c>
      <c r="L236" s="36">
        <f>DAY(RESER3[[#This Row],[DATA]])</f>
        <v>23</v>
      </c>
      <c r="M236" s="36"/>
    </row>
    <row r="237" spans="1:13" x14ac:dyDescent="0.25">
      <c r="A237" s="36"/>
      <c r="B237" s="129" t="s">
        <v>15</v>
      </c>
      <c r="C237" s="28">
        <v>44316</v>
      </c>
      <c r="D237" s="36" t="s">
        <v>224</v>
      </c>
      <c r="E237" s="36" t="s">
        <v>222</v>
      </c>
      <c r="F237" s="36" t="s">
        <v>207</v>
      </c>
      <c r="G237" s="36" t="s">
        <v>289</v>
      </c>
      <c r="H237" s="36">
        <v>1</v>
      </c>
      <c r="I237" s="36" t="s">
        <v>179</v>
      </c>
      <c r="J237" s="36">
        <f>YEAR(RESER3[[#This Row],[DATA]])</f>
        <v>2021</v>
      </c>
      <c r="K237" s="36">
        <f t="shared" si="6"/>
        <v>4</v>
      </c>
      <c r="L237" s="36">
        <f>DAY(RESER3[[#This Row],[DATA]])</f>
        <v>30</v>
      </c>
      <c r="M237" s="36"/>
    </row>
    <row r="238" spans="1:13" x14ac:dyDescent="0.25">
      <c r="A238" s="36"/>
      <c r="B238" s="129" t="s">
        <v>15</v>
      </c>
      <c r="C238" s="28">
        <v>44326</v>
      </c>
      <c r="D238" s="36" t="s">
        <v>299</v>
      </c>
      <c r="E238" s="36" t="s">
        <v>190</v>
      </c>
      <c r="F238" s="36" t="s">
        <v>202</v>
      </c>
      <c r="G238" s="36" t="s">
        <v>300</v>
      </c>
      <c r="H238" s="36">
        <v>1</v>
      </c>
      <c r="I238" s="36" t="s">
        <v>179</v>
      </c>
      <c r="J238" s="36">
        <f>YEAR(RESER3[[#This Row],[DATA]])</f>
        <v>2021</v>
      </c>
      <c r="K238" s="36">
        <f t="shared" si="6"/>
        <v>5</v>
      </c>
      <c r="L238" s="36">
        <f>DAY(RESER3[[#This Row],[DATA]])</f>
        <v>10</v>
      </c>
      <c r="M238" s="36"/>
    </row>
    <row r="239" spans="1:13" x14ac:dyDescent="0.25">
      <c r="A239" s="36"/>
      <c r="B239" s="129" t="s">
        <v>15</v>
      </c>
      <c r="C239" s="28">
        <v>44336</v>
      </c>
      <c r="D239" s="36" t="s">
        <v>251</v>
      </c>
      <c r="E239" s="36" t="s">
        <v>190</v>
      </c>
      <c r="F239" s="36" t="s">
        <v>202</v>
      </c>
      <c r="G239" s="36" t="s">
        <v>300</v>
      </c>
      <c r="H239" s="36">
        <v>1</v>
      </c>
      <c r="I239" s="36" t="s">
        <v>179</v>
      </c>
      <c r="J239" s="36">
        <f>YEAR(RESER3[[#This Row],[DATA]])</f>
        <v>2021</v>
      </c>
      <c r="K239" s="36">
        <f t="shared" si="6"/>
        <v>5</v>
      </c>
      <c r="L239" s="36">
        <f>DAY(RESER3[[#This Row],[DATA]])</f>
        <v>20</v>
      </c>
      <c r="M239" s="36"/>
    </row>
    <row r="240" spans="1:13" x14ac:dyDescent="0.25">
      <c r="A240" s="36"/>
      <c r="B240" s="129" t="s">
        <v>15</v>
      </c>
      <c r="C240" s="28">
        <v>44337</v>
      </c>
      <c r="D240" s="36" t="s">
        <v>224</v>
      </c>
      <c r="E240" s="36" t="s">
        <v>190</v>
      </c>
      <c r="F240" s="36" t="s">
        <v>192</v>
      </c>
      <c r="G240" s="36" t="s">
        <v>193</v>
      </c>
      <c r="H240" s="36">
        <v>1</v>
      </c>
      <c r="I240" s="36" t="s">
        <v>179</v>
      </c>
      <c r="J240" s="36">
        <f>YEAR(RESER3[[#This Row],[DATA]])</f>
        <v>2021</v>
      </c>
      <c r="K240" s="36">
        <f t="shared" si="6"/>
        <v>5</v>
      </c>
      <c r="L240" s="36">
        <f>DAY(RESER3[[#This Row],[DATA]])</f>
        <v>21</v>
      </c>
      <c r="M240" s="36"/>
    </row>
    <row r="241" spans="1:13" x14ac:dyDescent="0.25">
      <c r="A241" s="36"/>
      <c r="B241" s="129" t="s">
        <v>15</v>
      </c>
      <c r="C241" s="28">
        <v>44340</v>
      </c>
      <c r="D241" s="36" t="s">
        <v>280</v>
      </c>
      <c r="E241" s="36" t="s">
        <v>222</v>
      </c>
      <c r="F241" s="36" t="s">
        <v>191</v>
      </c>
      <c r="G241" s="36" t="s">
        <v>191</v>
      </c>
      <c r="H241" s="36">
        <v>1</v>
      </c>
      <c r="I241" s="36" t="s">
        <v>179</v>
      </c>
      <c r="J241" s="36">
        <f>YEAR(RESER3[[#This Row],[DATA]])</f>
        <v>2021</v>
      </c>
      <c r="K241" s="36">
        <f t="shared" si="6"/>
        <v>5</v>
      </c>
      <c r="L241" s="36">
        <f>DAY(RESER3[[#This Row],[DATA]])</f>
        <v>24</v>
      </c>
      <c r="M241" s="36"/>
    </row>
    <row r="242" spans="1:13" x14ac:dyDescent="0.25">
      <c r="A242" s="36"/>
      <c r="B242" s="129" t="s">
        <v>15</v>
      </c>
      <c r="C242" s="28">
        <v>44340</v>
      </c>
      <c r="D242" s="36" t="s">
        <v>255</v>
      </c>
      <c r="E242" s="36" t="s">
        <v>190</v>
      </c>
      <c r="F242" s="36" t="s">
        <v>192</v>
      </c>
      <c r="G242" s="36" t="s">
        <v>273</v>
      </c>
      <c r="H242" s="36">
        <v>1</v>
      </c>
      <c r="I242" s="36" t="s">
        <v>179</v>
      </c>
      <c r="J242" s="36">
        <f>YEAR(RESER3[[#This Row],[DATA]])</f>
        <v>2021</v>
      </c>
      <c r="K242" s="36">
        <f t="shared" si="6"/>
        <v>5</v>
      </c>
      <c r="L242" s="36">
        <f>DAY(RESER3[[#This Row],[DATA]])</f>
        <v>24</v>
      </c>
      <c r="M242" s="36"/>
    </row>
    <row r="243" spans="1:13" x14ac:dyDescent="0.25">
      <c r="A243" s="36"/>
      <c r="B243" s="129" t="s">
        <v>15</v>
      </c>
      <c r="C243" s="28">
        <v>44357</v>
      </c>
      <c r="D243" s="36" t="s">
        <v>275</v>
      </c>
      <c r="E243" s="36" t="s">
        <v>190</v>
      </c>
      <c r="F243" s="36" t="s">
        <v>228</v>
      </c>
      <c r="G243" s="36" t="s">
        <v>301</v>
      </c>
      <c r="H243" s="36">
        <v>1</v>
      </c>
      <c r="I243" s="36" t="s">
        <v>179</v>
      </c>
      <c r="J243" s="36">
        <f>YEAR(RESER3[[#This Row],[DATA]])</f>
        <v>2021</v>
      </c>
      <c r="K243" s="36">
        <f t="shared" si="6"/>
        <v>6</v>
      </c>
      <c r="L243" s="36">
        <f>DAY(RESER3[[#This Row],[DATA]])</f>
        <v>10</v>
      </c>
      <c r="M243" s="36"/>
    </row>
    <row r="244" spans="1:13" x14ac:dyDescent="0.25">
      <c r="A244" s="36"/>
      <c r="B244" s="129" t="s">
        <v>15</v>
      </c>
      <c r="C244" s="28">
        <v>44361</v>
      </c>
      <c r="D244" s="36" t="s">
        <v>258</v>
      </c>
      <c r="E244" s="36" t="s">
        <v>222</v>
      </c>
      <c r="F244" s="36" t="s">
        <v>191</v>
      </c>
      <c r="G244" s="36" t="s">
        <v>191</v>
      </c>
      <c r="H244" s="36">
        <v>1</v>
      </c>
      <c r="I244" s="36" t="s">
        <v>179</v>
      </c>
      <c r="J244" s="36">
        <f>YEAR(RESER3[[#This Row],[DATA]])</f>
        <v>2021</v>
      </c>
      <c r="K244" s="36">
        <f t="shared" si="6"/>
        <v>6</v>
      </c>
      <c r="L244" s="36">
        <f>DAY(RESER3[[#This Row],[DATA]])</f>
        <v>14</v>
      </c>
      <c r="M244" s="36"/>
    </row>
    <row r="245" spans="1:13" x14ac:dyDescent="0.25">
      <c r="A245" s="36"/>
      <c r="B245" s="129" t="s">
        <v>15</v>
      </c>
      <c r="C245" s="28">
        <v>44363</v>
      </c>
      <c r="D245" s="36" t="s">
        <v>258</v>
      </c>
      <c r="E245" s="36" t="s">
        <v>190</v>
      </c>
      <c r="F245" s="36" t="s">
        <v>228</v>
      </c>
      <c r="G245" s="36" t="s">
        <v>301</v>
      </c>
      <c r="H245" s="36">
        <v>1</v>
      </c>
      <c r="I245" s="36" t="s">
        <v>179</v>
      </c>
      <c r="J245" s="36">
        <f>YEAR(RESER3[[#This Row],[DATA]])</f>
        <v>2021</v>
      </c>
      <c r="K245" s="36">
        <f t="shared" si="6"/>
        <v>6</v>
      </c>
      <c r="L245" s="36">
        <f>DAY(RESER3[[#This Row],[DATA]])</f>
        <v>16</v>
      </c>
      <c r="M245" s="36"/>
    </row>
    <row r="246" spans="1:13" x14ac:dyDescent="0.25">
      <c r="A246" s="36"/>
      <c r="B246" s="129" t="s">
        <v>16</v>
      </c>
      <c r="C246" s="28">
        <v>44221</v>
      </c>
      <c r="D246" s="36" t="s">
        <v>280</v>
      </c>
      <c r="E246" s="36" t="s">
        <v>222</v>
      </c>
      <c r="F246" s="36" t="s">
        <v>458</v>
      </c>
      <c r="G246" s="36" t="s">
        <v>458</v>
      </c>
      <c r="H246" s="36">
        <v>1</v>
      </c>
      <c r="I246" s="36" t="s">
        <v>179</v>
      </c>
      <c r="J246" s="36">
        <f>YEAR(RESER3[[#This Row],[DATA]])</f>
        <v>2021</v>
      </c>
      <c r="K246" s="36">
        <f t="shared" si="6"/>
        <v>1</v>
      </c>
      <c r="L246" s="36">
        <f>DAY(RESER3[[#This Row],[DATA]])</f>
        <v>25</v>
      </c>
      <c r="M246" s="36"/>
    </row>
    <row r="247" spans="1:13" x14ac:dyDescent="0.25">
      <c r="A247" s="36"/>
      <c r="B247" s="129" t="s">
        <v>16</v>
      </c>
      <c r="C247" s="28">
        <v>44221</v>
      </c>
      <c r="D247" s="36" t="s">
        <v>260</v>
      </c>
      <c r="E247" s="36" t="s">
        <v>222</v>
      </c>
      <c r="F247" s="36" t="s">
        <v>192</v>
      </c>
      <c r="G247" s="36" t="s">
        <v>273</v>
      </c>
      <c r="H247" s="36">
        <v>1</v>
      </c>
      <c r="I247" s="36" t="s">
        <v>179</v>
      </c>
      <c r="J247" s="36">
        <f>YEAR(RESER3[[#This Row],[DATA]])</f>
        <v>2021</v>
      </c>
      <c r="K247" s="36">
        <f t="shared" si="6"/>
        <v>1</v>
      </c>
      <c r="L247" s="36">
        <f>DAY(RESER3[[#This Row],[DATA]])</f>
        <v>25</v>
      </c>
      <c r="M247" s="36"/>
    </row>
    <row r="248" spans="1:13" x14ac:dyDescent="0.25">
      <c r="A248" s="36"/>
      <c r="B248" s="129" t="s">
        <v>16</v>
      </c>
      <c r="C248" s="28">
        <v>44222</v>
      </c>
      <c r="D248" s="36" t="s">
        <v>263</v>
      </c>
      <c r="E248" s="36" t="s">
        <v>222</v>
      </c>
      <c r="F248" s="36" t="s">
        <v>192</v>
      </c>
      <c r="G248" s="36" t="s">
        <v>193</v>
      </c>
      <c r="H248" s="36">
        <v>1</v>
      </c>
      <c r="I248" s="36" t="s">
        <v>179</v>
      </c>
      <c r="J248" s="36">
        <f>YEAR(RESER3[[#This Row],[DATA]])</f>
        <v>2021</v>
      </c>
      <c r="K248" s="36">
        <f t="shared" si="6"/>
        <v>1</v>
      </c>
      <c r="L248" s="36">
        <f>DAY(RESER3[[#This Row],[DATA]])</f>
        <v>26</v>
      </c>
      <c r="M248" s="36"/>
    </row>
    <row r="249" spans="1:13" x14ac:dyDescent="0.25">
      <c r="A249" s="36"/>
      <c r="B249" s="129" t="s">
        <v>16</v>
      </c>
      <c r="C249" s="28">
        <v>44224</v>
      </c>
      <c r="D249" s="36" t="s">
        <v>275</v>
      </c>
      <c r="E249" s="36" t="s">
        <v>222</v>
      </c>
      <c r="F249" s="36" t="s">
        <v>228</v>
      </c>
      <c r="G249" s="36" t="s">
        <v>259</v>
      </c>
      <c r="H249" s="36">
        <v>1</v>
      </c>
      <c r="I249" s="36" t="s">
        <v>179</v>
      </c>
      <c r="J249" s="36">
        <f>YEAR(RESER3[[#This Row],[DATA]])</f>
        <v>2021</v>
      </c>
      <c r="K249" s="36">
        <f t="shared" si="6"/>
        <v>1</v>
      </c>
      <c r="L249" s="36">
        <f>DAY(RESER3[[#This Row],[DATA]])</f>
        <v>28</v>
      </c>
      <c r="M249" s="36"/>
    </row>
    <row r="250" spans="1:13" x14ac:dyDescent="0.25">
      <c r="A250" s="36"/>
      <c r="B250" s="129" t="s">
        <v>16</v>
      </c>
      <c r="C250" s="28">
        <v>44224</v>
      </c>
      <c r="D250" s="36" t="s">
        <v>280</v>
      </c>
      <c r="E250" s="36" t="s">
        <v>222</v>
      </c>
      <c r="F250" s="36" t="s">
        <v>458</v>
      </c>
      <c r="G250" s="36" t="s">
        <v>458</v>
      </c>
      <c r="H250" s="36">
        <v>1</v>
      </c>
      <c r="I250" s="36" t="s">
        <v>179</v>
      </c>
      <c r="J250" s="36">
        <f>YEAR(RESER3[[#This Row],[DATA]])</f>
        <v>2021</v>
      </c>
      <c r="K250" s="36">
        <f t="shared" si="6"/>
        <v>1</v>
      </c>
      <c r="L250" s="36">
        <f>DAY(RESER3[[#This Row],[DATA]])</f>
        <v>28</v>
      </c>
      <c r="M250" s="36"/>
    </row>
    <row r="251" spans="1:13" x14ac:dyDescent="0.25">
      <c r="A251" s="36"/>
      <c r="B251" s="129" t="s">
        <v>16</v>
      </c>
      <c r="C251" s="28">
        <v>44228</v>
      </c>
      <c r="D251" s="36" t="s">
        <v>275</v>
      </c>
      <c r="E251" s="36" t="s">
        <v>222</v>
      </c>
      <c r="F251" s="36" t="s">
        <v>192</v>
      </c>
      <c r="G251" s="36" t="s">
        <v>193</v>
      </c>
      <c r="H251" s="36">
        <v>1</v>
      </c>
      <c r="I251" s="36" t="s">
        <v>179</v>
      </c>
      <c r="J251" s="36">
        <f>YEAR(RESER3[[#This Row],[DATA]])</f>
        <v>2021</v>
      </c>
      <c r="K251" s="36">
        <f t="shared" si="6"/>
        <v>2</v>
      </c>
      <c r="L251" s="36">
        <f>DAY(RESER3[[#This Row],[DATA]])</f>
        <v>1</v>
      </c>
      <c r="M251" s="36"/>
    </row>
    <row r="252" spans="1:13" x14ac:dyDescent="0.25">
      <c r="A252" s="36"/>
      <c r="B252" s="129" t="s">
        <v>16</v>
      </c>
      <c r="C252" s="28">
        <v>44236</v>
      </c>
      <c r="D252" s="36" t="s">
        <v>264</v>
      </c>
      <c r="E252" s="36" t="s">
        <v>302</v>
      </c>
      <c r="F252" s="36" t="s">
        <v>192</v>
      </c>
      <c r="G252" s="36" t="s">
        <v>193</v>
      </c>
      <c r="H252" s="36">
        <v>1</v>
      </c>
      <c r="I252" s="36" t="s">
        <v>179</v>
      </c>
      <c r="J252" s="36">
        <f>YEAR(RESER3[[#This Row],[DATA]])</f>
        <v>2021</v>
      </c>
      <c r="K252" s="36">
        <f t="shared" si="6"/>
        <v>2</v>
      </c>
      <c r="L252" s="36">
        <f>DAY(RESER3[[#This Row],[DATA]])</f>
        <v>9</v>
      </c>
      <c r="M252" s="36"/>
    </row>
    <row r="253" spans="1:13" x14ac:dyDescent="0.25">
      <c r="A253" s="36"/>
      <c r="B253" s="129" t="s">
        <v>16</v>
      </c>
      <c r="C253" s="28">
        <v>44237</v>
      </c>
      <c r="D253" s="36" t="s">
        <v>303</v>
      </c>
      <c r="E253" s="36" t="s">
        <v>222</v>
      </c>
      <c r="F253" s="36" t="s">
        <v>228</v>
      </c>
      <c r="G253" s="36" t="s">
        <v>304</v>
      </c>
      <c r="H253" s="36">
        <v>1</v>
      </c>
      <c r="I253" s="36" t="s">
        <v>179</v>
      </c>
      <c r="J253" s="36">
        <f>YEAR(RESER3[[#This Row],[DATA]])</f>
        <v>2021</v>
      </c>
      <c r="K253" s="36">
        <f t="shared" si="6"/>
        <v>2</v>
      </c>
      <c r="L253" s="36">
        <f>DAY(RESER3[[#This Row],[DATA]])</f>
        <v>10</v>
      </c>
      <c r="M253" s="36"/>
    </row>
    <row r="254" spans="1:13" x14ac:dyDescent="0.25">
      <c r="A254" s="36"/>
      <c r="B254" s="129" t="s">
        <v>16</v>
      </c>
      <c r="C254" s="28">
        <v>44238</v>
      </c>
      <c r="D254" s="36" t="s">
        <v>240</v>
      </c>
      <c r="E254" s="36" t="s">
        <v>222</v>
      </c>
      <c r="F254" s="36" t="s">
        <v>192</v>
      </c>
      <c r="G254" s="36" t="s">
        <v>193</v>
      </c>
      <c r="H254" s="36">
        <v>1</v>
      </c>
      <c r="I254" s="36" t="s">
        <v>179</v>
      </c>
      <c r="J254" s="36">
        <f>YEAR(RESER3[[#This Row],[DATA]])</f>
        <v>2021</v>
      </c>
      <c r="K254" s="36">
        <f t="shared" si="6"/>
        <v>2</v>
      </c>
      <c r="L254" s="36">
        <f>DAY(RESER3[[#This Row],[DATA]])</f>
        <v>11</v>
      </c>
      <c r="M254" s="36"/>
    </row>
    <row r="255" spans="1:13" x14ac:dyDescent="0.25">
      <c r="A255" s="36"/>
      <c r="B255" s="129" t="s">
        <v>16</v>
      </c>
      <c r="C255" s="28">
        <v>44252</v>
      </c>
      <c r="D255" s="36" t="s">
        <v>277</v>
      </c>
      <c r="E255" s="36" t="s">
        <v>222</v>
      </c>
      <c r="F255" s="36" t="s">
        <v>192</v>
      </c>
      <c r="G255" s="36" t="s">
        <v>273</v>
      </c>
      <c r="H255" s="36">
        <v>1</v>
      </c>
      <c r="I255" s="36" t="s">
        <v>179</v>
      </c>
      <c r="J255" s="36">
        <f>YEAR(RESER3[[#This Row],[DATA]])</f>
        <v>2021</v>
      </c>
      <c r="K255" s="36">
        <f t="shared" si="6"/>
        <v>2</v>
      </c>
      <c r="L255" s="36">
        <f>DAY(RESER3[[#This Row],[DATA]])</f>
        <v>25</v>
      </c>
      <c r="M255" s="36"/>
    </row>
    <row r="256" spans="1:13" x14ac:dyDescent="0.25">
      <c r="A256" s="36"/>
      <c r="B256" s="129" t="s">
        <v>16</v>
      </c>
      <c r="C256" s="28">
        <v>44265</v>
      </c>
      <c r="D256" s="36" t="s">
        <v>272</v>
      </c>
      <c r="E256" s="36" t="s">
        <v>222</v>
      </c>
      <c r="F256" s="36" t="s">
        <v>191</v>
      </c>
      <c r="G256" s="36" t="s">
        <v>458</v>
      </c>
      <c r="H256" s="36">
        <v>1</v>
      </c>
      <c r="I256" s="36" t="s">
        <v>179</v>
      </c>
      <c r="J256" s="36">
        <f>YEAR(RESER3[[#This Row],[DATA]])</f>
        <v>2021</v>
      </c>
      <c r="K256" s="36">
        <f t="shared" si="6"/>
        <v>3</v>
      </c>
      <c r="L256" s="36">
        <f>DAY(RESER3[[#This Row],[DATA]])</f>
        <v>10</v>
      </c>
      <c r="M256" s="36"/>
    </row>
    <row r="257" spans="1:13" x14ac:dyDescent="0.25">
      <c r="A257" s="36"/>
      <c r="B257" s="129" t="s">
        <v>16</v>
      </c>
      <c r="C257" s="28">
        <v>44265</v>
      </c>
      <c r="D257" s="36" t="s">
        <v>263</v>
      </c>
      <c r="E257" s="36" t="s">
        <v>222</v>
      </c>
      <c r="F257" s="36" t="s">
        <v>192</v>
      </c>
      <c r="G257" s="36" t="s">
        <v>273</v>
      </c>
      <c r="H257" s="36">
        <v>1</v>
      </c>
      <c r="I257" s="36" t="s">
        <v>179</v>
      </c>
      <c r="J257" s="36">
        <f>YEAR(RESER3[[#This Row],[DATA]])</f>
        <v>2021</v>
      </c>
      <c r="K257" s="36">
        <f t="shared" si="6"/>
        <v>3</v>
      </c>
      <c r="L257" s="36">
        <f>DAY(RESER3[[#This Row],[DATA]])</f>
        <v>10</v>
      </c>
      <c r="M257" s="36"/>
    </row>
    <row r="258" spans="1:13" x14ac:dyDescent="0.25">
      <c r="A258" s="36"/>
      <c r="B258" s="129" t="s">
        <v>16</v>
      </c>
      <c r="C258" s="28">
        <v>44271</v>
      </c>
      <c r="D258" s="36" t="s">
        <v>251</v>
      </c>
      <c r="E258" s="36" t="s">
        <v>190</v>
      </c>
      <c r="F258" s="36" t="s">
        <v>192</v>
      </c>
      <c r="G258" s="36" t="s">
        <v>193</v>
      </c>
      <c r="H258" s="36">
        <v>1</v>
      </c>
      <c r="I258" s="36" t="s">
        <v>179</v>
      </c>
      <c r="J258" s="36">
        <f>YEAR(RESER3[[#This Row],[DATA]])</f>
        <v>2021</v>
      </c>
      <c r="K258" s="36">
        <f t="shared" si="6"/>
        <v>3</v>
      </c>
      <c r="L258" s="36">
        <f>DAY(RESER3[[#This Row],[DATA]])</f>
        <v>16</v>
      </c>
      <c r="M258" s="36"/>
    </row>
    <row r="259" spans="1:13" x14ac:dyDescent="0.25">
      <c r="A259" s="36"/>
      <c r="B259" s="129" t="s">
        <v>16</v>
      </c>
      <c r="C259" s="28">
        <v>44271</v>
      </c>
      <c r="D259" s="36" t="s">
        <v>280</v>
      </c>
      <c r="E259" s="36" t="s">
        <v>222</v>
      </c>
      <c r="F259" s="36" t="s">
        <v>191</v>
      </c>
      <c r="G259" s="36" t="s">
        <v>191</v>
      </c>
      <c r="H259" s="36">
        <v>1</v>
      </c>
      <c r="I259" s="36" t="s">
        <v>179</v>
      </c>
      <c r="J259" s="36">
        <f>YEAR(RESER3[[#This Row],[DATA]])</f>
        <v>2021</v>
      </c>
      <c r="K259" s="36">
        <f t="shared" ref="K259:K322" si="7">MONTH(C259)</f>
        <v>3</v>
      </c>
      <c r="L259" s="36">
        <f>DAY(RESER3[[#This Row],[DATA]])</f>
        <v>16</v>
      </c>
      <c r="M259" s="36"/>
    </row>
    <row r="260" spans="1:13" x14ac:dyDescent="0.25">
      <c r="A260" s="36"/>
      <c r="B260" s="129" t="s">
        <v>16</v>
      </c>
      <c r="C260" s="28">
        <v>44273</v>
      </c>
      <c r="D260" s="36" t="s">
        <v>277</v>
      </c>
      <c r="E260" s="36" t="s">
        <v>222</v>
      </c>
      <c r="F260" s="36" t="s">
        <v>196</v>
      </c>
      <c r="G260" s="36" t="s">
        <v>282</v>
      </c>
      <c r="H260" s="36">
        <v>1</v>
      </c>
      <c r="I260" s="36" t="s">
        <v>179</v>
      </c>
      <c r="J260" s="36">
        <f>YEAR(RESER3[[#This Row],[DATA]])</f>
        <v>2021</v>
      </c>
      <c r="K260" s="36">
        <f t="shared" si="7"/>
        <v>3</v>
      </c>
      <c r="L260" s="36">
        <f>DAY(RESER3[[#This Row],[DATA]])</f>
        <v>18</v>
      </c>
      <c r="M260" s="36"/>
    </row>
    <row r="261" spans="1:13" x14ac:dyDescent="0.25">
      <c r="A261" s="36"/>
      <c r="B261" s="129" t="s">
        <v>16</v>
      </c>
      <c r="C261" s="28">
        <v>44284</v>
      </c>
      <c r="D261" s="36" t="s">
        <v>189</v>
      </c>
      <c r="E261" s="36" t="s">
        <v>190</v>
      </c>
      <c r="F261" s="36" t="s">
        <v>192</v>
      </c>
      <c r="G261" s="36" t="s">
        <v>193</v>
      </c>
      <c r="H261" s="36">
        <v>1</v>
      </c>
      <c r="I261" s="36" t="s">
        <v>179</v>
      </c>
      <c r="J261" s="36">
        <f>YEAR(RESER3[[#This Row],[DATA]])</f>
        <v>2021</v>
      </c>
      <c r="K261" s="36">
        <f t="shared" si="7"/>
        <v>3</v>
      </c>
      <c r="L261" s="36">
        <f>DAY(RESER3[[#This Row],[DATA]])</f>
        <v>29</v>
      </c>
      <c r="M261" s="36"/>
    </row>
    <row r="262" spans="1:13" x14ac:dyDescent="0.25">
      <c r="A262" s="36"/>
      <c r="B262" s="129" t="s">
        <v>16</v>
      </c>
      <c r="C262" s="28">
        <v>44284</v>
      </c>
      <c r="D262" s="36" t="s">
        <v>280</v>
      </c>
      <c r="E262" s="36" t="s">
        <v>222</v>
      </c>
      <c r="F262" s="36" t="s">
        <v>191</v>
      </c>
      <c r="G262" s="36" t="s">
        <v>458</v>
      </c>
      <c r="H262" s="36">
        <v>1</v>
      </c>
      <c r="I262" s="36" t="s">
        <v>179</v>
      </c>
      <c r="J262" s="36">
        <f>YEAR(RESER3[[#This Row],[DATA]])</f>
        <v>2021</v>
      </c>
      <c r="K262" s="36">
        <f t="shared" si="7"/>
        <v>3</v>
      </c>
      <c r="L262" s="36">
        <f>DAY(RESER3[[#This Row],[DATA]])</f>
        <v>29</v>
      </c>
      <c r="M262" s="36"/>
    </row>
    <row r="263" spans="1:13" x14ac:dyDescent="0.25">
      <c r="A263" s="36"/>
      <c r="B263" s="129" t="s">
        <v>16</v>
      </c>
      <c r="C263" s="28">
        <v>44285</v>
      </c>
      <c r="D263" s="36" t="s">
        <v>189</v>
      </c>
      <c r="E263" s="36" t="s">
        <v>190</v>
      </c>
      <c r="F263" s="36" t="s">
        <v>192</v>
      </c>
      <c r="G263" s="36" t="s">
        <v>193</v>
      </c>
      <c r="H263" s="36">
        <v>1</v>
      </c>
      <c r="I263" s="36" t="s">
        <v>179</v>
      </c>
      <c r="J263" s="36">
        <f>YEAR(RESER3[[#This Row],[DATA]])</f>
        <v>2021</v>
      </c>
      <c r="K263" s="36">
        <f t="shared" si="7"/>
        <v>3</v>
      </c>
      <c r="L263" s="36">
        <f>DAY(RESER3[[#This Row],[DATA]])</f>
        <v>30</v>
      </c>
      <c r="M263" s="36"/>
    </row>
    <row r="264" spans="1:13" x14ac:dyDescent="0.25">
      <c r="A264" s="36"/>
      <c r="B264" s="129" t="s">
        <v>16</v>
      </c>
      <c r="C264" s="28">
        <v>44291</v>
      </c>
      <c r="D264" s="36" t="s">
        <v>189</v>
      </c>
      <c r="E264" s="36" t="s">
        <v>222</v>
      </c>
      <c r="F264" s="36" t="s">
        <v>228</v>
      </c>
      <c r="G264" s="36" t="s">
        <v>305</v>
      </c>
      <c r="H264" s="36">
        <v>1</v>
      </c>
      <c r="I264" s="36" t="s">
        <v>179</v>
      </c>
      <c r="J264" s="36">
        <f>YEAR(RESER3[[#This Row],[DATA]])</f>
        <v>2021</v>
      </c>
      <c r="K264" s="36">
        <f t="shared" si="7"/>
        <v>4</v>
      </c>
      <c r="L264" s="36">
        <f>DAY(RESER3[[#This Row],[DATA]])</f>
        <v>5</v>
      </c>
      <c r="M264" s="36"/>
    </row>
    <row r="265" spans="1:13" x14ac:dyDescent="0.25">
      <c r="A265" s="36"/>
      <c r="B265" s="129" t="s">
        <v>16</v>
      </c>
      <c r="C265" s="28">
        <v>44291</v>
      </c>
      <c r="D265" s="36" t="s">
        <v>189</v>
      </c>
      <c r="E265" s="36" t="s">
        <v>190</v>
      </c>
      <c r="F265" s="36" t="s">
        <v>228</v>
      </c>
      <c r="G265" s="36" t="s">
        <v>254</v>
      </c>
      <c r="H265" s="36">
        <v>1</v>
      </c>
      <c r="I265" s="36" t="s">
        <v>179</v>
      </c>
      <c r="J265" s="36">
        <f>YEAR(RESER3[[#This Row],[DATA]])</f>
        <v>2021</v>
      </c>
      <c r="K265" s="36">
        <f t="shared" si="7"/>
        <v>4</v>
      </c>
      <c r="L265" s="36">
        <f>DAY(RESER3[[#This Row],[DATA]])</f>
        <v>5</v>
      </c>
      <c r="M265" s="36"/>
    </row>
    <row r="266" spans="1:13" x14ac:dyDescent="0.25">
      <c r="A266" s="36"/>
      <c r="B266" s="129" t="s">
        <v>16</v>
      </c>
      <c r="C266" s="28">
        <v>44292</v>
      </c>
      <c r="D266" s="36" t="s">
        <v>189</v>
      </c>
      <c r="E266" s="36" t="s">
        <v>222</v>
      </c>
      <c r="F266" s="36" t="s">
        <v>192</v>
      </c>
      <c r="G266" s="36" t="s">
        <v>193</v>
      </c>
      <c r="H266" s="36">
        <v>1</v>
      </c>
      <c r="I266" s="36" t="s">
        <v>179</v>
      </c>
      <c r="J266" s="36">
        <f>YEAR(RESER3[[#This Row],[DATA]])</f>
        <v>2021</v>
      </c>
      <c r="K266" s="36">
        <f t="shared" si="7"/>
        <v>4</v>
      </c>
      <c r="L266" s="36">
        <f>DAY(RESER3[[#This Row],[DATA]])</f>
        <v>6</v>
      </c>
      <c r="M266" s="36"/>
    </row>
    <row r="267" spans="1:13" x14ac:dyDescent="0.25">
      <c r="A267" s="36"/>
      <c r="B267" s="129" t="s">
        <v>16</v>
      </c>
      <c r="C267" s="28">
        <v>44294</v>
      </c>
      <c r="D267" s="36" t="s">
        <v>280</v>
      </c>
      <c r="E267" s="36" t="s">
        <v>222</v>
      </c>
      <c r="F267" s="36" t="s">
        <v>191</v>
      </c>
      <c r="G267" s="36" t="s">
        <v>191</v>
      </c>
      <c r="H267" s="36">
        <v>1</v>
      </c>
      <c r="I267" s="36" t="s">
        <v>179</v>
      </c>
      <c r="J267" s="36">
        <f>YEAR(RESER3[[#This Row],[DATA]])</f>
        <v>2021</v>
      </c>
      <c r="K267" s="36">
        <f t="shared" si="7"/>
        <v>4</v>
      </c>
      <c r="L267" s="36">
        <f>DAY(RESER3[[#This Row],[DATA]])</f>
        <v>8</v>
      </c>
      <c r="M267" s="36"/>
    </row>
    <row r="268" spans="1:13" x14ac:dyDescent="0.25">
      <c r="A268" s="36"/>
      <c r="B268" s="129" t="s">
        <v>16</v>
      </c>
      <c r="C268" s="28">
        <v>44294</v>
      </c>
      <c r="D268" s="36" t="s">
        <v>189</v>
      </c>
      <c r="E268" s="36" t="s">
        <v>222</v>
      </c>
      <c r="F268" s="36" t="s">
        <v>196</v>
      </c>
      <c r="G268" s="36" t="s">
        <v>306</v>
      </c>
      <c r="H268" s="36">
        <v>1</v>
      </c>
      <c r="I268" s="36" t="s">
        <v>179</v>
      </c>
      <c r="J268" s="36">
        <f>YEAR(RESER3[[#This Row],[DATA]])</f>
        <v>2021</v>
      </c>
      <c r="K268" s="36">
        <f t="shared" si="7"/>
        <v>4</v>
      </c>
      <c r="L268" s="36">
        <f>DAY(RESER3[[#This Row],[DATA]])</f>
        <v>8</v>
      </c>
      <c r="M268" s="36"/>
    </row>
    <row r="269" spans="1:13" x14ac:dyDescent="0.25">
      <c r="A269" s="36"/>
      <c r="B269" s="129" t="s">
        <v>16</v>
      </c>
      <c r="C269" s="28">
        <v>44294</v>
      </c>
      <c r="D269" s="36" t="s">
        <v>189</v>
      </c>
      <c r="E269" s="36" t="s">
        <v>190</v>
      </c>
      <c r="F269" s="36" t="s">
        <v>228</v>
      </c>
      <c r="G269" s="36" t="s">
        <v>259</v>
      </c>
      <c r="H269" s="36">
        <v>1</v>
      </c>
      <c r="I269" s="36" t="s">
        <v>179</v>
      </c>
      <c r="J269" s="36">
        <f>YEAR(RESER3[[#This Row],[DATA]])</f>
        <v>2021</v>
      </c>
      <c r="K269" s="36">
        <f t="shared" si="7"/>
        <v>4</v>
      </c>
      <c r="L269" s="36">
        <f>DAY(RESER3[[#This Row],[DATA]])</f>
        <v>8</v>
      </c>
      <c r="M269" s="36"/>
    </row>
    <row r="270" spans="1:13" x14ac:dyDescent="0.25">
      <c r="A270" s="36"/>
      <c r="B270" s="129" t="s">
        <v>16</v>
      </c>
      <c r="C270" s="28">
        <v>44298</v>
      </c>
      <c r="D270" s="36" t="s">
        <v>189</v>
      </c>
      <c r="E270" s="36" t="s">
        <v>222</v>
      </c>
      <c r="F270" s="36" t="s">
        <v>228</v>
      </c>
      <c r="G270" s="36" t="s">
        <v>259</v>
      </c>
      <c r="H270" s="36">
        <v>1</v>
      </c>
      <c r="I270" s="36" t="s">
        <v>179</v>
      </c>
      <c r="J270" s="36">
        <f>YEAR(RESER3[[#This Row],[DATA]])</f>
        <v>2021</v>
      </c>
      <c r="K270" s="36">
        <f t="shared" si="7"/>
        <v>4</v>
      </c>
      <c r="L270" s="36">
        <f>DAY(RESER3[[#This Row],[DATA]])</f>
        <v>12</v>
      </c>
      <c r="M270" s="36"/>
    </row>
    <row r="271" spans="1:13" x14ac:dyDescent="0.25">
      <c r="A271" s="36"/>
      <c r="B271" s="129" t="s">
        <v>16</v>
      </c>
      <c r="C271" s="28">
        <v>44305</v>
      </c>
      <c r="D271" s="36" t="s">
        <v>275</v>
      </c>
      <c r="E271" s="36" t="s">
        <v>222</v>
      </c>
      <c r="F271" s="36" t="s">
        <v>192</v>
      </c>
      <c r="G271" s="36" t="s">
        <v>193</v>
      </c>
      <c r="H271" s="36">
        <v>1</v>
      </c>
      <c r="I271" s="36" t="s">
        <v>179</v>
      </c>
      <c r="J271" s="36">
        <f>YEAR(RESER3[[#This Row],[DATA]])</f>
        <v>2021</v>
      </c>
      <c r="K271" s="36">
        <f t="shared" si="7"/>
        <v>4</v>
      </c>
      <c r="L271" s="36">
        <f>DAY(RESER3[[#This Row],[DATA]])</f>
        <v>19</v>
      </c>
      <c r="M271" s="36"/>
    </row>
    <row r="272" spans="1:13" x14ac:dyDescent="0.25">
      <c r="A272" s="36"/>
      <c r="B272" s="129" t="s">
        <v>16</v>
      </c>
      <c r="C272" s="28">
        <v>44305</v>
      </c>
      <c r="D272" s="36" t="s">
        <v>275</v>
      </c>
      <c r="E272" s="36" t="s">
        <v>222</v>
      </c>
      <c r="F272" s="36" t="s">
        <v>196</v>
      </c>
      <c r="G272" s="36" t="s">
        <v>307</v>
      </c>
      <c r="H272" s="36">
        <v>1</v>
      </c>
      <c r="I272" s="36" t="s">
        <v>179</v>
      </c>
      <c r="J272" s="36">
        <f>YEAR(RESER3[[#This Row],[DATA]])</f>
        <v>2021</v>
      </c>
      <c r="K272" s="36">
        <f t="shared" si="7"/>
        <v>4</v>
      </c>
      <c r="L272" s="36">
        <f>DAY(RESER3[[#This Row],[DATA]])</f>
        <v>19</v>
      </c>
      <c r="M272" s="36"/>
    </row>
    <row r="273" spans="1:13" x14ac:dyDescent="0.25">
      <c r="A273" s="36"/>
      <c r="B273" s="129" t="s">
        <v>16</v>
      </c>
      <c r="C273" s="28">
        <v>44308</v>
      </c>
      <c r="D273" s="36" t="s">
        <v>233</v>
      </c>
      <c r="E273" s="36" t="s">
        <v>222</v>
      </c>
      <c r="F273" s="36" t="s">
        <v>192</v>
      </c>
      <c r="G273" s="36" t="s">
        <v>193</v>
      </c>
      <c r="H273" s="36">
        <v>1</v>
      </c>
      <c r="I273" s="36" t="s">
        <v>179</v>
      </c>
      <c r="J273" s="36">
        <f>YEAR(RESER3[[#This Row],[DATA]])</f>
        <v>2021</v>
      </c>
      <c r="K273" s="36">
        <f t="shared" si="7"/>
        <v>4</v>
      </c>
      <c r="L273" s="36">
        <f>DAY(RESER3[[#This Row],[DATA]])</f>
        <v>22</v>
      </c>
      <c r="M273" s="36"/>
    </row>
    <row r="274" spans="1:13" x14ac:dyDescent="0.25">
      <c r="A274" s="36"/>
      <c r="B274" s="129" t="s">
        <v>16</v>
      </c>
      <c r="C274" s="28">
        <v>44309</v>
      </c>
      <c r="D274" s="36" t="s">
        <v>233</v>
      </c>
      <c r="E274" s="36" t="s">
        <v>190</v>
      </c>
      <c r="F274" s="36" t="s">
        <v>191</v>
      </c>
      <c r="G274" s="36" t="s">
        <v>191</v>
      </c>
      <c r="H274" s="36">
        <v>1</v>
      </c>
      <c r="I274" s="36" t="s">
        <v>179</v>
      </c>
      <c r="J274" s="36">
        <f>YEAR(RESER3[[#This Row],[DATA]])</f>
        <v>2021</v>
      </c>
      <c r="K274" s="36">
        <f t="shared" si="7"/>
        <v>4</v>
      </c>
      <c r="L274" s="36">
        <f>DAY(RESER3[[#This Row],[DATA]])</f>
        <v>23</v>
      </c>
      <c r="M274" s="36"/>
    </row>
    <row r="275" spans="1:13" x14ac:dyDescent="0.25">
      <c r="A275" s="36"/>
      <c r="B275" s="129" t="s">
        <v>16</v>
      </c>
      <c r="C275" s="28">
        <v>44319</v>
      </c>
      <c r="D275" s="36" t="s">
        <v>275</v>
      </c>
      <c r="E275" s="36" t="s">
        <v>190</v>
      </c>
      <c r="F275" s="36" t="s">
        <v>192</v>
      </c>
      <c r="G275" s="36" t="s">
        <v>235</v>
      </c>
      <c r="H275" s="36">
        <v>1</v>
      </c>
      <c r="I275" s="36" t="s">
        <v>179</v>
      </c>
      <c r="J275" s="36">
        <f>YEAR(RESER3[[#This Row],[DATA]])</f>
        <v>2021</v>
      </c>
      <c r="K275" s="36">
        <f t="shared" si="7"/>
        <v>5</v>
      </c>
      <c r="L275" s="36">
        <f>DAY(RESER3[[#This Row],[DATA]])</f>
        <v>3</v>
      </c>
      <c r="M275" s="36"/>
    </row>
    <row r="276" spans="1:13" x14ac:dyDescent="0.25">
      <c r="A276" s="36"/>
      <c r="B276" s="129" t="s">
        <v>16</v>
      </c>
      <c r="C276" s="28">
        <v>44320</v>
      </c>
      <c r="D276" s="36" t="s">
        <v>308</v>
      </c>
      <c r="E276" s="36" t="s">
        <v>222</v>
      </c>
      <c r="F276" s="36" t="s">
        <v>192</v>
      </c>
      <c r="G276" s="36" t="s">
        <v>235</v>
      </c>
      <c r="H276" s="36">
        <v>1</v>
      </c>
      <c r="I276" s="36" t="s">
        <v>179</v>
      </c>
      <c r="J276" s="36">
        <f>YEAR(RESER3[[#This Row],[DATA]])</f>
        <v>2021</v>
      </c>
      <c r="K276" s="36">
        <f t="shared" si="7"/>
        <v>5</v>
      </c>
      <c r="L276" s="36">
        <f>DAY(RESER3[[#This Row],[DATA]])</f>
        <v>4</v>
      </c>
      <c r="M276" s="36"/>
    </row>
    <row r="277" spans="1:13" x14ac:dyDescent="0.25">
      <c r="A277" s="36"/>
      <c r="B277" s="129" t="s">
        <v>16</v>
      </c>
      <c r="C277" s="28">
        <v>44321</v>
      </c>
      <c r="D277" s="36" t="s">
        <v>268</v>
      </c>
      <c r="E277" s="36" t="s">
        <v>190</v>
      </c>
      <c r="F277" s="36" t="s">
        <v>196</v>
      </c>
      <c r="G277" s="36" t="s">
        <v>309</v>
      </c>
      <c r="H277" s="36">
        <v>1</v>
      </c>
      <c r="I277" s="36" t="s">
        <v>179</v>
      </c>
      <c r="J277" s="36">
        <f>YEAR(RESER3[[#This Row],[DATA]])</f>
        <v>2021</v>
      </c>
      <c r="K277" s="36">
        <f t="shared" si="7"/>
        <v>5</v>
      </c>
      <c r="L277" s="36">
        <f>DAY(RESER3[[#This Row],[DATA]])</f>
        <v>5</v>
      </c>
      <c r="M277" s="36"/>
    </row>
    <row r="278" spans="1:13" x14ac:dyDescent="0.25">
      <c r="A278" s="36"/>
      <c r="B278" s="129" t="s">
        <v>16</v>
      </c>
      <c r="C278" s="28">
        <v>44322</v>
      </c>
      <c r="D278" s="36" t="s">
        <v>277</v>
      </c>
      <c r="E278" s="36" t="s">
        <v>190</v>
      </c>
      <c r="F278" s="36" t="s">
        <v>228</v>
      </c>
      <c r="G278" s="36" t="s">
        <v>310</v>
      </c>
      <c r="H278" s="36">
        <v>1</v>
      </c>
      <c r="I278" s="36" t="s">
        <v>179</v>
      </c>
      <c r="J278" s="36">
        <f>YEAR(RESER3[[#This Row],[DATA]])</f>
        <v>2021</v>
      </c>
      <c r="K278" s="36">
        <f t="shared" si="7"/>
        <v>5</v>
      </c>
      <c r="L278" s="36">
        <f>DAY(RESER3[[#This Row],[DATA]])</f>
        <v>6</v>
      </c>
      <c r="M278" s="36"/>
    </row>
    <row r="279" spans="1:13" x14ac:dyDescent="0.25">
      <c r="A279" s="36"/>
      <c r="B279" s="129" t="s">
        <v>16</v>
      </c>
      <c r="C279" s="28">
        <v>44326</v>
      </c>
      <c r="D279" s="36" t="s">
        <v>233</v>
      </c>
      <c r="E279" s="36" t="s">
        <v>190</v>
      </c>
      <c r="F279" s="36" t="s">
        <v>191</v>
      </c>
      <c r="G279" s="36" t="s">
        <v>191</v>
      </c>
      <c r="H279" s="36">
        <v>1</v>
      </c>
      <c r="I279" s="36" t="s">
        <v>179</v>
      </c>
      <c r="J279" s="36">
        <f>YEAR(RESER3[[#This Row],[DATA]])</f>
        <v>2021</v>
      </c>
      <c r="K279" s="36">
        <f t="shared" si="7"/>
        <v>5</v>
      </c>
      <c r="L279" s="36">
        <f>DAY(RESER3[[#This Row],[DATA]])</f>
        <v>10</v>
      </c>
      <c r="M279" s="36"/>
    </row>
    <row r="280" spans="1:13" x14ac:dyDescent="0.25">
      <c r="A280" s="36"/>
      <c r="B280" s="129" t="s">
        <v>16</v>
      </c>
      <c r="C280" s="28">
        <v>44326</v>
      </c>
      <c r="D280" s="36" t="s">
        <v>275</v>
      </c>
      <c r="E280" s="36" t="s">
        <v>190</v>
      </c>
      <c r="F280" s="36" t="s">
        <v>196</v>
      </c>
      <c r="G280" s="36" t="s">
        <v>311</v>
      </c>
      <c r="H280" s="36">
        <v>1</v>
      </c>
      <c r="I280" s="36" t="s">
        <v>179</v>
      </c>
      <c r="J280" s="36">
        <f>YEAR(RESER3[[#This Row],[DATA]])</f>
        <v>2021</v>
      </c>
      <c r="K280" s="36">
        <f t="shared" si="7"/>
        <v>5</v>
      </c>
      <c r="L280" s="36">
        <f>DAY(RESER3[[#This Row],[DATA]])</f>
        <v>10</v>
      </c>
      <c r="M280" s="36"/>
    </row>
    <row r="281" spans="1:13" x14ac:dyDescent="0.25">
      <c r="A281" s="36"/>
      <c r="B281" s="129" t="s">
        <v>16</v>
      </c>
      <c r="C281" s="28">
        <v>44303</v>
      </c>
      <c r="D281" s="36" t="s">
        <v>251</v>
      </c>
      <c r="E281" s="36" t="s">
        <v>190</v>
      </c>
      <c r="F281" s="36" t="s">
        <v>228</v>
      </c>
      <c r="G281" s="36" t="s">
        <v>257</v>
      </c>
      <c r="H281" s="36">
        <v>1</v>
      </c>
      <c r="I281" s="36" t="s">
        <v>179</v>
      </c>
      <c r="J281" s="36">
        <f>YEAR(RESER3[[#This Row],[DATA]])</f>
        <v>2021</v>
      </c>
      <c r="K281" s="36">
        <f t="shared" si="7"/>
        <v>4</v>
      </c>
      <c r="L281" s="36">
        <f>DAY(RESER3[[#This Row],[DATA]])</f>
        <v>17</v>
      </c>
      <c r="M281" s="36"/>
    </row>
    <row r="282" spans="1:13" x14ac:dyDescent="0.25">
      <c r="A282" s="36"/>
      <c r="B282" s="129" t="s">
        <v>16</v>
      </c>
      <c r="C282" s="28">
        <v>44340</v>
      </c>
      <c r="D282" s="36" t="s">
        <v>251</v>
      </c>
      <c r="E282" s="36" t="s">
        <v>190</v>
      </c>
      <c r="F282" s="36" t="s">
        <v>228</v>
      </c>
      <c r="G282" s="36" t="s">
        <v>257</v>
      </c>
      <c r="H282" s="36">
        <v>1</v>
      </c>
      <c r="I282" s="36" t="s">
        <v>179</v>
      </c>
      <c r="J282" s="36">
        <f>YEAR(RESER3[[#This Row],[DATA]])</f>
        <v>2021</v>
      </c>
      <c r="K282" s="36">
        <f t="shared" si="7"/>
        <v>5</v>
      </c>
      <c r="L282" s="36">
        <f>DAY(RESER3[[#This Row],[DATA]])</f>
        <v>24</v>
      </c>
      <c r="M282" s="36"/>
    </row>
    <row r="283" spans="1:13" x14ac:dyDescent="0.25">
      <c r="A283" s="36"/>
      <c r="B283" s="129" t="s">
        <v>16</v>
      </c>
      <c r="C283" s="28">
        <v>44340</v>
      </c>
      <c r="D283" s="36" t="s">
        <v>251</v>
      </c>
      <c r="E283" s="36" t="s">
        <v>190</v>
      </c>
      <c r="F283" s="36" t="s">
        <v>191</v>
      </c>
      <c r="G283" s="36" t="s">
        <v>191</v>
      </c>
      <c r="H283" s="36">
        <v>1</v>
      </c>
      <c r="I283" s="36" t="s">
        <v>179</v>
      </c>
      <c r="J283" s="36">
        <f>YEAR(RESER3[[#This Row],[DATA]])</f>
        <v>2021</v>
      </c>
      <c r="K283" s="36">
        <f t="shared" si="7"/>
        <v>5</v>
      </c>
      <c r="L283" s="36">
        <f>DAY(RESER3[[#This Row],[DATA]])</f>
        <v>24</v>
      </c>
      <c r="M283" s="36"/>
    </row>
    <row r="284" spans="1:13" x14ac:dyDescent="0.25">
      <c r="A284" s="36"/>
      <c r="B284" s="129" t="s">
        <v>16</v>
      </c>
      <c r="C284" s="28">
        <v>44348</v>
      </c>
      <c r="D284" s="36" t="s">
        <v>274</v>
      </c>
      <c r="E284" s="36" t="s">
        <v>222</v>
      </c>
      <c r="F284" s="36" t="s">
        <v>196</v>
      </c>
      <c r="G284" s="36" t="s">
        <v>312</v>
      </c>
      <c r="H284" s="36">
        <v>1</v>
      </c>
      <c r="I284" s="36" t="s">
        <v>179</v>
      </c>
      <c r="J284" s="36">
        <f>YEAR(RESER3[[#This Row],[DATA]])</f>
        <v>2021</v>
      </c>
      <c r="K284" s="36">
        <f t="shared" si="7"/>
        <v>6</v>
      </c>
      <c r="L284" s="36">
        <f>DAY(RESER3[[#This Row],[DATA]])</f>
        <v>1</v>
      </c>
      <c r="M284" s="36"/>
    </row>
    <row r="285" spans="1:13" x14ac:dyDescent="0.25">
      <c r="A285" s="36"/>
      <c r="B285" s="129" t="s">
        <v>16</v>
      </c>
      <c r="C285" s="28">
        <v>44355</v>
      </c>
      <c r="D285" s="36" t="s">
        <v>275</v>
      </c>
      <c r="E285" s="36" t="s">
        <v>190</v>
      </c>
      <c r="F285" s="36" t="s">
        <v>228</v>
      </c>
      <c r="G285" s="36" t="s">
        <v>257</v>
      </c>
      <c r="H285" s="36">
        <v>1</v>
      </c>
      <c r="I285" s="36" t="s">
        <v>179</v>
      </c>
      <c r="J285" s="36">
        <f>YEAR(RESER3[[#This Row],[DATA]])</f>
        <v>2021</v>
      </c>
      <c r="K285" s="36">
        <f t="shared" si="7"/>
        <v>6</v>
      </c>
      <c r="L285" s="36">
        <f>DAY(RESER3[[#This Row],[DATA]])</f>
        <v>8</v>
      </c>
      <c r="M285" s="36"/>
    </row>
    <row r="286" spans="1:13" x14ac:dyDescent="0.25">
      <c r="A286" s="36"/>
      <c r="B286" s="129" t="s">
        <v>16</v>
      </c>
      <c r="C286" s="28">
        <v>44357</v>
      </c>
      <c r="D286" s="36" t="s">
        <v>233</v>
      </c>
      <c r="E286" s="36" t="s">
        <v>222</v>
      </c>
      <c r="F286" s="36" t="s">
        <v>191</v>
      </c>
      <c r="G286" s="36" t="s">
        <v>191</v>
      </c>
      <c r="H286" s="36">
        <v>1</v>
      </c>
      <c r="I286" s="36" t="s">
        <v>179</v>
      </c>
      <c r="J286" s="36">
        <f>YEAR(RESER3[[#This Row],[DATA]])</f>
        <v>2021</v>
      </c>
      <c r="K286" s="36">
        <f t="shared" si="7"/>
        <v>6</v>
      </c>
      <c r="L286" s="36">
        <f>DAY(RESER3[[#This Row],[DATA]])</f>
        <v>10</v>
      </c>
      <c r="M286" s="36"/>
    </row>
    <row r="287" spans="1:13" x14ac:dyDescent="0.25">
      <c r="A287" s="36"/>
      <c r="B287" s="129" t="s">
        <v>16</v>
      </c>
      <c r="C287" s="28">
        <v>44361</v>
      </c>
      <c r="D287" s="36" t="s">
        <v>274</v>
      </c>
      <c r="E287" s="36" t="s">
        <v>222</v>
      </c>
      <c r="F287" s="36" t="s">
        <v>228</v>
      </c>
      <c r="G287" s="36" t="s">
        <v>257</v>
      </c>
      <c r="H287" s="36">
        <v>1</v>
      </c>
      <c r="I287" s="36" t="s">
        <v>179</v>
      </c>
      <c r="J287" s="36">
        <f>YEAR(RESER3[[#This Row],[DATA]])</f>
        <v>2021</v>
      </c>
      <c r="K287" s="36">
        <f t="shared" si="7"/>
        <v>6</v>
      </c>
      <c r="L287" s="36">
        <f>DAY(RESER3[[#This Row],[DATA]])</f>
        <v>14</v>
      </c>
      <c r="M287" s="36"/>
    </row>
    <row r="288" spans="1:13" x14ac:dyDescent="0.25">
      <c r="A288" s="36"/>
      <c r="B288" s="129" t="s">
        <v>16</v>
      </c>
      <c r="C288" s="28">
        <v>44362</v>
      </c>
      <c r="D288" s="36" t="s">
        <v>274</v>
      </c>
      <c r="E288" s="36" t="s">
        <v>222</v>
      </c>
      <c r="F288" s="36" t="s">
        <v>191</v>
      </c>
      <c r="G288" s="36" t="s">
        <v>191</v>
      </c>
      <c r="H288" s="36">
        <v>1</v>
      </c>
      <c r="I288" s="36" t="s">
        <v>179</v>
      </c>
      <c r="J288" s="36">
        <f>YEAR(RESER3[[#This Row],[DATA]])</f>
        <v>2021</v>
      </c>
      <c r="K288" s="36">
        <f t="shared" si="7"/>
        <v>6</v>
      </c>
      <c r="L288" s="36">
        <f>DAY(RESER3[[#This Row],[DATA]])</f>
        <v>15</v>
      </c>
      <c r="M288" s="36"/>
    </row>
    <row r="289" spans="1:13" x14ac:dyDescent="0.25">
      <c r="A289" s="36"/>
      <c r="B289" s="129" t="s">
        <v>16</v>
      </c>
      <c r="C289" s="28">
        <v>44362</v>
      </c>
      <c r="D289" s="36" t="s">
        <v>275</v>
      </c>
      <c r="E289" s="36" t="s">
        <v>190</v>
      </c>
      <c r="F289" s="36" t="s">
        <v>228</v>
      </c>
      <c r="G289" s="36" t="s">
        <v>257</v>
      </c>
      <c r="H289" s="36">
        <v>1</v>
      </c>
      <c r="I289" s="36" t="s">
        <v>179</v>
      </c>
      <c r="J289" s="36">
        <f>YEAR(RESER3[[#This Row],[DATA]])</f>
        <v>2021</v>
      </c>
      <c r="K289" s="36">
        <f t="shared" si="7"/>
        <v>6</v>
      </c>
      <c r="L289" s="36">
        <f>DAY(RESER3[[#This Row],[DATA]])</f>
        <v>15</v>
      </c>
      <c r="M289" s="36"/>
    </row>
    <row r="290" spans="1:13" x14ac:dyDescent="0.25">
      <c r="A290" s="36"/>
      <c r="B290" s="129" t="s">
        <v>16</v>
      </c>
      <c r="C290" s="28">
        <v>44362</v>
      </c>
      <c r="D290" s="36" t="s">
        <v>281</v>
      </c>
      <c r="E290" s="36" t="s">
        <v>190</v>
      </c>
      <c r="F290" s="36" t="s">
        <v>192</v>
      </c>
      <c r="G290" s="36" t="s">
        <v>313</v>
      </c>
      <c r="H290" s="36">
        <v>1</v>
      </c>
      <c r="I290" s="36" t="s">
        <v>179</v>
      </c>
      <c r="J290" s="36">
        <f>YEAR(RESER3[[#This Row],[DATA]])</f>
        <v>2021</v>
      </c>
      <c r="K290" s="36">
        <f t="shared" si="7"/>
        <v>6</v>
      </c>
      <c r="L290" s="36">
        <f>DAY(RESER3[[#This Row],[DATA]])</f>
        <v>15</v>
      </c>
      <c r="M290" s="36"/>
    </row>
    <row r="291" spans="1:13" x14ac:dyDescent="0.25">
      <c r="A291" s="36"/>
      <c r="B291" s="129" t="s">
        <v>16</v>
      </c>
      <c r="C291" s="28">
        <v>44363</v>
      </c>
      <c r="D291" s="36" t="s">
        <v>258</v>
      </c>
      <c r="E291" s="36" t="s">
        <v>222</v>
      </c>
      <c r="F291" s="36" t="s">
        <v>228</v>
      </c>
      <c r="G291" s="36" t="s">
        <v>257</v>
      </c>
      <c r="H291" s="36">
        <v>1</v>
      </c>
      <c r="I291" s="36" t="s">
        <v>179</v>
      </c>
      <c r="J291" s="36">
        <f>YEAR(RESER3[[#This Row],[DATA]])</f>
        <v>2021</v>
      </c>
      <c r="K291" s="36">
        <f t="shared" si="7"/>
        <v>6</v>
      </c>
      <c r="L291" s="36">
        <f>DAY(RESER3[[#This Row],[DATA]])</f>
        <v>16</v>
      </c>
      <c r="M291" s="36"/>
    </row>
    <row r="292" spans="1:13" x14ac:dyDescent="0.25">
      <c r="A292" s="36"/>
      <c r="B292" s="129" t="s">
        <v>16</v>
      </c>
      <c r="C292" s="28">
        <v>44363</v>
      </c>
      <c r="D292" s="36" t="s">
        <v>268</v>
      </c>
      <c r="E292" s="36" t="s">
        <v>190</v>
      </c>
      <c r="F292" s="36" t="s">
        <v>228</v>
      </c>
      <c r="G292" s="36" t="s">
        <v>257</v>
      </c>
      <c r="H292" s="36">
        <v>1</v>
      </c>
      <c r="I292" s="36" t="s">
        <v>179</v>
      </c>
      <c r="J292" s="36">
        <f>YEAR(RESER3[[#This Row],[DATA]])</f>
        <v>2021</v>
      </c>
      <c r="K292" s="36">
        <f t="shared" si="7"/>
        <v>6</v>
      </c>
      <c r="L292" s="36">
        <f>DAY(RESER3[[#This Row],[DATA]])</f>
        <v>16</v>
      </c>
      <c r="M292" s="36"/>
    </row>
    <row r="293" spans="1:13" x14ac:dyDescent="0.25">
      <c r="A293" s="36"/>
      <c r="B293" s="129" t="s">
        <v>17</v>
      </c>
      <c r="C293" s="28">
        <v>44221</v>
      </c>
      <c r="D293" s="36" t="s">
        <v>280</v>
      </c>
      <c r="E293" s="36" t="s">
        <v>190</v>
      </c>
      <c r="F293" s="36" t="s">
        <v>191</v>
      </c>
      <c r="G293" s="36" t="s">
        <v>191</v>
      </c>
      <c r="H293" s="36">
        <v>1</v>
      </c>
      <c r="I293" s="36" t="s">
        <v>179</v>
      </c>
      <c r="J293" s="36">
        <f>YEAR(RESER3[[#This Row],[DATA]])</f>
        <v>2021</v>
      </c>
      <c r="K293" s="36">
        <f t="shared" si="7"/>
        <v>1</v>
      </c>
      <c r="L293" s="36">
        <f>DAY(RESER3[[#This Row],[DATA]])</f>
        <v>25</v>
      </c>
      <c r="M293" s="36"/>
    </row>
    <row r="294" spans="1:13" x14ac:dyDescent="0.25">
      <c r="A294" s="36"/>
      <c r="B294" s="129" t="s">
        <v>17</v>
      </c>
      <c r="C294" s="28">
        <v>44221</v>
      </c>
      <c r="D294" s="36" t="s">
        <v>260</v>
      </c>
      <c r="E294" s="36" t="s">
        <v>222</v>
      </c>
      <c r="F294" s="36" t="s">
        <v>228</v>
      </c>
      <c r="G294" s="36" t="s">
        <v>314</v>
      </c>
      <c r="H294" s="36">
        <v>1</v>
      </c>
      <c r="I294" s="36" t="s">
        <v>179</v>
      </c>
      <c r="J294" s="36">
        <f>YEAR(RESER3[[#This Row],[DATA]])</f>
        <v>2021</v>
      </c>
      <c r="K294" s="36">
        <f t="shared" si="7"/>
        <v>1</v>
      </c>
      <c r="L294" s="36">
        <f>DAY(RESER3[[#This Row],[DATA]])</f>
        <v>25</v>
      </c>
      <c r="M294" s="36"/>
    </row>
    <row r="295" spans="1:13" x14ac:dyDescent="0.25">
      <c r="A295" s="36"/>
      <c r="B295" s="129" t="s">
        <v>17</v>
      </c>
      <c r="C295" s="28">
        <v>44231</v>
      </c>
      <c r="D295" s="36" t="s">
        <v>274</v>
      </c>
      <c r="E295" s="36" t="s">
        <v>222</v>
      </c>
      <c r="F295" s="36" t="s">
        <v>192</v>
      </c>
      <c r="G295" s="36" t="s">
        <v>273</v>
      </c>
      <c r="H295" s="36">
        <v>1</v>
      </c>
      <c r="I295" s="36" t="s">
        <v>179</v>
      </c>
      <c r="J295" s="36">
        <f>YEAR(RESER3[[#This Row],[DATA]])</f>
        <v>2021</v>
      </c>
      <c r="K295" s="36">
        <f t="shared" si="7"/>
        <v>2</v>
      </c>
      <c r="L295" s="36">
        <f>DAY(RESER3[[#This Row],[DATA]])</f>
        <v>4</v>
      </c>
      <c r="M295" s="36"/>
    </row>
    <row r="296" spans="1:13" x14ac:dyDescent="0.25">
      <c r="A296" s="36"/>
      <c r="B296" s="129" t="s">
        <v>17</v>
      </c>
      <c r="C296" s="28">
        <v>44231</v>
      </c>
      <c r="D296" s="36" t="s">
        <v>280</v>
      </c>
      <c r="E296" s="36" t="s">
        <v>190</v>
      </c>
      <c r="F296" s="36" t="s">
        <v>191</v>
      </c>
      <c r="G296" s="36" t="s">
        <v>191</v>
      </c>
      <c r="H296" s="36">
        <v>1</v>
      </c>
      <c r="I296" s="36" t="s">
        <v>179</v>
      </c>
      <c r="J296" s="36">
        <f>YEAR(RESER3[[#This Row],[DATA]])</f>
        <v>2021</v>
      </c>
      <c r="K296" s="36">
        <f t="shared" si="7"/>
        <v>2</v>
      </c>
      <c r="L296" s="36">
        <f>DAY(RESER3[[#This Row],[DATA]])</f>
        <v>4</v>
      </c>
      <c r="M296" s="36"/>
    </row>
    <row r="297" spans="1:13" x14ac:dyDescent="0.25">
      <c r="A297" s="36"/>
      <c r="B297" s="129" t="s">
        <v>17</v>
      </c>
      <c r="C297" s="28">
        <v>44304</v>
      </c>
      <c r="D297" s="36" t="s">
        <v>308</v>
      </c>
      <c r="E297" s="36" t="s">
        <v>222</v>
      </c>
      <c r="F297" s="36" t="s">
        <v>192</v>
      </c>
      <c r="G297" s="36" t="s">
        <v>193</v>
      </c>
      <c r="H297" s="36">
        <v>1</v>
      </c>
      <c r="I297" s="36" t="s">
        <v>179</v>
      </c>
      <c r="J297" s="36">
        <f>YEAR(RESER3[[#This Row],[DATA]])</f>
        <v>2021</v>
      </c>
      <c r="K297" s="36">
        <f t="shared" si="7"/>
        <v>4</v>
      </c>
      <c r="L297" s="36">
        <f>DAY(RESER3[[#This Row],[DATA]])</f>
        <v>18</v>
      </c>
      <c r="M297" s="36"/>
    </row>
    <row r="298" spans="1:13" x14ac:dyDescent="0.25">
      <c r="A298" s="36"/>
      <c r="B298" s="129" t="s">
        <v>17</v>
      </c>
      <c r="C298" s="28">
        <v>44304</v>
      </c>
      <c r="D298" s="36" t="s">
        <v>263</v>
      </c>
      <c r="E298" s="36" t="s">
        <v>190</v>
      </c>
      <c r="F298" s="36" t="s">
        <v>192</v>
      </c>
      <c r="G298" s="36" t="s">
        <v>193</v>
      </c>
      <c r="H298" s="36">
        <v>1</v>
      </c>
      <c r="I298" s="36" t="s">
        <v>179</v>
      </c>
      <c r="J298" s="36">
        <f>YEAR(RESER3[[#This Row],[DATA]])</f>
        <v>2021</v>
      </c>
      <c r="K298" s="36">
        <f t="shared" si="7"/>
        <v>4</v>
      </c>
      <c r="L298" s="36">
        <f>DAY(RESER3[[#This Row],[DATA]])</f>
        <v>18</v>
      </c>
      <c r="M298" s="36"/>
    </row>
    <row r="299" spans="1:13" x14ac:dyDescent="0.25">
      <c r="A299" s="36"/>
      <c r="B299" s="129" t="s">
        <v>17</v>
      </c>
      <c r="C299" s="28">
        <v>44304</v>
      </c>
      <c r="D299" s="36" t="s">
        <v>263</v>
      </c>
      <c r="E299" s="36" t="s">
        <v>190</v>
      </c>
      <c r="F299" s="36" t="s">
        <v>191</v>
      </c>
      <c r="G299" s="36" t="s">
        <v>191</v>
      </c>
      <c r="H299" s="36">
        <v>1</v>
      </c>
      <c r="I299" s="36" t="s">
        <v>179</v>
      </c>
      <c r="J299" s="36">
        <f>YEAR(RESER3[[#This Row],[DATA]])</f>
        <v>2021</v>
      </c>
      <c r="K299" s="36">
        <f t="shared" si="7"/>
        <v>4</v>
      </c>
      <c r="L299" s="36">
        <f>DAY(RESER3[[#This Row],[DATA]])</f>
        <v>18</v>
      </c>
      <c r="M299" s="36"/>
    </row>
    <row r="300" spans="1:13" x14ac:dyDescent="0.25">
      <c r="A300" s="36"/>
      <c r="B300" s="129" t="s">
        <v>17</v>
      </c>
      <c r="C300" s="28">
        <v>44305</v>
      </c>
      <c r="D300" s="36" t="s">
        <v>268</v>
      </c>
      <c r="E300" s="36" t="s">
        <v>190</v>
      </c>
      <c r="F300" s="36" t="s">
        <v>192</v>
      </c>
      <c r="G300" s="36" t="s">
        <v>193</v>
      </c>
      <c r="H300" s="36">
        <v>1</v>
      </c>
      <c r="I300" s="36" t="s">
        <v>179</v>
      </c>
      <c r="J300" s="36">
        <f>YEAR(RESER3[[#This Row],[DATA]])</f>
        <v>2021</v>
      </c>
      <c r="K300" s="36">
        <f t="shared" si="7"/>
        <v>4</v>
      </c>
      <c r="L300" s="36">
        <f>DAY(RESER3[[#This Row],[DATA]])</f>
        <v>19</v>
      </c>
      <c r="M300" s="36"/>
    </row>
    <row r="301" spans="1:13" x14ac:dyDescent="0.25">
      <c r="A301" s="36"/>
      <c r="B301" s="129" t="s">
        <v>17</v>
      </c>
      <c r="C301" s="28">
        <v>44355</v>
      </c>
      <c r="D301" s="36" t="s">
        <v>280</v>
      </c>
      <c r="E301" s="36" t="s">
        <v>190</v>
      </c>
      <c r="F301" s="36" t="s">
        <v>191</v>
      </c>
      <c r="G301" s="36" t="s">
        <v>191</v>
      </c>
      <c r="H301" s="36">
        <v>1</v>
      </c>
      <c r="I301" s="36" t="s">
        <v>179</v>
      </c>
      <c r="J301" s="36">
        <f>YEAR(RESER3[[#This Row],[DATA]])</f>
        <v>2021</v>
      </c>
      <c r="K301" s="36">
        <f t="shared" si="7"/>
        <v>6</v>
      </c>
      <c r="L301" s="36">
        <f>DAY(RESER3[[#This Row],[DATA]])</f>
        <v>8</v>
      </c>
      <c r="M301" s="36"/>
    </row>
    <row r="302" spans="1:13" x14ac:dyDescent="0.25">
      <c r="A302" s="36"/>
      <c r="B302" s="129" t="s">
        <v>17</v>
      </c>
      <c r="C302" s="28">
        <v>44355</v>
      </c>
      <c r="D302" s="36" t="s">
        <v>274</v>
      </c>
      <c r="E302" s="36" t="s">
        <v>190</v>
      </c>
      <c r="F302" s="36" t="s">
        <v>315</v>
      </c>
      <c r="G302" s="36" t="s">
        <v>316</v>
      </c>
      <c r="H302" s="36">
        <v>1</v>
      </c>
      <c r="I302" s="36" t="s">
        <v>179</v>
      </c>
      <c r="J302" s="36">
        <f>YEAR(RESER3[[#This Row],[DATA]])</f>
        <v>2021</v>
      </c>
      <c r="K302" s="36">
        <f t="shared" si="7"/>
        <v>6</v>
      </c>
      <c r="L302" s="36">
        <f>DAY(RESER3[[#This Row],[DATA]])</f>
        <v>8</v>
      </c>
      <c r="M302" s="36"/>
    </row>
    <row r="303" spans="1:13" x14ac:dyDescent="0.25">
      <c r="A303" s="36"/>
      <c r="B303" s="129" t="s">
        <v>17</v>
      </c>
      <c r="C303" s="28">
        <v>44357</v>
      </c>
      <c r="D303" s="36" t="s">
        <v>258</v>
      </c>
      <c r="E303" s="36" t="s">
        <v>190</v>
      </c>
      <c r="F303" s="36" t="s">
        <v>192</v>
      </c>
      <c r="G303" s="36" t="s">
        <v>273</v>
      </c>
      <c r="H303" s="36">
        <v>1</v>
      </c>
      <c r="I303" s="36" t="s">
        <v>179</v>
      </c>
      <c r="J303" s="36">
        <f>YEAR(RESER3[[#This Row],[DATA]])</f>
        <v>2021</v>
      </c>
      <c r="K303" s="36">
        <f t="shared" si="7"/>
        <v>6</v>
      </c>
      <c r="L303" s="36">
        <f>DAY(RESER3[[#This Row],[DATA]])</f>
        <v>10</v>
      </c>
      <c r="M303" s="36"/>
    </row>
    <row r="304" spans="1:13" x14ac:dyDescent="0.25">
      <c r="A304" s="36"/>
      <c r="B304" s="129" t="s">
        <v>17</v>
      </c>
      <c r="C304" s="28">
        <v>44361</v>
      </c>
      <c r="D304" s="36" t="s">
        <v>274</v>
      </c>
      <c r="E304" s="36" t="s">
        <v>222</v>
      </c>
      <c r="F304" s="36" t="s">
        <v>191</v>
      </c>
      <c r="G304" s="36" t="s">
        <v>191</v>
      </c>
      <c r="H304" s="36">
        <v>1</v>
      </c>
      <c r="I304" s="36" t="s">
        <v>179</v>
      </c>
      <c r="J304" s="36">
        <f>YEAR(RESER3[[#This Row],[DATA]])</f>
        <v>2021</v>
      </c>
      <c r="K304" s="36">
        <f t="shared" si="7"/>
        <v>6</v>
      </c>
      <c r="L304" s="36">
        <f>DAY(RESER3[[#This Row],[DATA]])</f>
        <v>14</v>
      </c>
      <c r="M304" s="36"/>
    </row>
    <row r="305" spans="1:13" x14ac:dyDescent="0.25">
      <c r="A305" s="36"/>
      <c r="B305" s="129" t="s">
        <v>17</v>
      </c>
      <c r="C305" s="28">
        <v>44363</v>
      </c>
      <c r="D305" s="36" t="s">
        <v>263</v>
      </c>
      <c r="E305" s="36" t="s">
        <v>190</v>
      </c>
      <c r="F305" s="36" t="s">
        <v>231</v>
      </c>
      <c r="G305" s="36" t="s">
        <v>317</v>
      </c>
      <c r="H305" s="36">
        <v>1</v>
      </c>
      <c r="I305" s="36" t="s">
        <v>179</v>
      </c>
      <c r="J305" s="36">
        <f>YEAR(RESER3[[#This Row],[DATA]])</f>
        <v>2021</v>
      </c>
      <c r="K305" s="36">
        <f t="shared" si="7"/>
        <v>6</v>
      </c>
      <c r="L305" s="36">
        <f>DAY(RESER3[[#This Row],[DATA]])</f>
        <v>16</v>
      </c>
      <c r="M305" s="36"/>
    </row>
    <row r="306" spans="1:13" x14ac:dyDescent="0.25">
      <c r="A306" s="36"/>
      <c r="B306" s="129" t="s">
        <v>17</v>
      </c>
      <c r="C306" s="28">
        <v>44363</v>
      </c>
      <c r="D306" s="36" t="s">
        <v>258</v>
      </c>
      <c r="E306" s="36" t="s">
        <v>190</v>
      </c>
      <c r="F306" s="36" t="s">
        <v>315</v>
      </c>
      <c r="G306" s="36" t="s">
        <v>316</v>
      </c>
      <c r="H306" s="36">
        <v>1</v>
      </c>
      <c r="I306" s="36" t="s">
        <v>179</v>
      </c>
      <c r="J306" s="36">
        <f>YEAR(RESER3[[#This Row],[DATA]])</f>
        <v>2021</v>
      </c>
      <c r="K306" s="36">
        <f t="shared" si="7"/>
        <v>6</v>
      </c>
      <c r="L306" s="36">
        <f>DAY(RESER3[[#This Row],[DATA]])</f>
        <v>16</v>
      </c>
      <c r="M306" s="36"/>
    </row>
    <row r="307" spans="1:13" x14ac:dyDescent="0.25">
      <c r="A307" s="36"/>
      <c r="B307" s="129" t="s">
        <v>17</v>
      </c>
      <c r="C307" s="28">
        <v>44365</v>
      </c>
      <c r="D307" s="36" t="s">
        <v>240</v>
      </c>
      <c r="E307" s="36" t="s">
        <v>190</v>
      </c>
      <c r="F307" s="36" t="s">
        <v>191</v>
      </c>
      <c r="G307" s="36" t="s">
        <v>318</v>
      </c>
      <c r="H307" s="36">
        <v>1</v>
      </c>
      <c r="I307" s="36" t="s">
        <v>179</v>
      </c>
      <c r="J307" s="36">
        <f>YEAR(RESER3[[#This Row],[DATA]])</f>
        <v>2021</v>
      </c>
      <c r="K307" s="36">
        <f t="shared" si="7"/>
        <v>6</v>
      </c>
      <c r="L307" s="36">
        <f>DAY(RESER3[[#This Row],[DATA]])</f>
        <v>18</v>
      </c>
      <c r="M307" s="36"/>
    </row>
    <row r="308" spans="1:13" x14ac:dyDescent="0.25">
      <c r="A308" s="36"/>
      <c r="B308" s="129" t="s">
        <v>18</v>
      </c>
      <c r="C308" s="28">
        <v>44221</v>
      </c>
      <c r="D308" s="36" t="s">
        <v>260</v>
      </c>
      <c r="E308" s="36" t="s">
        <v>222</v>
      </c>
      <c r="F308" s="36" t="s">
        <v>458</v>
      </c>
      <c r="G308" s="36" t="s">
        <v>458</v>
      </c>
      <c r="H308" s="36">
        <v>1</v>
      </c>
      <c r="I308" s="36" t="s">
        <v>179</v>
      </c>
      <c r="J308" s="36">
        <f>YEAR(RESER3[[#This Row],[DATA]])</f>
        <v>2021</v>
      </c>
      <c r="K308" s="36">
        <f t="shared" si="7"/>
        <v>1</v>
      </c>
      <c r="L308" s="36">
        <f>DAY(RESER3[[#This Row],[DATA]])</f>
        <v>25</v>
      </c>
      <c r="M308" s="36"/>
    </row>
    <row r="309" spans="1:13" x14ac:dyDescent="0.25">
      <c r="A309" s="36"/>
      <c r="B309" s="129" t="s">
        <v>18</v>
      </c>
      <c r="C309" s="28">
        <v>44221</v>
      </c>
      <c r="D309" s="36" t="s">
        <v>206</v>
      </c>
      <c r="E309" s="36" t="s">
        <v>222</v>
      </c>
      <c r="F309" s="36" t="s">
        <v>192</v>
      </c>
      <c r="G309" s="36" t="s">
        <v>273</v>
      </c>
      <c r="H309" s="36">
        <v>1</v>
      </c>
      <c r="I309" s="36" t="s">
        <v>179</v>
      </c>
      <c r="J309" s="36">
        <f>YEAR(RESER3[[#This Row],[DATA]])</f>
        <v>2021</v>
      </c>
      <c r="K309" s="36">
        <f t="shared" si="7"/>
        <v>1</v>
      </c>
      <c r="L309" s="36">
        <f>DAY(RESER3[[#This Row],[DATA]])</f>
        <v>25</v>
      </c>
      <c r="M309" s="36"/>
    </row>
    <row r="310" spans="1:13" x14ac:dyDescent="0.25">
      <c r="A310" s="36"/>
      <c r="B310" s="129" t="s">
        <v>18</v>
      </c>
      <c r="C310" s="28">
        <v>44222</v>
      </c>
      <c r="D310" s="36" t="s">
        <v>260</v>
      </c>
      <c r="E310" s="36" t="s">
        <v>222</v>
      </c>
      <c r="F310" s="36" t="s">
        <v>228</v>
      </c>
      <c r="G310" s="36" t="s">
        <v>314</v>
      </c>
      <c r="H310" s="36">
        <v>1</v>
      </c>
      <c r="I310" s="36" t="s">
        <v>179</v>
      </c>
      <c r="J310" s="36">
        <f>YEAR(RESER3[[#This Row],[DATA]])</f>
        <v>2021</v>
      </c>
      <c r="K310" s="36">
        <f t="shared" si="7"/>
        <v>1</v>
      </c>
      <c r="L310" s="36">
        <f>DAY(RESER3[[#This Row],[DATA]])</f>
        <v>26</v>
      </c>
      <c r="M310" s="36"/>
    </row>
    <row r="311" spans="1:13" x14ac:dyDescent="0.25">
      <c r="A311" s="36"/>
      <c r="B311" s="129" t="s">
        <v>18</v>
      </c>
      <c r="C311" s="28">
        <v>44228</v>
      </c>
      <c r="D311" s="36" t="s">
        <v>272</v>
      </c>
      <c r="E311" s="36" t="s">
        <v>222</v>
      </c>
      <c r="F311" s="36" t="s">
        <v>245</v>
      </c>
      <c r="G311" s="36" t="s">
        <v>319</v>
      </c>
      <c r="H311" s="36">
        <v>1</v>
      </c>
      <c r="I311" s="36" t="s">
        <v>179</v>
      </c>
      <c r="J311" s="36">
        <f>YEAR(RESER3[[#This Row],[DATA]])</f>
        <v>2021</v>
      </c>
      <c r="K311" s="36">
        <f t="shared" si="7"/>
        <v>2</v>
      </c>
      <c r="L311" s="36">
        <f>DAY(RESER3[[#This Row],[DATA]])</f>
        <v>1</v>
      </c>
      <c r="M311" s="36"/>
    </row>
    <row r="312" spans="1:13" x14ac:dyDescent="0.25">
      <c r="A312" s="36"/>
      <c r="B312" s="129" t="s">
        <v>18</v>
      </c>
      <c r="C312" s="28">
        <v>44229</v>
      </c>
      <c r="D312" s="36" t="s">
        <v>260</v>
      </c>
      <c r="E312" s="36" t="s">
        <v>222</v>
      </c>
      <c r="F312" s="36" t="s">
        <v>192</v>
      </c>
      <c r="G312" s="36" t="s">
        <v>273</v>
      </c>
      <c r="H312" s="36">
        <v>1</v>
      </c>
      <c r="I312" s="36" t="s">
        <v>179</v>
      </c>
      <c r="J312" s="36">
        <f>YEAR(RESER3[[#This Row],[DATA]])</f>
        <v>2021</v>
      </c>
      <c r="K312" s="36">
        <f t="shared" si="7"/>
        <v>2</v>
      </c>
      <c r="L312" s="36">
        <f>DAY(RESER3[[#This Row],[DATA]])</f>
        <v>2</v>
      </c>
      <c r="M312" s="36"/>
    </row>
    <row r="313" spans="1:13" x14ac:dyDescent="0.25">
      <c r="A313" s="36"/>
      <c r="B313" s="129" t="s">
        <v>18</v>
      </c>
      <c r="C313" s="28">
        <v>44235</v>
      </c>
      <c r="D313" s="36" t="s">
        <v>260</v>
      </c>
      <c r="E313" s="36" t="s">
        <v>222</v>
      </c>
      <c r="F313" s="36" t="s">
        <v>245</v>
      </c>
      <c r="G313" s="36" t="s">
        <v>319</v>
      </c>
      <c r="H313" s="36">
        <v>1</v>
      </c>
      <c r="I313" s="36" t="s">
        <v>179</v>
      </c>
      <c r="J313" s="36">
        <f>YEAR(RESER3[[#This Row],[DATA]])</f>
        <v>2021</v>
      </c>
      <c r="K313" s="36">
        <f t="shared" si="7"/>
        <v>2</v>
      </c>
      <c r="L313" s="36">
        <f>DAY(RESER3[[#This Row],[DATA]])</f>
        <v>8</v>
      </c>
      <c r="M313" s="36"/>
    </row>
    <row r="314" spans="1:13" x14ac:dyDescent="0.25">
      <c r="A314" s="36"/>
      <c r="B314" s="129" t="s">
        <v>18</v>
      </c>
      <c r="C314" s="28">
        <v>44236</v>
      </c>
      <c r="D314" s="36" t="s">
        <v>240</v>
      </c>
      <c r="E314" s="36" t="s">
        <v>222</v>
      </c>
      <c r="F314" s="36" t="s">
        <v>458</v>
      </c>
      <c r="G314" s="36" t="s">
        <v>191</v>
      </c>
      <c r="H314" s="36">
        <v>1</v>
      </c>
      <c r="I314" s="36" t="s">
        <v>179</v>
      </c>
      <c r="J314" s="36">
        <f>YEAR(RESER3[[#This Row],[DATA]])</f>
        <v>2021</v>
      </c>
      <c r="K314" s="36">
        <f t="shared" si="7"/>
        <v>2</v>
      </c>
      <c r="L314" s="36">
        <f>DAY(RESER3[[#This Row],[DATA]])</f>
        <v>9</v>
      </c>
      <c r="M314" s="36"/>
    </row>
    <row r="315" spans="1:13" x14ac:dyDescent="0.25">
      <c r="A315" s="36"/>
      <c r="B315" s="129" t="s">
        <v>18</v>
      </c>
      <c r="C315" s="28">
        <v>44245</v>
      </c>
      <c r="D315" s="36" t="s">
        <v>260</v>
      </c>
      <c r="E315" s="36" t="s">
        <v>222</v>
      </c>
      <c r="F315" s="36" t="s">
        <v>245</v>
      </c>
      <c r="G315" s="36" t="s">
        <v>319</v>
      </c>
      <c r="H315" s="36">
        <v>1</v>
      </c>
      <c r="I315" s="36" t="s">
        <v>179</v>
      </c>
      <c r="J315" s="36">
        <f>YEAR(RESER3[[#This Row],[DATA]])</f>
        <v>2021</v>
      </c>
      <c r="K315" s="36">
        <f t="shared" si="7"/>
        <v>2</v>
      </c>
      <c r="L315" s="36">
        <f>DAY(RESER3[[#This Row],[DATA]])</f>
        <v>18</v>
      </c>
      <c r="M315" s="36"/>
    </row>
    <row r="316" spans="1:13" x14ac:dyDescent="0.25">
      <c r="A316" s="36"/>
      <c r="B316" s="129" t="s">
        <v>18</v>
      </c>
      <c r="C316" s="28">
        <v>44245</v>
      </c>
      <c r="D316" s="36" t="s">
        <v>263</v>
      </c>
      <c r="E316" s="36" t="s">
        <v>222</v>
      </c>
      <c r="F316" s="36" t="s">
        <v>192</v>
      </c>
      <c r="G316" s="36" t="s">
        <v>193</v>
      </c>
      <c r="H316" s="36">
        <v>1</v>
      </c>
      <c r="I316" s="36" t="s">
        <v>179</v>
      </c>
      <c r="J316" s="36">
        <f>YEAR(RESER3[[#This Row],[DATA]])</f>
        <v>2021</v>
      </c>
      <c r="K316" s="36">
        <f t="shared" si="7"/>
        <v>2</v>
      </c>
      <c r="L316" s="36">
        <f>DAY(RESER3[[#This Row],[DATA]])</f>
        <v>18</v>
      </c>
      <c r="M316" s="36"/>
    </row>
    <row r="317" spans="1:13" x14ac:dyDescent="0.25">
      <c r="A317" s="36"/>
      <c r="B317" s="129" t="s">
        <v>18</v>
      </c>
      <c r="C317" s="28">
        <v>44252</v>
      </c>
      <c r="D317" s="36" t="s">
        <v>260</v>
      </c>
      <c r="E317" s="36" t="s">
        <v>222</v>
      </c>
      <c r="F317" s="36" t="s">
        <v>320</v>
      </c>
      <c r="G317" s="36" t="s">
        <v>319</v>
      </c>
      <c r="H317" s="36">
        <v>1</v>
      </c>
      <c r="I317" s="36" t="s">
        <v>179</v>
      </c>
      <c r="J317" s="36">
        <f>YEAR(RESER3[[#This Row],[DATA]])</f>
        <v>2021</v>
      </c>
      <c r="K317" s="36">
        <f t="shared" si="7"/>
        <v>2</v>
      </c>
      <c r="L317" s="36">
        <f>DAY(RESER3[[#This Row],[DATA]])</f>
        <v>25</v>
      </c>
      <c r="M317" s="36"/>
    </row>
    <row r="318" spans="1:13" x14ac:dyDescent="0.25">
      <c r="A318" s="36"/>
      <c r="B318" s="129" t="s">
        <v>18</v>
      </c>
      <c r="C318" s="28">
        <v>44252</v>
      </c>
      <c r="D318" s="36" t="s">
        <v>272</v>
      </c>
      <c r="E318" s="36" t="s">
        <v>222</v>
      </c>
      <c r="F318" s="36" t="s">
        <v>192</v>
      </c>
      <c r="G318" s="36" t="s">
        <v>273</v>
      </c>
      <c r="H318" s="36">
        <v>1</v>
      </c>
      <c r="I318" s="36" t="s">
        <v>179</v>
      </c>
      <c r="J318" s="36">
        <f>YEAR(RESER3[[#This Row],[DATA]])</f>
        <v>2021</v>
      </c>
      <c r="K318" s="36">
        <f t="shared" si="7"/>
        <v>2</v>
      </c>
      <c r="L318" s="36">
        <f>DAY(RESER3[[#This Row],[DATA]])</f>
        <v>25</v>
      </c>
      <c r="M318" s="36"/>
    </row>
    <row r="319" spans="1:13" x14ac:dyDescent="0.25">
      <c r="A319" s="36"/>
      <c r="B319" s="129" t="s">
        <v>18</v>
      </c>
      <c r="C319" s="28">
        <v>44263</v>
      </c>
      <c r="D319" s="36" t="s">
        <v>258</v>
      </c>
      <c r="E319" s="36" t="s">
        <v>222</v>
      </c>
      <c r="F319" s="36" t="s">
        <v>228</v>
      </c>
      <c r="G319" s="36" t="s">
        <v>259</v>
      </c>
      <c r="H319" s="36">
        <v>1</v>
      </c>
      <c r="I319" s="36" t="s">
        <v>179</v>
      </c>
      <c r="J319" s="36">
        <f>YEAR(RESER3[[#This Row],[DATA]])</f>
        <v>2021</v>
      </c>
      <c r="K319" s="36">
        <f t="shared" si="7"/>
        <v>3</v>
      </c>
      <c r="L319" s="36">
        <f>DAY(RESER3[[#This Row],[DATA]])</f>
        <v>8</v>
      </c>
      <c r="M319" s="36"/>
    </row>
    <row r="320" spans="1:13" x14ac:dyDescent="0.25">
      <c r="A320" s="36"/>
      <c r="B320" s="129" t="s">
        <v>18</v>
      </c>
      <c r="C320" s="28">
        <v>44263</v>
      </c>
      <c r="D320" s="36" t="s">
        <v>260</v>
      </c>
      <c r="E320" s="36" t="s">
        <v>222</v>
      </c>
      <c r="F320" s="36" t="s">
        <v>458</v>
      </c>
      <c r="G320" s="36" t="s">
        <v>458</v>
      </c>
      <c r="H320" s="36">
        <v>1</v>
      </c>
      <c r="I320" s="36" t="s">
        <v>179</v>
      </c>
      <c r="J320" s="36">
        <f>YEAR(RESER3[[#This Row],[DATA]])</f>
        <v>2021</v>
      </c>
      <c r="K320" s="36">
        <f t="shared" si="7"/>
        <v>3</v>
      </c>
      <c r="L320" s="36">
        <f>DAY(RESER3[[#This Row],[DATA]])</f>
        <v>8</v>
      </c>
      <c r="M320" s="36"/>
    </row>
    <row r="321" spans="1:13" x14ac:dyDescent="0.25">
      <c r="A321" s="36"/>
      <c r="B321" s="129" t="s">
        <v>18</v>
      </c>
      <c r="C321" s="28">
        <v>44270</v>
      </c>
      <c r="D321" s="36" t="s">
        <v>251</v>
      </c>
      <c r="E321" s="36" t="s">
        <v>222</v>
      </c>
      <c r="F321" s="36" t="s">
        <v>192</v>
      </c>
      <c r="G321" s="36" t="s">
        <v>193</v>
      </c>
      <c r="H321" s="36">
        <v>1</v>
      </c>
      <c r="I321" s="36" t="s">
        <v>179</v>
      </c>
      <c r="J321" s="36">
        <f>YEAR(RESER3[[#This Row],[DATA]])</f>
        <v>2021</v>
      </c>
      <c r="K321" s="36">
        <f t="shared" si="7"/>
        <v>3</v>
      </c>
      <c r="L321" s="36">
        <f>DAY(RESER3[[#This Row],[DATA]])</f>
        <v>15</v>
      </c>
      <c r="M321" s="36"/>
    </row>
    <row r="322" spans="1:13" x14ac:dyDescent="0.25">
      <c r="A322" s="36"/>
      <c r="B322" s="129" t="s">
        <v>18</v>
      </c>
      <c r="C322" s="28">
        <v>44270</v>
      </c>
      <c r="D322" s="36" t="s">
        <v>251</v>
      </c>
      <c r="E322" s="36" t="s">
        <v>222</v>
      </c>
      <c r="F322" s="36" t="s">
        <v>321</v>
      </c>
      <c r="G322" s="36" t="s">
        <v>191</v>
      </c>
      <c r="H322" s="36">
        <v>1</v>
      </c>
      <c r="I322" s="36" t="s">
        <v>179</v>
      </c>
      <c r="J322" s="36">
        <f>YEAR(RESER3[[#This Row],[DATA]])</f>
        <v>2021</v>
      </c>
      <c r="K322" s="36">
        <f t="shared" si="7"/>
        <v>3</v>
      </c>
      <c r="L322" s="36">
        <f>DAY(RESER3[[#This Row],[DATA]])</f>
        <v>15</v>
      </c>
      <c r="M322" s="36"/>
    </row>
    <row r="323" spans="1:13" x14ac:dyDescent="0.25">
      <c r="A323" s="36"/>
      <c r="B323" s="129" t="s">
        <v>18</v>
      </c>
      <c r="C323" s="28">
        <v>44271</v>
      </c>
      <c r="D323" s="36" t="s">
        <v>264</v>
      </c>
      <c r="E323" s="36" t="s">
        <v>222</v>
      </c>
      <c r="F323" s="36" t="s">
        <v>245</v>
      </c>
      <c r="G323" s="36" t="s">
        <v>319</v>
      </c>
      <c r="H323" s="36">
        <v>1</v>
      </c>
      <c r="I323" s="36" t="s">
        <v>179</v>
      </c>
      <c r="J323" s="36">
        <f>YEAR(RESER3[[#This Row],[DATA]])</f>
        <v>2021</v>
      </c>
      <c r="K323" s="36">
        <f t="shared" ref="K323:K386" si="8">MONTH(C323)</f>
        <v>3</v>
      </c>
      <c r="L323" s="36">
        <f>DAY(RESER3[[#This Row],[DATA]])</f>
        <v>16</v>
      </c>
      <c r="M323" s="36"/>
    </row>
    <row r="324" spans="1:13" x14ac:dyDescent="0.25">
      <c r="A324" s="36"/>
      <c r="B324" s="129" t="s">
        <v>18</v>
      </c>
      <c r="C324" s="28">
        <v>44273</v>
      </c>
      <c r="D324" s="36" t="s">
        <v>260</v>
      </c>
      <c r="E324" s="36" t="s">
        <v>222</v>
      </c>
      <c r="F324" s="36" t="s">
        <v>245</v>
      </c>
      <c r="G324" s="36" t="s">
        <v>322</v>
      </c>
      <c r="H324" s="36">
        <v>1</v>
      </c>
      <c r="I324" s="36" t="s">
        <v>179</v>
      </c>
      <c r="J324" s="36">
        <f>YEAR(RESER3[[#This Row],[DATA]])</f>
        <v>2021</v>
      </c>
      <c r="K324" s="36">
        <f t="shared" si="8"/>
        <v>3</v>
      </c>
      <c r="L324" s="36">
        <f>DAY(RESER3[[#This Row],[DATA]])</f>
        <v>18</v>
      </c>
      <c r="M324" s="36"/>
    </row>
    <row r="325" spans="1:13" x14ac:dyDescent="0.25">
      <c r="A325" s="36"/>
      <c r="B325" s="129" t="s">
        <v>18</v>
      </c>
      <c r="C325" s="28">
        <v>44274</v>
      </c>
      <c r="D325" s="36" t="s">
        <v>233</v>
      </c>
      <c r="E325" s="36" t="s">
        <v>302</v>
      </c>
      <c r="F325" s="36" t="s">
        <v>245</v>
      </c>
      <c r="G325" s="36" t="s">
        <v>319</v>
      </c>
      <c r="H325" s="36">
        <v>1</v>
      </c>
      <c r="I325" s="36" t="s">
        <v>179</v>
      </c>
      <c r="J325" s="36">
        <f>YEAR(RESER3[[#This Row],[DATA]])</f>
        <v>2021</v>
      </c>
      <c r="K325" s="36">
        <f t="shared" si="8"/>
        <v>3</v>
      </c>
      <c r="L325" s="36">
        <f>DAY(RESER3[[#This Row],[DATA]])</f>
        <v>19</v>
      </c>
      <c r="M325" s="36"/>
    </row>
    <row r="326" spans="1:13" x14ac:dyDescent="0.25">
      <c r="A326" s="36"/>
      <c r="B326" s="129" t="s">
        <v>18</v>
      </c>
      <c r="C326" s="28">
        <v>44277</v>
      </c>
      <c r="D326" s="36" t="s">
        <v>260</v>
      </c>
      <c r="E326" s="36" t="s">
        <v>222</v>
      </c>
      <c r="F326" s="36" t="s">
        <v>458</v>
      </c>
      <c r="G326" s="36" t="s">
        <v>458</v>
      </c>
      <c r="H326" s="36">
        <v>1</v>
      </c>
      <c r="I326" s="36" t="s">
        <v>179</v>
      </c>
      <c r="J326" s="36">
        <f>YEAR(RESER3[[#This Row],[DATA]])</f>
        <v>2021</v>
      </c>
      <c r="K326" s="36">
        <f t="shared" si="8"/>
        <v>3</v>
      </c>
      <c r="L326" s="36">
        <f>DAY(RESER3[[#This Row],[DATA]])</f>
        <v>22</v>
      </c>
      <c r="M326" s="36"/>
    </row>
    <row r="327" spans="1:13" x14ac:dyDescent="0.25">
      <c r="A327" s="36"/>
      <c r="B327" s="129" t="s">
        <v>18</v>
      </c>
      <c r="C327" s="28">
        <v>44280</v>
      </c>
      <c r="D327" s="36" t="s">
        <v>189</v>
      </c>
      <c r="E327" s="36" t="s">
        <v>190</v>
      </c>
      <c r="F327" s="36" t="s">
        <v>192</v>
      </c>
      <c r="G327" s="36" t="s">
        <v>193</v>
      </c>
      <c r="H327" s="36">
        <v>1</v>
      </c>
      <c r="I327" s="36" t="s">
        <v>179</v>
      </c>
      <c r="J327" s="36">
        <f>YEAR(RESER3[[#This Row],[DATA]])</f>
        <v>2021</v>
      </c>
      <c r="K327" s="36">
        <f t="shared" si="8"/>
        <v>3</v>
      </c>
      <c r="L327" s="36">
        <f>DAY(RESER3[[#This Row],[DATA]])</f>
        <v>25</v>
      </c>
      <c r="M327" s="36"/>
    </row>
    <row r="328" spans="1:13" x14ac:dyDescent="0.25">
      <c r="A328" s="36"/>
      <c r="B328" s="129" t="s">
        <v>18</v>
      </c>
      <c r="C328" s="28">
        <v>44284</v>
      </c>
      <c r="D328" s="36" t="s">
        <v>189</v>
      </c>
      <c r="E328" s="36" t="s">
        <v>190</v>
      </c>
      <c r="F328" s="36" t="s">
        <v>265</v>
      </c>
      <c r="G328" s="36" t="s">
        <v>323</v>
      </c>
      <c r="H328" s="36">
        <v>1</v>
      </c>
      <c r="I328" s="36" t="s">
        <v>179</v>
      </c>
      <c r="J328" s="36">
        <f>YEAR(RESER3[[#This Row],[DATA]])</f>
        <v>2021</v>
      </c>
      <c r="K328" s="36">
        <f t="shared" si="8"/>
        <v>3</v>
      </c>
      <c r="L328" s="36">
        <f>DAY(RESER3[[#This Row],[DATA]])</f>
        <v>29</v>
      </c>
      <c r="M328" s="36"/>
    </row>
    <row r="329" spans="1:13" x14ac:dyDescent="0.25">
      <c r="A329" s="36"/>
      <c r="B329" s="129" t="s">
        <v>18</v>
      </c>
      <c r="C329" s="28">
        <v>44285</v>
      </c>
      <c r="D329" s="36" t="s">
        <v>189</v>
      </c>
      <c r="E329" s="36" t="s">
        <v>190</v>
      </c>
      <c r="F329" s="36" t="s">
        <v>192</v>
      </c>
      <c r="G329" s="36" t="s">
        <v>193</v>
      </c>
      <c r="H329" s="36">
        <v>1</v>
      </c>
      <c r="I329" s="36" t="s">
        <v>179</v>
      </c>
      <c r="J329" s="36">
        <f>YEAR(RESER3[[#This Row],[DATA]])</f>
        <v>2021</v>
      </c>
      <c r="K329" s="36">
        <f t="shared" si="8"/>
        <v>3</v>
      </c>
      <c r="L329" s="36">
        <f>DAY(RESER3[[#This Row],[DATA]])</f>
        <v>30</v>
      </c>
      <c r="M329" s="36"/>
    </row>
    <row r="330" spans="1:13" x14ac:dyDescent="0.25">
      <c r="A330" s="36"/>
      <c r="B330" s="129" t="s">
        <v>18</v>
      </c>
      <c r="C330" s="28">
        <v>44285</v>
      </c>
      <c r="D330" s="36" t="s">
        <v>189</v>
      </c>
      <c r="E330" s="36" t="s">
        <v>222</v>
      </c>
      <c r="F330" s="36" t="s">
        <v>191</v>
      </c>
      <c r="G330" s="36" t="s">
        <v>191</v>
      </c>
      <c r="H330" s="36">
        <v>1</v>
      </c>
      <c r="I330" s="36" t="s">
        <v>179</v>
      </c>
      <c r="J330" s="36">
        <f>YEAR(RESER3[[#This Row],[DATA]])</f>
        <v>2021</v>
      </c>
      <c r="K330" s="36">
        <f t="shared" si="8"/>
        <v>3</v>
      </c>
      <c r="L330" s="36">
        <f>DAY(RESER3[[#This Row],[DATA]])</f>
        <v>30</v>
      </c>
      <c r="M330" s="36"/>
    </row>
    <row r="331" spans="1:13" x14ac:dyDescent="0.25">
      <c r="A331" s="36"/>
      <c r="B331" s="129" t="s">
        <v>18</v>
      </c>
      <c r="C331" s="28">
        <v>44291</v>
      </c>
      <c r="D331" s="36" t="s">
        <v>189</v>
      </c>
      <c r="E331" s="36" t="s">
        <v>222</v>
      </c>
      <c r="F331" s="36" t="s">
        <v>192</v>
      </c>
      <c r="G331" s="36" t="s">
        <v>193</v>
      </c>
      <c r="H331" s="36">
        <v>1</v>
      </c>
      <c r="I331" s="36" t="s">
        <v>179</v>
      </c>
      <c r="J331" s="36">
        <f>YEAR(RESER3[[#This Row],[DATA]])</f>
        <v>2021</v>
      </c>
      <c r="K331" s="36">
        <f t="shared" si="8"/>
        <v>4</v>
      </c>
      <c r="L331" s="36">
        <f>DAY(RESER3[[#This Row],[DATA]])</f>
        <v>5</v>
      </c>
      <c r="M331" s="36"/>
    </row>
    <row r="332" spans="1:13" x14ac:dyDescent="0.25">
      <c r="A332" s="36"/>
      <c r="B332" s="129" t="s">
        <v>18</v>
      </c>
      <c r="C332" s="28">
        <v>44291</v>
      </c>
      <c r="D332" s="36" t="s">
        <v>189</v>
      </c>
      <c r="E332" s="36" t="s">
        <v>190</v>
      </c>
      <c r="F332" s="36" t="s">
        <v>228</v>
      </c>
      <c r="G332" s="36" t="s">
        <v>305</v>
      </c>
      <c r="H332" s="36">
        <v>1</v>
      </c>
      <c r="I332" s="36" t="s">
        <v>179</v>
      </c>
      <c r="J332" s="36">
        <f>YEAR(RESER3[[#This Row],[DATA]])</f>
        <v>2021</v>
      </c>
      <c r="K332" s="36">
        <f t="shared" si="8"/>
        <v>4</v>
      </c>
      <c r="L332" s="36">
        <f>DAY(RESER3[[#This Row],[DATA]])</f>
        <v>5</v>
      </c>
      <c r="M332" s="36"/>
    </row>
    <row r="333" spans="1:13" x14ac:dyDescent="0.25">
      <c r="A333" s="36"/>
      <c r="B333" s="129" t="s">
        <v>18</v>
      </c>
      <c r="C333" s="28">
        <v>44292</v>
      </c>
      <c r="D333" s="36" t="s">
        <v>189</v>
      </c>
      <c r="E333" s="36" t="s">
        <v>190</v>
      </c>
      <c r="F333" s="36" t="s">
        <v>196</v>
      </c>
      <c r="G333" s="36" t="s">
        <v>306</v>
      </c>
      <c r="H333" s="36">
        <v>1</v>
      </c>
      <c r="I333" s="36" t="s">
        <v>179</v>
      </c>
      <c r="J333" s="36">
        <f>YEAR(RESER3[[#This Row],[DATA]])</f>
        <v>2021</v>
      </c>
      <c r="K333" s="36">
        <f t="shared" si="8"/>
        <v>4</v>
      </c>
      <c r="L333" s="36">
        <f>DAY(RESER3[[#This Row],[DATA]])</f>
        <v>6</v>
      </c>
      <c r="M333" s="36"/>
    </row>
    <row r="334" spans="1:13" x14ac:dyDescent="0.25">
      <c r="A334" s="36"/>
      <c r="B334" s="129" t="s">
        <v>18</v>
      </c>
      <c r="C334" s="28">
        <v>44293</v>
      </c>
      <c r="D334" s="36" t="s">
        <v>189</v>
      </c>
      <c r="E334" s="36" t="s">
        <v>222</v>
      </c>
      <c r="F334" s="36" t="s">
        <v>324</v>
      </c>
      <c r="G334" s="36" t="s">
        <v>325</v>
      </c>
      <c r="H334" s="36">
        <v>1</v>
      </c>
      <c r="I334" s="36" t="s">
        <v>179</v>
      </c>
      <c r="J334" s="36">
        <f>YEAR(RESER3[[#This Row],[DATA]])</f>
        <v>2021</v>
      </c>
      <c r="K334" s="36">
        <f t="shared" si="8"/>
        <v>4</v>
      </c>
      <c r="L334" s="36">
        <f>DAY(RESER3[[#This Row],[DATA]])</f>
        <v>7</v>
      </c>
      <c r="M334" s="36"/>
    </row>
    <row r="335" spans="1:13" x14ac:dyDescent="0.25">
      <c r="A335" s="36"/>
      <c r="B335" s="129" t="s">
        <v>18</v>
      </c>
      <c r="C335" s="28">
        <v>44293</v>
      </c>
      <c r="D335" s="36" t="s">
        <v>189</v>
      </c>
      <c r="E335" s="36" t="s">
        <v>190</v>
      </c>
      <c r="F335" s="36" t="s">
        <v>265</v>
      </c>
      <c r="G335" s="36" t="s">
        <v>325</v>
      </c>
      <c r="H335" s="36">
        <v>1</v>
      </c>
      <c r="I335" s="36" t="s">
        <v>179</v>
      </c>
      <c r="J335" s="36">
        <f>YEAR(RESER3[[#This Row],[DATA]])</f>
        <v>2021</v>
      </c>
      <c r="K335" s="36">
        <f t="shared" si="8"/>
        <v>4</v>
      </c>
      <c r="L335" s="36">
        <f>DAY(RESER3[[#This Row],[DATA]])</f>
        <v>7</v>
      </c>
      <c r="M335" s="36"/>
    </row>
    <row r="336" spans="1:13" x14ac:dyDescent="0.25">
      <c r="A336" s="36"/>
      <c r="B336" s="129" t="s">
        <v>18</v>
      </c>
      <c r="C336" s="28">
        <v>44295</v>
      </c>
      <c r="D336" s="36" t="s">
        <v>189</v>
      </c>
      <c r="E336" s="36" t="s">
        <v>190</v>
      </c>
      <c r="F336" s="36" t="s">
        <v>265</v>
      </c>
      <c r="G336" s="36" t="s">
        <v>325</v>
      </c>
      <c r="H336" s="36">
        <v>1</v>
      </c>
      <c r="I336" s="36" t="s">
        <v>179</v>
      </c>
      <c r="J336" s="36">
        <f>YEAR(RESER3[[#This Row],[DATA]])</f>
        <v>2021</v>
      </c>
      <c r="K336" s="36">
        <f t="shared" si="8"/>
        <v>4</v>
      </c>
      <c r="L336" s="36">
        <f>DAY(RESER3[[#This Row],[DATA]])</f>
        <v>9</v>
      </c>
      <c r="M336" s="36"/>
    </row>
    <row r="337" spans="1:13" x14ac:dyDescent="0.25">
      <c r="A337" s="36"/>
      <c r="B337" s="129" t="s">
        <v>18</v>
      </c>
      <c r="C337" s="28">
        <v>44295</v>
      </c>
      <c r="D337" s="36" t="s">
        <v>189</v>
      </c>
      <c r="E337" s="36" t="s">
        <v>222</v>
      </c>
      <c r="F337" s="36" t="s">
        <v>191</v>
      </c>
      <c r="G337" s="36" t="s">
        <v>191</v>
      </c>
      <c r="H337" s="36">
        <v>1</v>
      </c>
      <c r="I337" s="36" t="s">
        <v>179</v>
      </c>
      <c r="J337" s="36">
        <f>YEAR(RESER3[[#This Row],[DATA]])</f>
        <v>2021</v>
      </c>
      <c r="K337" s="36">
        <f t="shared" si="8"/>
        <v>4</v>
      </c>
      <c r="L337" s="36">
        <f>DAY(RESER3[[#This Row],[DATA]])</f>
        <v>9</v>
      </c>
      <c r="M337" s="36"/>
    </row>
    <row r="338" spans="1:13" x14ac:dyDescent="0.25">
      <c r="A338" s="36"/>
      <c r="B338" s="129" t="s">
        <v>18</v>
      </c>
      <c r="C338" s="28">
        <v>44298</v>
      </c>
      <c r="D338" s="36" t="s">
        <v>189</v>
      </c>
      <c r="E338" s="36" t="s">
        <v>222</v>
      </c>
      <c r="F338" s="36" t="s">
        <v>192</v>
      </c>
      <c r="G338" s="36" t="s">
        <v>193</v>
      </c>
      <c r="H338" s="36">
        <v>1</v>
      </c>
      <c r="I338" s="36" t="s">
        <v>179</v>
      </c>
      <c r="J338" s="36">
        <f>YEAR(RESER3[[#This Row],[DATA]])</f>
        <v>2021</v>
      </c>
      <c r="K338" s="36">
        <f t="shared" si="8"/>
        <v>4</v>
      </c>
      <c r="L338" s="36">
        <f>DAY(RESER3[[#This Row],[DATA]])</f>
        <v>12</v>
      </c>
      <c r="M338" s="36"/>
    </row>
    <row r="339" spans="1:13" x14ac:dyDescent="0.25">
      <c r="A339" s="36"/>
      <c r="B339" s="129" t="s">
        <v>18</v>
      </c>
      <c r="C339" s="28">
        <v>44298</v>
      </c>
      <c r="D339" s="36" t="s">
        <v>189</v>
      </c>
      <c r="E339" s="36" t="s">
        <v>190</v>
      </c>
      <c r="F339" s="36" t="s">
        <v>265</v>
      </c>
      <c r="G339" s="36" t="s">
        <v>325</v>
      </c>
      <c r="H339" s="36">
        <v>1</v>
      </c>
      <c r="I339" s="36" t="s">
        <v>179</v>
      </c>
      <c r="J339" s="36">
        <f>YEAR(RESER3[[#This Row],[DATA]])</f>
        <v>2021</v>
      </c>
      <c r="K339" s="36">
        <f t="shared" si="8"/>
        <v>4</v>
      </c>
      <c r="L339" s="36">
        <f>DAY(RESER3[[#This Row],[DATA]])</f>
        <v>12</v>
      </c>
      <c r="M339" s="36"/>
    </row>
    <row r="340" spans="1:13" x14ac:dyDescent="0.25">
      <c r="A340" s="36"/>
      <c r="B340" s="129" t="s">
        <v>18</v>
      </c>
      <c r="C340" s="28">
        <v>44300</v>
      </c>
      <c r="D340" s="36" t="s">
        <v>240</v>
      </c>
      <c r="E340" s="36" t="s">
        <v>222</v>
      </c>
      <c r="F340" s="36" t="s">
        <v>326</v>
      </c>
      <c r="G340" s="36" t="s">
        <v>327</v>
      </c>
      <c r="H340" s="36">
        <v>1</v>
      </c>
      <c r="I340" s="36" t="s">
        <v>179</v>
      </c>
      <c r="J340" s="36">
        <f>YEAR(RESER3[[#This Row],[DATA]])</f>
        <v>2021</v>
      </c>
      <c r="K340" s="36">
        <f t="shared" si="8"/>
        <v>4</v>
      </c>
      <c r="L340" s="36">
        <f>DAY(RESER3[[#This Row],[DATA]])</f>
        <v>14</v>
      </c>
      <c r="M340" s="36"/>
    </row>
    <row r="341" spans="1:13" x14ac:dyDescent="0.25">
      <c r="A341" s="36"/>
      <c r="B341" s="129" t="s">
        <v>18</v>
      </c>
      <c r="C341" s="28">
        <v>44300</v>
      </c>
      <c r="D341" s="36" t="s">
        <v>260</v>
      </c>
      <c r="E341" s="36" t="s">
        <v>190</v>
      </c>
      <c r="F341" s="36" t="s">
        <v>192</v>
      </c>
      <c r="G341" s="36" t="s">
        <v>193</v>
      </c>
      <c r="H341" s="36">
        <v>1</v>
      </c>
      <c r="I341" s="36" t="s">
        <v>179</v>
      </c>
      <c r="J341" s="36">
        <f>YEAR(RESER3[[#This Row],[DATA]])</f>
        <v>2021</v>
      </c>
      <c r="K341" s="36">
        <f t="shared" si="8"/>
        <v>4</v>
      </c>
      <c r="L341" s="36">
        <f>DAY(RESER3[[#This Row],[DATA]])</f>
        <v>14</v>
      </c>
      <c r="M341" s="36"/>
    </row>
    <row r="342" spans="1:13" x14ac:dyDescent="0.25">
      <c r="A342" s="36"/>
      <c r="B342" s="129" t="s">
        <v>18</v>
      </c>
      <c r="C342" s="28">
        <v>44301</v>
      </c>
      <c r="D342" s="36" t="s">
        <v>260</v>
      </c>
      <c r="E342" s="36" t="s">
        <v>190</v>
      </c>
      <c r="F342" s="36" t="s">
        <v>228</v>
      </c>
      <c r="G342" s="36" t="s">
        <v>328</v>
      </c>
      <c r="H342" s="36">
        <v>1</v>
      </c>
      <c r="I342" s="36" t="s">
        <v>179</v>
      </c>
      <c r="J342" s="36">
        <f>YEAR(RESER3[[#This Row],[DATA]])</f>
        <v>2021</v>
      </c>
      <c r="K342" s="36">
        <f t="shared" si="8"/>
        <v>4</v>
      </c>
      <c r="L342" s="36">
        <f>DAY(RESER3[[#This Row],[DATA]])</f>
        <v>15</v>
      </c>
      <c r="M342" s="36"/>
    </row>
    <row r="343" spans="1:13" x14ac:dyDescent="0.25">
      <c r="A343" s="36"/>
      <c r="B343" s="129" t="s">
        <v>18</v>
      </c>
      <c r="C343" s="28">
        <v>44301</v>
      </c>
      <c r="D343" s="36" t="s">
        <v>260</v>
      </c>
      <c r="E343" s="36" t="s">
        <v>222</v>
      </c>
      <c r="F343" s="36" t="s">
        <v>191</v>
      </c>
      <c r="G343" s="36" t="s">
        <v>191</v>
      </c>
      <c r="H343" s="36">
        <v>1</v>
      </c>
      <c r="I343" s="36" t="s">
        <v>179</v>
      </c>
      <c r="J343" s="36">
        <f>YEAR(RESER3[[#This Row],[DATA]])</f>
        <v>2021</v>
      </c>
      <c r="K343" s="36">
        <f t="shared" si="8"/>
        <v>4</v>
      </c>
      <c r="L343" s="36">
        <f>DAY(RESER3[[#This Row],[DATA]])</f>
        <v>15</v>
      </c>
      <c r="M343" s="36"/>
    </row>
    <row r="344" spans="1:13" x14ac:dyDescent="0.25">
      <c r="A344" s="36"/>
      <c r="B344" s="129" t="s">
        <v>18</v>
      </c>
      <c r="C344" s="28">
        <v>44305</v>
      </c>
      <c r="D344" s="36" t="s">
        <v>260</v>
      </c>
      <c r="E344" s="36" t="s">
        <v>222</v>
      </c>
      <c r="F344" s="36" t="s">
        <v>192</v>
      </c>
      <c r="G344" s="36" t="s">
        <v>193</v>
      </c>
      <c r="H344" s="36">
        <v>1</v>
      </c>
      <c r="I344" s="36" t="s">
        <v>179</v>
      </c>
      <c r="J344" s="36">
        <f>YEAR(RESER3[[#This Row],[DATA]])</f>
        <v>2021</v>
      </c>
      <c r="K344" s="36">
        <f t="shared" si="8"/>
        <v>4</v>
      </c>
      <c r="L344" s="36">
        <f>DAY(RESER3[[#This Row],[DATA]])</f>
        <v>19</v>
      </c>
      <c r="M344" s="36"/>
    </row>
    <row r="345" spans="1:13" x14ac:dyDescent="0.25">
      <c r="A345" s="36"/>
      <c r="B345" s="129" t="s">
        <v>18</v>
      </c>
      <c r="C345" s="28">
        <v>44305</v>
      </c>
      <c r="D345" s="36" t="s">
        <v>260</v>
      </c>
      <c r="E345" s="36" t="s">
        <v>222</v>
      </c>
      <c r="F345" s="36" t="s">
        <v>192</v>
      </c>
      <c r="G345" s="36" t="s">
        <v>193</v>
      </c>
      <c r="H345" s="36">
        <v>1</v>
      </c>
      <c r="I345" s="36" t="s">
        <v>179</v>
      </c>
      <c r="J345" s="36">
        <f>YEAR(RESER3[[#This Row],[DATA]])</f>
        <v>2021</v>
      </c>
      <c r="K345" s="36">
        <f t="shared" si="8"/>
        <v>4</v>
      </c>
      <c r="L345" s="36">
        <f>DAY(RESER3[[#This Row],[DATA]])</f>
        <v>19</v>
      </c>
      <c r="M345" s="36"/>
    </row>
    <row r="346" spans="1:13" x14ac:dyDescent="0.25">
      <c r="A346" s="36"/>
      <c r="B346" s="129" t="s">
        <v>18</v>
      </c>
      <c r="C346" s="28">
        <v>44305</v>
      </c>
      <c r="D346" s="36" t="s">
        <v>213</v>
      </c>
      <c r="E346" s="36" t="s">
        <v>190</v>
      </c>
      <c r="F346" s="36" t="s">
        <v>192</v>
      </c>
      <c r="G346" s="36" t="s">
        <v>193</v>
      </c>
      <c r="H346" s="36">
        <v>1</v>
      </c>
      <c r="I346" s="36" t="s">
        <v>179</v>
      </c>
      <c r="J346" s="36">
        <f>YEAR(RESER3[[#This Row],[DATA]])</f>
        <v>2021</v>
      </c>
      <c r="K346" s="36">
        <f t="shared" si="8"/>
        <v>4</v>
      </c>
      <c r="L346" s="36">
        <f>DAY(RESER3[[#This Row],[DATA]])</f>
        <v>19</v>
      </c>
      <c r="M346" s="36"/>
    </row>
    <row r="347" spans="1:13" x14ac:dyDescent="0.25">
      <c r="A347" s="36"/>
      <c r="B347" s="129" t="s">
        <v>18</v>
      </c>
      <c r="C347" s="28">
        <v>44306</v>
      </c>
      <c r="D347" s="36" t="s">
        <v>240</v>
      </c>
      <c r="E347" s="36" t="s">
        <v>190</v>
      </c>
      <c r="F347" s="36" t="s">
        <v>228</v>
      </c>
      <c r="G347" s="36" t="s">
        <v>329</v>
      </c>
      <c r="H347" s="36">
        <v>1</v>
      </c>
      <c r="I347" s="36" t="s">
        <v>179</v>
      </c>
      <c r="J347" s="36">
        <f>YEAR(RESER3[[#This Row],[DATA]])</f>
        <v>2021</v>
      </c>
      <c r="K347" s="36">
        <f t="shared" si="8"/>
        <v>4</v>
      </c>
      <c r="L347" s="36">
        <f>DAY(RESER3[[#This Row],[DATA]])</f>
        <v>20</v>
      </c>
      <c r="M347" s="36"/>
    </row>
    <row r="348" spans="1:13" x14ac:dyDescent="0.25">
      <c r="A348" s="36"/>
      <c r="B348" s="129" t="s">
        <v>18</v>
      </c>
      <c r="C348" s="28">
        <v>44308</v>
      </c>
      <c r="D348" s="36" t="s">
        <v>260</v>
      </c>
      <c r="E348" s="36" t="s">
        <v>190</v>
      </c>
      <c r="F348" s="36" t="s">
        <v>228</v>
      </c>
      <c r="G348" s="36" t="s">
        <v>329</v>
      </c>
      <c r="H348" s="36">
        <v>1</v>
      </c>
      <c r="I348" s="36" t="s">
        <v>179</v>
      </c>
      <c r="J348" s="36">
        <f>YEAR(RESER3[[#This Row],[DATA]])</f>
        <v>2021</v>
      </c>
      <c r="K348" s="36">
        <f t="shared" si="8"/>
        <v>4</v>
      </c>
      <c r="L348" s="36">
        <f>DAY(RESER3[[#This Row],[DATA]])</f>
        <v>22</v>
      </c>
      <c r="M348" s="36"/>
    </row>
    <row r="349" spans="1:13" x14ac:dyDescent="0.25">
      <c r="A349" s="36"/>
      <c r="B349" s="129" t="s">
        <v>18</v>
      </c>
      <c r="C349" s="28">
        <v>44308</v>
      </c>
      <c r="D349" s="36" t="s">
        <v>272</v>
      </c>
      <c r="E349" s="36" t="s">
        <v>190</v>
      </c>
      <c r="F349" s="36" t="s">
        <v>228</v>
      </c>
      <c r="G349" s="36" t="s">
        <v>330</v>
      </c>
      <c r="H349" s="36">
        <v>1</v>
      </c>
      <c r="I349" s="36" t="s">
        <v>179</v>
      </c>
      <c r="J349" s="36">
        <f>YEAR(RESER3[[#This Row],[DATA]])</f>
        <v>2021</v>
      </c>
      <c r="K349" s="36">
        <f t="shared" si="8"/>
        <v>4</v>
      </c>
      <c r="L349" s="36">
        <f>DAY(RESER3[[#This Row],[DATA]])</f>
        <v>22</v>
      </c>
      <c r="M349" s="36"/>
    </row>
    <row r="350" spans="1:13" x14ac:dyDescent="0.25">
      <c r="A350" s="36"/>
      <c r="B350" s="129" t="s">
        <v>18</v>
      </c>
      <c r="C350" s="28">
        <v>44309</v>
      </c>
      <c r="D350" s="36" t="s">
        <v>240</v>
      </c>
      <c r="E350" s="36" t="s">
        <v>222</v>
      </c>
      <c r="F350" s="36" t="s">
        <v>191</v>
      </c>
      <c r="G350" s="36" t="s">
        <v>191</v>
      </c>
      <c r="H350" s="36">
        <v>1</v>
      </c>
      <c r="I350" s="36" t="s">
        <v>179</v>
      </c>
      <c r="J350" s="36">
        <f>YEAR(RESER3[[#This Row],[DATA]])</f>
        <v>2021</v>
      </c>
      <c r="K350" s="36">
        <f t="shared" si="8"/>
        <v>4</v>
      </c>
      <c r="L350" s="36">
        <f>DAY(RESER3[[#This Row],[DATA]])</f>
        <v>23</v>
      </c>
      <c r="M350" s="36"/>
    </row>
    <row r="351" spans="1:13" x14ac:dyDescent="0.25">
      <c r="A351" s="36"/>
      <c r="B351" s="129" t="s">
        <v>18</v>
      </c>
      <c r="C351" s="28">
        <v>44320</v>
      </c>
      <c r="D351" s="36" t="s">
        <v>258</v>
      </c>
      <c r="E351" s="36" t="s">
        <v>190</v>
      </c>
      <c r="F351" s="36" t="s">
        <v>228</v>
      </c>
      <c r="G351" s="36" t="s">
        <v>331</v>
      </c>
      <c r="H351" s="36">
        <v>1</v>
      </c>
      <c r="I351" s="36" t="s">
        <v>179</v>
      </c>
      <c r="J351" s="36">
        <f>YEAR(RESER3[[#This Row],[DATA]])</f>
        <v>2021</v>
      </c>
      <c r="K351" s="36">
        <f t="shared" si="8"/>
        <v>5</v>
      </c>
      <c r="L351" s="36">
        <f>DAY(RESER3[[#This Row],[DATA]])</f>
        <v>4</v>
      </c>
      <c r="M351" s="36"/>
    </row>
    <row r="352" spans="1:13" x14ac:dyDescent="0.25">
      <c r="A352" s="36"/>
      <c r="B352" s="129" t="s">
        <v>18</v>
      </c>
      <c r="C352" s="28">
        <v>44322</v>
      </c>
      <c r="D352" s="36" t="s">
        <v>260</v>
      </c>
      <c r="E352" s="36" t="s">
        <v>190</v>
      </c>
      <c r="F352" s="36" t="s">
        <v>191</v>
      </c>
      <c r="G352" s="36" t="s">
        <v>191</v>
      </c>
      <c r="H352" s="36">
        <v>1</v>
      </c>
      <c r="I352" s="36" t="s">
        <v>179</v>
      </c>
      <c r="J352" s="36">
        <f>YEAR(RESER3[[#This Row],[DATA]])</f>
        <v>2021</v>
      </c>
      <c r="K352" s="36">
        <f t="shared" si="8"/>
        <v>5</v>
      </c>
      <c r="L352" s="36">
        <f>DAY(RESER3[[#This Row],[DATA]])</f>
        <v>6</v>
      </c>
      <c r="M352" s="36"/>
    </row>
    <row r="353" spans="1:13" x14ac:dyDescent="0.25">
      <c r="A353" s="36"/>
      <c r="B353" s="129" t="s">
        <v>18</v>
      </c>
      <c r="C353" s="28">
        <v>44322</v>
      </c>
      <c r="D353" s="36" t="s">
        <v>263</v>
      </c>
      <c r="E353" s="36" t="s">
        <v>190</v>
      </c>
      <c r="F353" s="36" t="s">
        <v>192</v>
      </c>
      <c r="G353" s="36" t="s">
        <v>193</v>
      </c>
      <c r="H353" s="36">
        <v>1</v>
      </c>
      <c r="I353" s="36" t="s">
        <v>179</v>
      </c>
      <c r="J353" s="36">
        <f>YEAR(RESER3[[#This Row],[DATA]])</f>
        <v>2021</v>
      </c>
      <c r="K353" s="36">
        <f t="shared" si="8"/>
        <v>5</v>
      </c>
      <c r="L353" s="36">
        <f>DAY(RESER3[[#This Row],[DATA]])</f>
        <v>6</v>
      </c>
      <c r="M353" s="36"/>
    </row>
    <row r="354" spans="1:13" x14ac:dyDescent="0.25">
      <c r="A354" s="36"/>
      <c r="B354" s="129" t="s">
        <v>18</v>
      </c>
      <c r="C354" s="28">
        <v>44323</v>
      </c>
      <c r="D354" s="36" t="s">
        <v>308</v>
      </c>
      <c r="E354" s="36" t="s">
        <v>190</v>
      </c>
      <c r="F354" s="36" t="s">
        <v>192</v>
      </c>
      <c r="G354" s="36" t="s">
        <v>193</v>
      </c>
      <c r="H354" s="36">
        <v>1</v>
      </c>
      <c r="I354" s="36" t="s">
        <v>179</v>
      </c>
      <c r="J354" s="36">
        <f>YEAR(RESER3[[#This Row],[DATA]])</f>
        <v>2021</v>
      </c>
      <c r="K354" s="36">
        <f t="shared" si="8"/>
        <v>5</v>
      </c>
      <c r="L354" s="36">
        <f>DAY(RESER3[[#This Row],[DATA]])</f>
        <v>7</v>
      </c>
      <c r="M354" s="36"/>
    </row>
    <row r="355" spans="1:13" x14ac:dyDescent="0.25">
      <c r="A355" s="36"/>
      <c r="B355" s="129" t="s">
        <v>18</v>
      </c>
      <c r="C355" s="28">
        <v>44326</v>
      </c>
      <c r="D355" s="36" t="s">
        <v>260</v>
      </c>
      <c r="E355" s="36" t="s">
        <v>190</v>
      </c>
      <c r="F355" s="36" t="s">
        <v>228</v>
      </c>
      <c r="G355" s="36" t="s">
        <v>329</v>
      </c>
      <c r="H355" s="36">
        <v>1</v>
      </c>
      <c r="I355" s="36" t="s">
        <v>179</v>
      </c>
      <c r="J355" s="36">
        <f>YEAR(RESER3[[#This Row],[DATA]])</f>
        <v>2021</v>
      </c>
      <c r="K355" s="36">
        <f t="shared" si="8"/>
        <v>5</v>
      </c>
      <c r="L355" s="36">
        <f>DAY(RESER3[[#This Row],[DATA]])</f>
        <v>10</v>
      </c>
      <c r="M355" s="36"/>
    </row>
    <row r="356" spans="1:13" x14ac:dyDescent="0.25">
      <c r="A356" s="36"/>
      <c r="B356" s="129" t="s">
        <v>18</v>
      </c>
      <c r="C356" s="28">
        <v>44326</v>
      </c>
      <c r="D356" s="36" t="s">
        <v>260</v>
      </c>
      <c r="E356" s="36" t="s">
        <v>190</v>
      </c>
      <c r="F356" s="36" t="s">
        <v>228</v>
      </c>
      <c r="G356" s="36" t="s">
        <v>329</v>
      </c>
      <c r="H356" s="36">
        <v>1</v>
      </c>
      <c r="I356" s="36" t="s">
        <v>179</v>
      </c>
      <c r="J356" s="36">
        <f>YEAR(RESER3[[#This Row],[DATA]])</f>
        <v>2021</v>
      </c>
      <c r="K356" s="36">
        <f t="shared" si="8"/>
        <v>5</v>
      </c>
      <c r="L356" s="36">
        <f>DAY(RESER3[[#This Row],[DATA]])</f>
        <v>10</v>
      </c>
      <c r="M356" s="36"/>
    </row>
    <row r="357" spans="1:13" x14ac:dyDescent="0.25">
      <c r="A357" s="36"/>
      <c r="B357" s="129" t="s">
        <v>18</v>
      </c>
      <c r="C357" s="28">
        <v>44328</v>
      </c>
      <c r="D357" s="36" t="s">
        <v>260</v>
      </c>
      <c r="E357" s="36" t="s">
        <v>190</v>
      </c>
      <c r="F357" s="36" t="s">
        <v>192</v>
      </c>
      <c r="G357" s="36" t="s">
        <v>214</v>
      </c>
      <c r="H357" s="36">
        <v>1</v>
      </c>
      <c r="I357" s="36" t="s">
        <v>179</v>
      </c>
      <c r="J357" s="36">
        <f>YEAR(RESER3[[#This Row],[DATA]])</f>
        <v>2021</v>
      </c>
      <c r="K357" s="36">
        <f t="shared" si="8"/>
        <v>5</v>
      </c>
      <c r="L357" s="36">
        <f>DAY(RESER3[[#This Row],[DATA]])</f>
        <v>12</v>
      </c>
      <c r="M357" s="36"/>
    </row>
    <row r="358" spans="1:13" x14ac:dyDescent="0.25">
      <c r="A358" s="36"/>
      <c r="B358" s="129" t="s">
        <v>18</v>
      </c>
      <c r="C358" s="28">
        <v>44329</v>
      </c>
      <c r="D358" s="36" t="s">
        <v>260</v>
      </c>
      <c r="E358" s="36" t="s">
        <v>190</v>
      </c>
      <c r="F358" s="36" t="s">
        <v>191</v>
      </c>
      <c r="G358" s="36" t="s">
        <v>191</v>
      </c>
      <c r="H358" s="36">
        <v>1</v>
      </c>
      <c r="I358" s="36" t="s">
        <v>179</v>
      </c>
      <c r="J358" s="36">
        <f>YEAR(RESER3[[#This Row],[DATA]])</f>
        <v>2021</v>
      </c>
      <c r="K358" s="36">
        <f t="shared" si="8"/>
        <v>5</v>
      </c>
      <c r="L358" s="36">
        <f>DAY(RESER3[[#This Row],[DATA]])</f>
        <v>13</v>
      </c>
      <c r="M358" s="36"/>
    </row>
    <row r="359" spans="1:13" x14ac:dyDescent="0.25">
      <c r="A359" s="36"/>
      <c r="B359" s="129" t="s">
        <v>18</v>
      </c>
      <c r="C359" s="28">
        <v>44329</v>
      </c>
      <c r="D359" s="36" t="s">
        <v>260</v>
      </c>
      <c r="E359" s="36" t="s">
        <v>190</v>
      </c>
      <c r="F359" s="36" t="s">
        <v>192</v>
      </c>
      <c r="G359" s="36" t="s">
        <v>214</v>
      </c>
      <c r="H359" s="36">
        <v>1</v>
      </c>
      <c r="I359" s="36" t="s">
        <v>179</v>
      </c>
      <c r="J359" s="36">
        <f>YEAR(RESER3[[#This Row],[DATA]])</f>
        <v>2021</v>
      </c>
      <c r="K359" s="36">
        <f t="shared" si="8"/>
        <v>5</v>
      </c>
      <c r="L359" s="36">
        <f>DAY(RESER3[[#This Row],[DATA]])</f>
        <v>13</v>
      </c>
      <c r="M359" s="36"/>
    </row>
    <row r="360" spans="1:13" x14ac:dyDescent="0.25">
      <c r="A360" s="36"/>
      <c r="B360" s="129" t="s">
        <v>18</v>
      </c>
      <c r="C360" s="28">
        <v>44329</v>
      </c>
      <c r="D360" s="36" t="s">
        <v>260</v>
      </c>
      <c r="E360" s="36" t="s">
        <v>190</v>
      </c>
      <c r="F360" s="36" t="s">
        <v>228</v>
      </c>
      <c r="G360" s="36" t="s">
        <v>331</v>
      </c>
      <c r="H360" s="36">
        <v>1</v>
      </c>
      <c r="I360" s="36" t="s">
        <v>179</v>
      </c>
      <c r="J360" s="36">
        <f>YEAR(RESER3[[#This Row],[DATA]])</f>
        <v>2021</v>
      </c>
      <c r="K360" s="36">
        <f t="shared" si="8"/>
        <v>5</v>
      </c>
      <c r="L360" s="36">
        <f>DAY(RESER3[[#This Row],[DATA]])</f>
        <v>13</v>
      </c>
      <c r="M360" s="36"/>
    </row>
    <row r="361" spans="1:13" x14ac:dyDescent="0.25">
      <c r="A361" s="36"/>
      <c r="B361" s="129" t="s">
        <v>18</v>
      </c>
      <c r="C361" s="28">
        <v>44303</v>
      </c>
      <c r="D361" s="36" t="s">
        <v>260</v>
      </c>
      <c r="E361" s="36" t="s">
        <v>222</v>
      </c>
      <c r="F361" s="36" t="s">
        <v>191</v>
      </c>
      <c r="G361" s="36" t="s">
        <v>191</v>
      </c>
      <c r="H361" s="36">
        <v>1</v>
      </c>
      <c r="I361" s="36" t="s">
        <v>179</v>
      </c>
      <c r="J361" s="36">
        <f>YEAR(RESER3[[#This Row],[DATA]])</f>
        <v>2021</v>
      </c>
      <c r="K361" s="36">
        <f t="shared" si="8"/>
        <v>4</v>
      </c>
      <c r="L361" s="36">
        <f>DAY(RESER3[[#This Row],[DATA]])</f>
        <v>17</v>
      </c>
      <c r="M361" s="36"/>
    </row>
    <row r="362" spans="1:13" x14ac:dyDescent="0.25">
      <c r="A362" s="36"/>
      <c r="B362" s="129" t="s">
        <v>18</v>
      </c>
      <c r="C362" s="28">
        <v>44304</v>
      </c>
      <c r="D362" s="36" t="s">
        <v>268</v>
      </c>
      <c r="E362" s="36" t="s">
        <v>222</v>
      </c>
      <c r="F362" s="36" t="s">
        <v>196</v>
      </c>
      <c r="G362" s="36" t="s">
        <v>200</v>
      </c>
      <c r="H362" s="36">
        <v>1</v>
      </c>
      <c r="I362" s="36" t="s">
        <v>179</v>
      </c>
      <c r="J362" s="36">
        <f>YEAR(RESER3[[#This Row],[DATA]])</f>
        <v>2021</v>
      </c>
      <c r="K362" s="36">
        <f t="shared" si="8"/>
        <v>4</v>
      </c>
      <c r="L362" s="36">
        <f>DAY(RESER3[[#This Row],[DATA]])</f>
        <v>18</v>
      </c>
      <c r="M362" s="36"/>
    </row>
    <row r="363" spans="1:13" x14ac:dyDescent="0.25">
      <c r="A363" s="36"/>
      <c r="B363" s="129" t="s">
        <v>18</v>
      </c>
      <c r="C363" s="28">
        <v>44304</v>
      </c>
      <c r="D363" s="36" t="s">
        <v>258</v>
      </c>
      <c r="E363" s="36" t="s">
        <v>190</v>
      </c>
      <c r="F363" s="36" t="s">
        <v>192</v>
      </c>
      <c r="G363" s="36" t="s">
        <v>193</v>
      </c>
      <c r="H363" s="36">
        <v>1</v>
      </c>
      <c r="I363" s="36" t="s">
        <v>179</v>
      </c>
      <c r="J363" s="36">
        <f>YEAR(RESER3[[#This Row],[DATA]])</f>
        <v>2021</v>
      </c>
      <c r="K363" s="36">
        <f t="shared" si="8"/>
        <v>4</v>
      </c>
      <c r="L363" s="36">
        <f>DAY(RESER3[[#This Row],[DATA]])</f>
        <v>18</v>
      </c>
      <c r="M363" s="36"/>
    </row>
    <row r="364" spans="1:13" x14ac:dyDescent="0.25">
      <c r="A364" s="36"/>
      <c r="B364" s="129" t="s">
        <v>18</v>
      </c>
      <c r="C364" s="28">
        <v>44304</v>
      </c>
      <c r="D364" s="36" t="s">
        <v>263</v>
      </c>
      <c r="E364" s="36" t="s">
        <v>190</v>
      </c>
      <c r="F364" s="36" t="s">
        <v>192</v>
      </c>
      <c r="G364" s="36" t="s">
        <v>193</v>
      </c>
      <c r="H364" s="36">
        <v>1</v>
      </c>
      <c r="I364" s="36" t="s">
        <v>179</v>
      </c>
      <c r="J364" s="36">
        <f>YEAR(RESER3[[#This Row],[DATA]])</f>
        <v>2021</v>
      </c>
      <c r="K364" s="36">
        <f t="shared" si="8"/>
        <v>4</v>
      </c>
      <c r="L364" s="36">
        <f>DAY(RESER3[[#This Row],[DATA]])</f>
        <v>18</v>
      </c>
      <c r="M364" s="36"/>
    </row>
    <row r="365" spans="1:13" x14ac:dyDescent="0.25">
      <c r="A365" s="36"/>
      <c r="B365" s="129" t="s">
        <v>18</v>
      </c>
      <c r="C365" s="28">
        <v>44304</v>
      </c>
      <c r="D365" s="36" t="s">
        <v>240</v>
      </c>
      <c r="E365" s="36" t="s">
        <v>190</v>
      </c>
      <c r="F365" s="36" t="s">
        <v>192</v>
      </c>
      <c r="G365" s="36" t="s">
        <v>193</v>
      </c>
      <c r="H365" s="36">
        <v>1</v>
      </c>
      <c r="I365" s="36" t="s">
        <v>179</v>
      </c>
      <c r="J365" s="36">
        <f>YEAR(RESER3[[#This Row],[DATA]])</f>
        <v>2021</v>
      </c>
      <c r="K365" s="36">
        <f t="shared" si="8"/>
        <v>4</v>
      </c>
      <c r="L365" s="36">
        <f>DAY(RESER3[[#This Row],[DATA]])</f>
        <v>18</v>
      </c>
      <c r="M365" s="36"/>
    </row>
    <row r="366" spans="1:13" x14ac:dyDescent="0.25">
      <c r="A366" s="36"/>
      <c r="B366" s="129" t="s">
        <v>18</v>
      </c>
      <c r="C366" s="128">
        <v>44305</v>
      </c>
      <c r="D366" s="36" t="s">
        <v>258</v>
      </c>
      <c r="E366" s="36" t="s">
        <v>190</v>
      </c>
      <c r="F366" s="36" t="s">
        <v>202</v>
      </c>
      <c r="G366" s="36" t="s">
        <v>300</v>
      </c>
      <c r="H366" s="36">
        <v>1</v>
      </c>
      <c r="I366" s="36" t="s">
        <v>179</v>
      </c>
      <c r="J366" s="36">
        <f>YEAR(RESER3[[#This Row],[DATA]])</f>
        <v>2021</v>
      </c>
      <c r="K366" s="36">
        <f t="shared" si="8"/>
        <v>4</v>
      </c>
      <c r="L366" s="36">
        <f>DAY(RESER3[[#This Row],[DATA]])</f>
        <v>19</v>
      </c>
      <c r="M366" s="36"/>
    </row>
    <row r="367" spans="1:13" x14ac:dyDescent="0.25">
      <c r="A367" s="36"/>
      <c r="B367" s="129" t="s">
        <v>18</v>
      </c>
      <c r="C367" s="128">
        <v>44336</v>
      </c>
      <c r="D367" s="36" t="s">
        <v>258</v>
      </c>
      <c r="E367" s="36" t="s">
        <v>222</v>
      </c>
      <c r="F367" s="36" t="s">
        <v>191</v>
      </c>
      <c r="G367" s="36" t="s">
        <v>191</v>
      </c>
      <c r="H367" s="36">
        <v>1</v>
      </c>
      <c r="I367" s="36" t="s">
        <v>179</v>
      </c>
      <c r="J367" s="36">
        <f>YEAR(RESER3[[#This Row],[DATA]])</f>
        <v>2021</v>
      </c>
      <c r="K367" s="36">
        <f t="shared" si="8"/>
        <v>5</v>
      </c>
      <c r="L367" s="36">
        <f>DAY(RESER3[[#This Row],[DATA]])</f>
        <v>20</v>
      </c>
      <c r="M367" s="36"/>
    </row>
    <row r="368" spans="1:13" x14ac:dyDescent="0.25">
      <c r="A368" s="36"/>
      <c r="B368" s="129" t="s">
        <v>18</v>
      </c>
      <c r="C368" s="128">
        <v>44336</v>
      </c>
      <c r="D368" s="36" t="s">
        <v>272</v>
      </c>
      <c r="E368" s="36" t="s">
        <v>190</v>
      </c>
      <c r="F368" s="36" t="s">
        <v>192</v>
      </c>
      <c r="G368" s="36" t="s">
        <v>193</v>
      </c>
      <c r="H368" s="36">
        <v>1</v>
      </c>
      <c r="I368" s="36" t="s">
        <v>179</v>
      </c>
      <c r="J368" s="36">
        <f>YEAR(RESER3[[#This Row],[DATA]])</f>
        <v>2021</v>
      </c>
      <c r="K368" s="36">
        <f t="shared" si="8"/>
        <v>5</v>
      </c>
      <c r="L368" s="36">
        <f>DAY(RESER3[[#This Row],[DATA]])</f>
        <v>20</v>
      </c>
      <c r="M368" s="36"/>
    </row>
    <row r="369" spans="1:13" x14ac:dyDescent="0.25">
      <c r="A369" s="36"/>
      <c r="B369" s="129" t="s">
        <v>18</v>
      </c>
      <c r="C369" s="128">
        <v>44336</v>
      </c>
      <c r="D369" s="36" t="s">
        <v>272</v>
      </c>
      <c r="E369" s="36" t="s">
        <v>190</v>
      </c>
      <c r="F369" s="36" t="s">
        <v>192</v>
      </c>
      <c r="G369" s="36" t="s">
        <v>193</v>
      </c>
      <c r="H369" s="36">
        <v>1</v>
      </c>
      <c r="I369" s="36" t="s">
        <v>179</v>
      </c>
      <c r="J369" s="36">
        <f>YEAR(RESER3[[#This Row],[DATA]])</f>
        <v>2021</v>
      </c>
      <c r="K369" s="36">
        <f t="shared" si="8"/>
        <v>5</v>
      </c>
      <c r="L369" s="36">
        <f>DAY(RESER3[[#This Row],[DATA]])</f>
        <v>20</v>
      </c>
      <c r="M369" s="36"/>
    </row>
    <row r="370" spans="1:13" x14ac:dyDescent="0.25">
      <c r="A370" s="36"/>
      <c r="B370" s="129" t="s">
        <v>18</v>
      </c>
      <c r="C370" s="128">
        <v>44336</v>
      </c>
      <c r="D370" s="36" t="s">
        <v>263</v>
      </c>
      <c r="E370" s="36" t="s">
        <v>190</v>
      </c>
      <c r="F370" s="36" t="s">
        <v>245</v>
      </c>
      <c r="G370" s="36" t="s">
        <v>332</v>
      </c>
      <c r="H370" s="36">
        <v>1</v>
      </c>
      <c r="I370" s="36" t="s">
        <v>179</v>
      </c>
      <c r="J370" s="36">
        <f>YEAR(RESER3[[#This Row],[DATA]])</f>
        <v>2021</v>
      </c>
      <c r="K370" s="36">
        <f t="shared" si="8"/>
        <v>5</v>
      </c>
      <c r="L370" s="36">
        <f>DAY(RESER3[[#This Row],[DATA]])</f>
        <v>20</v>
      </c>
      <c r="M370" s="36"/>
    </row>
    <row r="371" spans="1:13" x14ac:dyDescent="0.25">
      <c r="A371" s="36"/>
      <c r="B371" s="129" t="s">
        <v>18</v>
      </c>
      <c r="C371" s="128">
        <v>44340</v>
      </c>
      <c r="D371" s="36" t="s">
        <v>258</v>
      </c>
      <c r="E371" s="36" t="s">
        <v>190</v>
      </c>
      <c r="F371" s="36" t="s">
        <v>228</v>
      </c>
      <c r="G371" s="36" t="s">
        <v>282</v>
      </c>
      <c r="H371" s="36">
        <v>1</v>
      </c>
      <c r="I371" s="36" t="s">
        <v>179</v>
      </c>
      <c r="J371" s="36">
        <f>YEAR(RESER3[[#This Row],[DATA]])</f>
        <v>2021</v>
      </c>
      <c r="K371" s="36">
        <f t="shared" si="8"/>
        <v>5</v>
      </c>
      <c r="L371" s="36">
        <f>DAY(RESER3[[#This Row],[DATA]])</f>
        <v>24</v>
      </c>
      <c r="M371" s="36"/>
    </row>
    <row r="372" spans="1:13" x14ac:dyDescent="0.25">
      <c r="A372" s="36"/>
      <c r="B372" s="129" t="s">
        <v>18</v>
      </c>
      <c r="C372" s="128">
        <v>44340</v>
      </c>
      <c r="D372" s="36" t="s">
        <v>258</v>
      </c>
      <c r="E372" s="36" t="s">
        <v>190</v>
      </c>
      <c r="F372" s="36" t="s">
        <v>228</v>
      </c>
      <c r="G372" s="36" t="s">
        <v>282</v>
      </c>
      <c r="H372" s="36">
        <v>1</v>
      </c>
      <c r="I372" s="36" t="s">
        <v>179</v>
      </c>
      <c r="J372" s="36">
        <f>YEAR(RESER3[[#This Row],[DATA]])</f>
        <v>2021</v>
      </c>
      <c r="K372" s="36">
        <f t="shared" si="8"/>
        <v>5</v>
      </c>
      <c r="L372" s="36">
        <f>DAY(RESER3[[#This Row],[DATA]])</f>
        <v>24</v>
      </c>
      <c r="M372" s="36"/>
    </row>
    <row r="373" spans="1:13" x14ac:dyDescent="0.25">
      <c r="A373" s="36"/>
      <c r="B373" s="129" t="s">
        <v>18</v>
      </c>
      <c r="C373" s="128">
        <v>44340</v>
      </c>
      <c r="D373" s="36" t="s">
        <v>260</v>
      </c>
      <c r="E373" s="36" t="s">
        <v>190</v>
      </c>
      <c r="F373" s="36" t="s">
        <v>191</v>
      </c>
      <c r="G373" s="36" t="s">
        <v>191</v>
      </c>
      <c r="H373" s="36">
        <v>1</v>
      </c>
      <c r="I373" s="36" t="s">
        <v>179</v>
      </c>
      <c r="J373" s="36">
        <f>YEAR(RESER3[[#This Row],[DATA]])</f>
        <v>2021</v>
      </c>
      <c r="K373" s="36">
        <f t="shared" si="8"/>
        <v>5</v>
      </c>
      <c r="L373" s="36">
        <f>DAY(RESER3[[#This Row],[DATA]])</f>
        <v>24</v>
      </c>
      <c r="M373" s="36"/>
    </row>
    <row r="374" spans="1:13" x14ac:dyDescent="0.25">
      <c r="A374" s="36"/>
      <c r="B374" s="129" t="s">
        <v>18</v>
      </c>
      <c r="C374" s="128">
        <v>44348</v>
      </c>
      <c r="D374" s="36" t="s">
        <v>263</v>
      </c>
      <c r="E374" s="36" t="s">
        <v>222</v>
      </c>
      <c r="F374" s="36" t="s">
        <v>191</v>
      </c>
      <c r="G374" s="36" t="s">
        <v>191</v>
      </c>
      <c r="H374" s="36">
        <v>1</v>
      </c>
      <c r="I374" s="36" t="s">
        <v>179</v>
      </c>
      <c r="J374" s="36">
        <f>YEAR(RESER3[[#This Row],[DATA]])</f>
        <v>2021</v>
      </c>
      <c r="K374" s="36">
        <f t="shared" si="8"/>
        <v>6</v>
      </c>
      <c r="L374" s="36">
        <f>DAY(RESER3[[#This Row],[DATA]])</f>
        <v>1</v>
      </c>
      <c r="M374" s="36"/>
    </row>
    <row r="375" spans="1:13" x14ac:dyDescent="0.25">
      <c r="A375" s="36"/>
      <c r="B375" s="129" t="s">
        <v>18</v>
      </c>
      <c r="C375" s="128">
        <v>44348</v>
      </c>
      <c r="D375" s="36" t="s">
        <v>263</v>
      </c>
      <c r="E375" s="36" t="s">
        <v>222</v>
      </c>
      <c r="F375" s="36" t="s">
        <v>192</v>
      </c>
      <c r="G375" s="36" t="s">
        <v>333</v>
      </c>
      <c r="H375" s="36">
        <v>1</v>
      </c>
      <c r="I375" s="36" t="s">
        <v>179</v>
      </c>
      <c r="J375" s="36">
        <f>YEAR(RESER3[[#This Row],[DATA]])</f>
        <v>2021</v>
      </c>
      <c r="K375" s="36">
        <f t="shared" si="8"/>
        <v>6</v>
      </c>
      <c r="L375" s="36">
        <f>DAY(RESER3[[#This Row],[DATA]])</f>
        <v>1</v>
      </c>
      <c r="M375" s="36"/>
    </row>
    <row r="376" spans="1:13" x14ac:dyDescent="0.25">
      <c r="A376" s="36"/>
      <c r="B376" s="129" t="s">
        <v>18</v>
      </c>
      <c r="C376" s="128">
        <v>44355</v>
      </c>
      <c r="D376" s="36" t="s">
        <v>263</v>
      </c>
      <c r="E376" s="36" t="s">
        <v>190</v>
      </c>
      <c r="F376" s="36" t="s">
        <v>192</v>
      </c>
      <c r="G376" s="36" t="s">
        <v>333</v>
      </c>
      <c r="H376" s="36">
        <v>1</v>
      </c>
      <c r="I376" s="36" t="s">
        <v>179</v>
      </c>
      <c r="J376" s="36">
        <f>YEAR(RESER3[[#This Row],[DATA]])</f>
        <v>2021</v>
      </c>
      <c r="K376" s="36">
        <f t="shared" si="8"/>
        <v>6</v>
      </c>
      <c r="L376" s="36">
        <f>DAY(RESER3[[#This Row],[DATA]])</f>
        <v>8</v>
      </c>
      <c r="M376" s="36"/>
    </row>
    <row r="377" spans="1:13" x14ac:dyDescent="0.25">
      <c r="A377" s="36"/>
      <c r="B377" s="129" t="s">
        <v>18</v>
      </c>
      <c r="C377" s="128">
        <v>44357</v>
      </c>
      <c r="D377" s="36" t="s">
        <v>240</v>
      </c>
      <c r="E377" s="36" t="s">
        <v>222</v>
      </c>
      <c r="F377" s="36" t="s">
        <v>191</v>
      </c>
      <c r="G377" s="36" t="s">
        <v>191</v>
      </c>
      <c r="H377" s="36">
        <v>1</v>
      </c>
      <c r="I377" s="36" t="s">
        <v>179</v>
      </c>
      <c r="J377" s="36">
        <f>YEAR(RESER3[[#This Row],[DATA]])</f>
        <v>2021</v>
      </c>
      <c r="K377" s="36">
        <f t="shared" si="8"/>
        <v>6</v>
      </c>
      <c r="L377" s="36">
        <f>DAY(RESER3[[#This Row],[DATA]])</f>
        <v>10</v>
      </c>
      <c r="M377" s="36"/>
    </row>
    <row r="378" spans="1:13" x14ac:dyDescent="0.25">
      <c r="A378" s="36"/>
      <c r="B378" s="129" t="s">
        <v>18</v>
      </c>
      <c r="C378" s="128">
        <v>44357</v>
      </c>
      <c r="D378" s="36" t="s">
        <v>263</v>
      </c>
      <c r="E378" s="36" t="s">
        <v>190</v>
      </c>
      <c r="F378" s="36" t="s">
        <v>228</v>
      </c>
      <c r="G378" s="36" t="s">
        <v>257</v>
      </c>
      <c r="H378" s="36">
        <v>1</v>
      </c>
      <c r="I378" s="36" t="s">
        <v>179</v>
      </c>
      <c r="J378" s="36">
        <f>YEAR(RESER3[[#This Row],[DATA]])</f>
        <v>2021</v>
      </c>
      <c r="K378" s="36">
        <f t="shared" si="8"/>
        <v>6</v>
      </c>
      <c r="L378" s="36">
        <f>DAY(RESER3[[#This Row],[DATA]])</f>
        <v>10</v>
      </c>
      <c r="M378" s="36"/>
    </row>
    <row r="379" spans="1:13" x14ac:dyDescent="0.25">
      <c r="A379" s="36"/>
      <c r="B379" s="129" t="s">
        <v>18</v>
      </c>
      <c r="C379" s="128">
        <v>44357</v>
      </c>
      <c r="D379" s="36" t="s">
        <v>260</v>
      </c>
      <c r="E379" s="36" t="s">
        <v>190</v>
      </c>
      <c r="F379" s="36" t="s">
        <v>228</v>
      </c>
      <c r="G379" s="36" t="s">
        <v>257</v>
      </c>
      <c r="H379" s="36">
        <v>1</v>
      </c>
      <c r="I379" s="36" t="s">
        <v>179</v>
      </c>
      <c r="J379" s="36">
        <f>YEAR(RESER3[[#This Row],[DATA]])</f>
        <v>2021</v>
      </c>
      <c r="K379" s="36">
        <f t="shared" si="8"/>
        <v>6</v>
      </c>
      <c r="L379" s="36">
        <f>DAY(RESER3[[#This Row],[DATA]])</f>
        <v>10</v>
      </c>
      <c r="M379" s="36"/>
    </row>
    <row r="380" spans="1:13" x14ac:dyDescent="0.25">
      <c r="A380" s="36"/>
      <c r="B380" s="129" t="s">
        <v>18</v>
      </c>
      <c r="C380" s="128">
        <v>44361</v>
      </c>
      <c r="D380" s="36" t="s">
        <v>240</v>
      </c>
      <c r="E380" s="36" t="s">
        <v>222</v>
      </c>
      <c r="F380" s="36" t="s">
        <v>196</v>
      </c>
      <c r="G380" s="36" t="s">
        <v>197</v>
      </c>
      <c r="H380" s="36">
        <v>1</v>
      </c>
      <c r="I380" s="36" t="s">
        <v>179</v>
      </c>
      <c r="J380" s="36">
        <f>YEAR(RESER3[[#This Row],[DATA]])</f>
        <v>2021</v>
      </c>
      <c r="K380" s="36">
        <f t="shared" si="8"/>
        <v>6</v>
      </c>
      <c r="L380" s="36">
        <f>DAY(RESER3[[#This Row],[DATA]])</f>
        <v>14</v>
      </c>
      <c r="M380" s="36"/>
    </row>
    <row r="381" spans="1:13" x14ac:dyDescent="0.25">
      <c r="A381" s="36"/>
      <c r="B381" s="129" t="s">
        <v>18</v>
      </c>
      <c r="C381" s="128">
        <v>44361</v>
      </c>
      <c r="D381" s="36" t="s">
        <v>260</v>
      </c>
      <c r="E381" s="36" t="s">
        <v>190</v>
      </c>
      <c r="F381" s="36" t="s">
        <v>228</v>
      </c>
      <c r="G381" s="36" t="s">
        <v>257</v>
      </c>
      <c r="H381" s="36">
        <v>1</v>
      </c>
      <c r="I381" s="36" t="s">
        <v>179</v>
      </c>
      <c r="J381" s="36">
        <f>YEAR(RESER3[[#This Row],[DATA]])</f>
        <v>2021</v>
      </c>
      <c r="K381" s="36">
        <f t="shared" si="8"/>
        <v>6</v>
      </c>
      <c r="L381" s="36">
        <f>DAY(RESER3[[#This Row],[DATA]])</f>
        <v>14</v>
      </c>
      <c r="M381" s="36"/>
    </row>
    <row r="382" spans="1:13" x14ac:dyDescent="0.25">
      <c r="A382" s="36"/>
      <c r="B382" s="129" t="s">
        <v>18</v>
      </c>
      <c r="C382" s="128">
        <v>44362</v>
      </c>
      <c r="D382" s="36" t="s">
        <v>260</v>
      </c>
      <c r="E382" s="36" t="s">
        <v>190</v>
      </c>
      <c r="F382" s="36" t="s">
        <v>191</v>
      </c>
      <c r="G382" s="36" t="s">
        <v>191</v>
      </c>
      <c r="H382" s="36">
        <v>1</v>
      </c>
      <c r="I382" s="36" t="s">
        <v>179</v>
      </c>
      <c r="J382" s="36">
        <f>YEAR(RESER3[[#This Row],[DATA]])</f>
        <v>2021</v>
      </c>
      <c r="K382" s="36">
        <f t="shared" si="8"/>
        <v>6</v>
      </c>
      <c r="L382" s="36">
        <f>DAY(RESER3[[#This Row],[DATA]])</f>
        <v>15</v>
      </c>
      <c r="M382" s="36"/>
    </row>
    <row r="383" spans="1:13" x14ac:dyDescent="0.25">
      <c r="A383" s="36"/>
      <c r="B383" s="129" t="s">
        <v>98</v>
      </c>
      <c r="C383" s="128">
        <v>44222</v>
      </c>
      <c r="D383" s="36" t="s">
        <v>264</v>
      </c>
      <c r="E383" s="36" t="s">
        <v>222</v>
      </c>
      <c r="F383" s="36" t="s">
        <v>192</v>
      </c>
      <c r="G383" s="36" t="s">
        <v>273</v>
      </c>
      <c r="H383" s="36">
        <v>1</v>
      </c>
      <c r="I383" s="36" t="s">
        <v>179</v>
      </c>
      <c r="J383" s="36">
        <f>YEAR(RESER3[[#This Row],[DATA]])</f>
        <v>2021</v>
      </c>
      <c r="K383" s="36">
        <f t="shared" si="8"/>
        <v>1</v>
      </c>
      <c r="L383" s="36">
        <f>DAY(RESER3[[#This Row],[DATA]])</f>
        <v>26</v>
      </c>
      <c r="M383" s="36"/>
    </row>
    <row r="384" spans="1:13" x14ac:dyDescent="0.25">
      <c r="A384" s="36"/>
      <c r="B384" s="129" t="s">
        <v>98</v>
      </c>
      <c r="C384" s="128">
        <v>44222</v>
      </c>
      <c r="D384" s="36" t="s">
        <v>240</v>
      </c>
      <c r="E384" s="36" t="s">
        <v>222</v>
      </c>
      <c r="F384" s="36" t="s">
        <v>192</v>
      </c>
      <c r="G384" s="36" t="s">
        <v>273</v>
      </c>
      <c r="H384" s="36">
        <v>1</v>
      </c>
      <c r="I384" s="36" t="s">
        <v>179</v>
      </c>
      <c r="J384" s="36">
        <f>YEAR(RESER3[[#This Row],[DATA]])</f>
        <v>2021</v>
      </c>
      <c r="K384" s="36">
        <f t="shared" si="8"/>
        <v>1</v>
      </c>
      <c r="L384" s="36">
        <f>DAY(RESER3[[#This Row],[DATA]])</f>
        <v>26</v>
      </c>
      <c r="M384" s="36"/>
    </row>
    <row r="385" spans="1:13" x14ac:dyDescent="0.25">
      <c r="A385" s="36"/>
      <c r="B385" s="129" t="s">
        <v>98</v>
      </c>
      <c r="C385" s="128">
        <v>44222</v>
      </c>
      <c r="D385" s="36" t="s">
        <v>275</v>
      </c>
      <c r="E385" s="36" t="s">
        <v>222</v>
      </c>
      <c r="F385" s="36" t="s">
        <v>192</v>
      </c>
      <c r="G385" s="36" t="s">
        <v>273</v>
      </c>
      <c r="H385" s="36">
        <v>1</v>
      </c>
      <c r="I385" s="36" t="s">
        <v>179</v>
      </c>
      <c r="J385" s="36">
        <f>YEAR(RESER3[[#This Row],[DATA]])</f>
        <v>2021</v>
      </c>
      <c r="K385" s="36">
        <f t="shared" si="8"/>
        <v>1</v>
      </c>
      <c r="L385" s="36">
        <f>DAY(RESER3[[#This Row],[DATA]])</f>
        <v>26</v>
      </c>
      <c r="M385" s="36"/>
    </row>
    <row r="386" spans="1:13" x14ac:dyDescent="0.25">
      <c r="A386" s="36"/>
      <c r="B386" s="129" t="s">
        <v>98</v>
      </c>
      <c r="C386" s="128">
        <v>44225</v>
      </c>
      <c r="D386" s="36" t="s">
        <v>334</v>
      </c>
      <c r="E386" s="36" t="s">
        <v>222</v>
      </c>
      <c r="F386" s="36" t="s">
        <v>335</v>
      </c>
      <c r="G386" s="36" t="s">
        <v>262</v>
      </c>
      <c r="H386" s="36">
        <v>1</v>
      </c>
      <c r="I386" s="36" t="s">
        <v>179</v>
      </c>
      <c r="J386" s="36">
        <f>YEAR(RESER3[[#This Row],[DATA]])</f>
        <v>2021</v>
      </c>
      <c r="K386" s="36">
        <f t="shared" si="8"/>
        <v>1</v>
      </c>
      <c r="L386" s="36">
        <f>DAY(RESER3[[#This Row],[DATA]])</f>
        <v>29</v>
      </c>
      <c r="M386" s="36"/>
    </row>
    <row r="387" spans="1:13" x14ac:dyDescent="0.25">
      <c r="A387" s="36"/>
      <c r="B387" s="129" t="s">
        <v>98</v>
      </c>
      <c r="C387" s="128">
        <v>44231</v>
      </c>
      <c r="D387" s="36" t="s">
        <v>258</v>
      </c>
      <c r="E387" s="36" t="s">
        <v>222</v>
      </c>
      <c r="F387" s="36" t="s">
        <v>192</v>
      </c>
      <c r="G387" s="36" t="s">
        <v>273</v>
      </c>
      <c r="H387" s="36">
        <v>1</v>
      </c>
      <c r="I387" s="36" t="s">
        <v>179</v>
      </c>
      <c r="J387" s="36">
        <f>YEAR(RESER3[[#This Row],[DATA]])</f>
        <v>2021</v>
      </c>
      <c r="K387" s="36">
        <f t="shared" ref="K387:K450" si="9">MONTH(C387)</f>
        <v>2</v>
      </c>
      <c r="L387" s="36">
        <f>DAY(RESER3[[#This Row],[DATA]])</f>
        <v>4</v>
      </c>
      <c r="M387" s="36"/>
    </row>
    <row r="388" spans="1:13" x14ac:dyDescent="0.25">
      <c r="A388" s="36"/>
      <c r="B388" s="129" t="s">
        <v>98</v>
      </c>
      <c r="C388" s="128">
        <v>44232</v>
      </c>
      <c r="D388" s="36" t="s">
        <v>258</v>
      </c>
      <c r="E388" s="36" t="s">
        <v>222</v>
      </c>
      <c r="F388" s="36" t="s">
        <v>191</v>
      </c>
      <c r="G388" s="36" t="s">
        <v>191</v>
      </c>
      <c r="H388" s="36">
        <v>1</v>
      </c>
      <c r="I388" s="36" t="s">
        <v>179</v>
      </c>
      <c r="J388" s="36">
        <f>YEAR(RESER3[[#This Row],[DATA]])</f>
        <v>2021</v>
      </c>
      <c r="K388" s="36">
        <f t="shared" si="9"/>
        <v>2</v>
      </c>
      <c r="L388" s="36">
        <f>DAY(RESER3[[#This Row],[DATA]])</f>
        <v>5</v>
      </c>
      <c r="M388" s="36"/>
    </row>
    <row r="389" spans="1:13" x14ac:dyDescent="0.25">
      <c r="A389" s="36"/>
      <c r="B389" s="129" t="s">
        <v>98</v>
      </c>
      <c r="C389" s="128">
        <v>44236</v>
      </c>
      <c r="D389" s="36" t="s">
        <v>258</v>
      </c>
      <c r="E389" s="36" t="s">
        <v>222</v>
      </c>
      <c r="F389" s="36" t="s">
        <v>192</v>
      </c>
      <c r="G389" s="36" t="s">
        <v>273</v>
      </c>
      <c r="H389" s="36">
        <v>1</v>
      </c>
      <c r="I389" s="36" t="s">
        <v>179</v>
      </c>
      <c r="J389" s="36">
        <f>YEAR(RESER3[[#This Row],[DATA]])</f>
        <v>2021</v>
      </c>
      <c r="K389" s="36">
        <f t="shared" si="9"/>
        <v>2</v>
      </c>
      <c r="L389" s="36">
        <f>DAY(RESER3[[#This Row],[DATA]])</f>
        <v>9</v>
      </c>
      <c r="M389" s="36"/>
    </row>
    <row r="390" spans="1:13" x14ac:dyDescent="0.25">
      <c r="A390" s="36"/>
      <c r="B390" s="129" t="s">
        <v>98</v>
      </c>
      <c r="C390" s="128">
        <v>44236</v>
      </c>
      <c r="D390" s="36" t="s">
        <v>258</v>
      </c>
      <c r="E390" s="36" t="s">
        <v>222</v>
      </c>
      <c r="F390" s="36" t="s">
        <v>228</v>
      </c>
      <c r="G390" s="36" t="s">
        <v>259</v>
      </c>
      <c r="H390" s="36">
        <v>1</v>
      </c>
      <c r="I390" s="36" t="s">
        <v>179</v>
      </c>
      <c r="J390" s="36">
        <f>YEAR(RESER3[[#This Row],[DATA]])</f>
        <v>2021</v>
      </c>
      <c r="K390" s="36">
        <f t="shared" si="9"/>
        <v>2</v>
      </c>
      <c r="L390" s="36">
        <f>DAY(RESER3[[#This Row],[DATA]])</f>
        <v>9</v>
      </c>
      <c r="M390" s="36"/>
    </row>
    <row r="391" spans="1:13" x14ac:dyDescent="0.25">
      <c r="A391" s="36"/>
      <c r="B391" s="129" t="s">
        <v>98</v>
      </c>
      <c r="C391" s="128">
        <v>44237</v>
      </c>
      <c r="D391" s="36" t="s">
        <v>233</v>
      </c>
      <c r="E391" s="36" t="s">
        <v>222</v>
      </c>
      <c r="F391" s="36" t="s">
        <v>192</v>
      </c>
      <c r="G391" s="36" t="s">
        <v>193</v>
      </c>
      <c r="H391" s="36">
        <v>1</v>
      </c>
      <c r="I391" s="36" t="s">
        <v>179</v>
      </c>
      <c r="J391" s="36">
        <f>YEAR(RESER3[[#This Row],[DATA]])</f>
        <v>2021</v>
      </c>
      <c r="K391" s="36">
        <f t="shared" si="9"/>
        <v>2</v>
      </c>
      <c r="L391" s="36">
        <f>DAY(RESER3[[#This Row],[DATA]])</f>
        <v>10</v>
      </c>
      <c r="M391" s="36"/>
    </row>
    <row r="392" spans="1:13" x14ac:dyDescent="0.25">
      <c r="A392" s="36"/>
      <c r="B392" s="129" t="s">
        <v>98</v>
      </c>
      <c r="C392" s="128">
        <v>44252</v>
      </c>
      <c r="D392" s="36" t="s">
        <v>233</v>
      </c>
      <c r="E392" s="36" t="s">
        <v>222</v>
      </c>
      <c r="F392" s="36" t="s">
        <v>192</v>
      </c>
      <c r="G392" s="36" t="s">
        <v>193</v>
      </c>
      <c r="H392" s="36">
        <v>1</v>
      </c>
      <c r="I392" s="36" t="s">
        <v>179</v>
      </c>
      <c r="J392" s="36">
        <f>YEAR(RESER3[[#This Row],[DATA]])</f>
        <v>2021</v>
      </c>
      <c r="K392" s="36">
        <f t="shared" si="9"/>
        <v>2</v>
      </c>
      <c r="L392" s="36">
        <f>DAY(RESER3[[#This Row],[DATA]])</f>
        <v>25</v>
      </c>
      <c r="M392" s="36"/>
    </row>
    <row r="393" spans="1:13" x14ac:dyDescent="0.25">
      <c r="A393" s="36"/>
      <c r="B393" s="129" t="s">
        <v>98</v>
      </c>
      <c r="C393" s="128">
        <v>44264</v>
      </c>
      <c r="D393" s="36" t="s">
        <v>258</v>
      </c>
      <c r="E393" s="36" t="s">
        <v>222</v>
      </c>
      <c r="F393" s="36" t="s">
        <v>202</v>
      </c>
      <c r="G393" s="36" t="s">
        <v>262</v>
      </c>
      <c r="H393" s="36">
        <v>1</v>
      </c>
      <c r="I393" s="36" t="s">
        <v>179</v>
      </c>
      <c r="J393" s="36">
        <f>YEAR(RESER3[[#This Row],[DATA]])</f>
        <v>2021</v>
      </c>
      <c r="K393" s="36">
        <f t="shared" si="9"/>
        <v>3</v>
      </c>
      <c r="L393" s="36">
        <f>DAY(RESER3[[#This Row],[DATA]])</f>
        <v>9</v>
      </c>
      <c r="M393" s="36"/>
    </row>
    <row r="394" spans="1:13" x14ac:dyDescent="0.25">
      <c r="A394" s="36"/>
      <c r="B394" s="129" t="s">
        <v>98</v>
      </c>
      <c r="C394" s="128">
        <v>44267</v>
      </c>
      <c r="D394" s="36" t="s">
        <v>263</v>
      </c>
      <c r="E394" s="36" t="s">
        <v>222</v>
      </c>
      <c r="F394" s="36" t="s">
        <v>191</v>
      </c>
      <c r="G394" s="36" t="s">
        <v>191</v>
      </c>
      <c r="H394" s="36">
        <v>1</v>
      </c>
      <c r="I394" s="36" t="s">
        <v>179</v>
      </c>
      <c r="J394" s="36">
        <f>YEAR(RESER3[[#This Row],[DATA]])</f>
        <v>2021</v>
      </c>
      <c r="K394" s="36">
        <f t="shared" si="9"/>
        <v>3</v>
      </c>
      <c r="L394" s="36">
        <f>DAY(RESER3[[#This Row],[DATA]])</f>
        <v>12</v>
      </c>
      <c r="M394" s="36"/>
    </row>
    <row r="395" spans="1:13" x14ac:dyDescent="0.25">
      <c r="A395" s="36"/>
      <c r="B395" s="129" t="s">
        <v>98</v>
      </c>
      <c r="C395" s="128">
        <v>44271</v>
      </c>
      <c r="D395" s="36" t="s">
        <v>260</v>
      </c>
      <c r="E395" s="36" t="s">
        <v>190</v>
      </c>
      <c r="F395" s="36" t="s">
        <v>192</v>
      </c>
      <c r="G395" s="36" t="s">
        <v>193</v>
      </c>
      <c r="H395" s="36">
        <v>1</v>
      </c>
      <c r="I395" s="36" t="s">
        <v>179</v>
      </c>
      <c r="J395" s="36">
        <f>YEAR(RESER3[[#This Row],[DATA]])</f>
        <v>2021</v>
      </c>
      <c r="K395" s="36">
        <f t="shared" si="9"/>
        <v>3</v>
      </c>
      <c r="L395" s="36">
        <f>DAY(RESER3[[#This Row],[DATA]])</f>
        <v>16</v>
      </c>
      <c r="M395" s="36"/>
    </row>
    <row r="396" spans="1:13" x14ac:dyDescent="0.25">
      <c r="A396" s="36"/>
      <c r="B396" s="129" t="s">
        <v>98</v>
      </c>
      <c r="C396" s="128">
        <v>44271</v>
      </c>
      <c r="D396" s="36" t="s">
        <v>272</v>
      </c>
      <c r="E396" s="36" t="s">
        <v>222</v>
      </c>
      <c r="F396" s="36" t="s">
        <v>191</v>
      </c>
      <c r="G396" s="36" t="s">
        <v>191</v>
      </c>
      <c r="H396" s="36">
        <v>1</v>
      </c>
      <c r="I396" s="36" t="s">
        <v>179</v>
      </c>
      <c r="J396" s="36">
        <f>YEAR(RESER3[[#This Row],[DATA]])</f>
        <v>2021</v>
      </c>
      <c r="K396" s="36">
        <f t="shared" si="9"/>
        <v>3</v>
      </c>
      <c r="L396" s="36">
        <f>DAY(RESER3[[#This Row],[DATA]])</f>
        <v>16</v>
      </c>
      <c r="M396" s="36"/>
    </row>
    <row r="397" spans="1:13" x14ac:dyDescent="0.25">
      <c r="A397" s="36"/>
      <c r="B397" s="129" t="s">
        <v>98</v>
      </c>
      <c r="C397" s="128">
        <v>44271</v>
      </c>
      <c r="D397" s="36" t="s">
        <v>272</v>
      </c>
      <c r="E397" s="36" t="s">
        <v>222</v>
      </c>
      <c r="F397" s="36" t="s">
        <v>192</v>
      </c>
      <c r="G397" s="36" t="s">
        <v>273</v>
      </c>
      <c r="H397" s="36">
        <v>1</v>
      </c>
      <c r="I397" s="36" t="s">
        <v>179</v>
      </c>
      <c r="J397" s="36">
        <f>YEAR(RESER3[[#This Row],[DATA]])</f>
        <v>2021</v>
      </c>
      <c r="K397" s="36">
        <f t="shared" si="9"/>
        <v>3</v>
      </c>
      <c r="L397" s="36">
        <f>DAY(RESER3[[#This Row],[DATA]])</f>
        <v>16</v>
      </c>
      <c r="M397" s="36"/>
    </row>
    <row r="398" spans="1:13" x14ac:dyDescent="0.25">
      <c r="A398" s="36"/>
      <c r="B398" s="129" t="s">
        <v>98</v>
      </c>
      <c r="C398" s="128">
        <v>44273</v>
      </c>
      <c r="D398" s="36" t="s">
        <v>233</v>
      </c>
      <c r="E398" s="36" t="s">
        <v>222</v>
      </c>
      <c r="F398" s="36" t="s">
        <v>196</v>
      </c>
      <c r="G398" s="36" t="s">
        <v>282</v>
      </c>
      <c r="H398" s="36">
        <v>1</v>
      </c>
      <c r="I398" s="36" t="s">
        <v>179</v>
      </c>
      <c r="J398" s="36">
        <f>YEAR(RESER3[[#This Row],[DATA]])</f>
        <v>2021</v>
      </c>
      <c r="K398" s="36">
        <f t="shared" si="9"/>
        <v>3</v>
      </c>
      <c r="L398" s="36">
        <f>DAY(RESER3[[#This Row],[DATA]])</f>
        <v>18</v>
      </c>
      <c r="M398" s="36"/>
    </row>
    <row r="399" spans="1:13" x14ac:dyDescent="0.25">
      <c r="A399" s="36"/>
      <c r="B399" s="129" t="s">
        <v>98</v>
      </c>
      <c r="C399" s="128">
        <v>44277</v>
      </c>
      <c r="D399" s="36" t="s">
        <v>189</v>
      </c>
      <c r="E399" s="36" t="s">
        <v>190</v>
      </c>
      <c r="F399" s="36" t="s">
        <v>202</v>
      </c>
      <c r="G399" s="36" t="s">
        <v>262</v>
      </c>
      <c r="H399" s="36">
        <v>1</v>
      </c>
      <c r="I399" s="36" t="s">
        <v>179</v>
      </c>
      <c r="J399" s="36">
        <f>YEAR(RESER3[[#This Row],[DATA]])</f>
        <v>2021</v>
      </c>
      <c r="K399" s="36">
        <f t="shared" si="9"/>
        <v>3</v>
      </c>
      <c r="L399" s="36">
        <f>DAY(RESER3[[#This Row],[DATA]])</f>
        <v>22</v>
      </c>
      <c r="M399" s="36"/>
    </row>
    <row r="400" spans="1:13" x14ac:dyDescent="0.25">
      <c r="A400" s="36"/>
      <c r="B400" s="129" t="s">
        <v>98</v>
      </c>
      <c r="C400" s="128">
        <v>44278</v>
      </c>
      <c r="D400" s="36" t="s">
        <v>189</v>
      </c>
      <c r="E400" s="36" t="s">
        <v>190</v>
      </c>
      <c r="F400" s="36" t="s">
        <v>191</v>
      </c>
      <c r="G400" s="36" t="s">
        <v>191</v>
      </c>
      <c r="H400" s="36">
        <v>1</v>
      </c>
      <c r="I400" s="36" t="s">
        <v>179</v>
      </c>
      <c r="J400" s="36">
        <f>YEAR(RESER3[[#This Row],[DATA]])</f>
        <v>2021</v>
      </c>
      <c r="K400" s="36">
        <f t="shared" si="9"/>
        <v>3</v>
      </c>
      <c r="L400" s="36">
        <f>DAY(RESER3[[#This Row],[DATA]])</f>
        <v>23</v>
      </c>
      <c r="M400" s="36"/>
    </row>
    <row r="401" spans="1:13" x14ac:dyDescent="0.25">
      <c r="A401" s="36"/>
      <c r="B401" s="129" t="s">
        <v>98</v>
      </c>
      <c r="C401" s="128">
        <v>44279</v>
      </c>
      <c r="D401" s="36" t="s">
        <v>189</v>
      </c>
      <c r="E401" s="36" t="s">
        <v>222</v>
      </c>
      <c r="F401" s="36" t="s">
        <v>192</v>
      </c>
      <c r="G401" s="36" t="s">
        <v>193</v>
      </c>
      <c r="H401" s="36">
        <v>1</v>
      </c>
      <c r="I401" s="36" t="s">
        <v>179</v>
      </c>
      <c r="J401" s="36">
        <f>YEAR(RESER3[[#This Row],[DATA]])</f>
        <v>2021</v>
      </c>
      <c r="K401" s="36">
        <f t="shared" si="9"/>
        <v>3</v>
      </c>
      <c r="L401" s="36">
        <f>DAY(RESER3[[#This Row],[DATA]])</f>
        <v>24</v>
      </c>
      <c r="M401" s="36"/>
    </row>
    <row r="402" spans="1:13" x14ac:dyDescent="0.25">
      <c r="A402" s="36"/>
      <c r="B402" s="129" t="s">
        <v>98</v>
      </c>
      <c r="C402" s="128">
        <v>44280</v>
      </c>
      <c r="D402" s="36" t="s">
        <v>189</v>
      </c>
      <c r="E402" s="36" t="s">
        <v>190</v>
      </c>
      <c r="F402" s="36" t="s">
        <v>192</v>
      </c>
      <c r="G402" s="36" t="s">
        <v>193</v>
      </c>
      <c r="H402" s="36">
        <v>1</v>
      </c>
      <c r="I402" s="36" t="s">
        <v>179</v>
      </c>
      <c r="J402" s="36">
        <f>YEAR(RESER3[[#This Row],[DATA]])</f>
        <v>2021</v>
      </c>
      <c r="K402" s="36">
        <f t="shared" si="9"/>
        <v>3</v>
      </c>
      <c r="L402" s="36">
        <f>DAY(RESER3[[#This Row],[DATA]])</f>
        <v>25</v>
      </c>
      <c r="M402" s="36"/>
    </row>
    <row r="403" spans="1:13" x14ac:dyDescent="0.25">
      <c r="A403" s="36"/>
      <c r="B403" s="129" t="s">
        <v>98</v>
      </c>
      <c r="C403" s="128">
        <v>44284</v>
      </c>
      <c r="D403" s="36" t="s">
        <v>189</v>
      </c>
      <c r="E403" s="36" t="s">
        <v>222</v>
      </c>
      <c r="F403" s="36" t="s">
        <v>196</v>
      </c>
      <c r="G403" s="36" t="s">
        <v>336</v>
      </c>
      <c r="H403" s="36">
        <v>1</v>
      </c>
      <c r="I403" s="36" t="s">
        <v>179</v>
      </c>
      <c r="J403" s="36">
        <f>YEAR(RESER3[[#This Row],[DATA]])</f>
        <v>2021</v>
      </c>
      <c r="K403" s="36">
        <f t="shared" si="9"/>
        <v>3</v>
      </c>
      <c r="L403" s="36">
        <f>DAY(RESER3[[#This Row],[DATA]])</f>
        <v>29</v>
      </c>
      <c r="M403" s="36"/>
    </row>
    <row r="404" spans="1:13" x14ac:dyDescent="0.25">
      <c r="A404" s="36"/>
      <c r="B404" s="129" t="s">
        <v>98</v>
      </c>
      <c r="C404" s="128">
        <v>44284</v>
      </c>
      <c r="D404" s="36" t="s">
        <v>189</v>
      </c>
      <c r="E404" s="36" t="s">
        <v>190</v>
      </c>
      <c r="F404" s="36" t="s">
        <v>191</v>
      </c>
      <c r="G404" s="36" t="s">
        <v>191</v>
      </c>
      <c r="H404" s="36">
        <v>1</v>
      </c>
      <c r="I404" s="36" t="s">
        <v>179</v>
      </c>
      <c r="J404" s="36">
        <f>YEAR(RESER3[[#This Row],[DATA]])</f>
        <v>2021</v>
      </c>
      <c r="K404" s="36">
        <f t="shared" si="9"/>
        <v>3</v>
      </c>
      <c r="L404" s="36">
        <f>DAY(RESER3[[#This Row],[DATA]])</f>
        <v>29</v>
      </c>
      <c r="M404" s="36"/>
    </row>
    <row r="405" spans="1:13" x14ac:dyDescent="0.25">
      <c r="A405" s="36"/>
      <c r="B405" s="129" t="s">
        <v>98</v>
      </c>
      <c r="C405" s="128">
        <v>44285</v>
      </c>
      <c r="D405" s="36" t="s">
        <v>189</v>
      </c>
      <c r="E405" s="36" t="s">
        <v>190</v>
      </c>
      <c r="F405" s="36" t="s">
        <v>196</v>
      </c>
      <c r="G405" s="36" t="s">
        <v>337</v>
      </c>
      <c r="H405" s="36">
        <v>1</v>
      </c>
      <c r="I405" s="36" t="s">
        <v>179</v>
      </c>
      <c r="J405" s="36">
        <f>YEAR(RESER3[[#This Row],[DATA]])</f>
        <v>2021</v>
      </c>
      <c r="K405" s="36">
        <f t="shared" si="9"/>
        <v>3</v>
      </c>
      <c r="L405" s="36">
        <f>DAY(RESER3[[#This Row],[DATA]])</f>
        <v>30</v>
      </c>
      <c r="M405" s="36"/>
    </row>
    <row r="406" spans="1:13" x14ac:dyDescent="0.25">
      <c r="A406" s="36"/>
      <c r="B406" s="129" t="s">
        <v>98</v>
      </c>
      <c r="C406" s="128">
        <v>44287</v>
      </c>
      <c r="D406" s="36" t="s">
        <v>189</v>
      </c>
      <c r="E406" s="36" t="s">
        <v>190</v>
      </c>
      <c r="F406" s="36" t="s">
        <v>192</v>
      </c>
      <c r="G406" s="36" t="s">
        <v>193</v>
      </c>
      <c r="H406" s="36">
        <v>1</v>
      </c>
      <c r="I406" s="36" t="s">
        <v>179</v>
      </c>
      <c r="J406" s="36">
        <f>YEAR(RESER3[[#This Row],[DATA]])</f>
        <v>2021</v>
      </c>
      <c r="K406" s="36">
        <f t="shared" si="9"/>
        <v>4</v>
      </c>
      <c r="L406" s="36">
        <f>DAY(RESER3[[#This Row],[DATA]])</f>
        <v>1</v>
      </c>
      <c r="M406" s="36"/>
    </row>
    <row r="407" spans="1:13" x14ac:dyDescent="0.25">
      <c r="A407" s="36"/>
      <c r="B407" s="129" t="s">
        <v>98</v>
      </c>
      <c r="C407" s="128">
        <v>44287</v>
      </c>
      <c r="D407" s="36" t="s">
        <v>189</v>
      </c>
      <c r="E407" s="36" t="s">
        <v>190</v>
      </c>
      <c r="F407" s="36" t="s">
        <v>228</v>
      </c>
      <c r="G407" s="36" t="s">
        <v>338</v>
      </c>
      <c r="H407" s="36">
        <v>1</v>
      </c>
      <c r="I407" s="36" t="s">
        <v>179</v>
      </c>
      <c r="J407" s="36">
        <f>YEAR(RESER3[[#This Row],[DATA]])</f>
        <v>2021</v>
      </c>
      <c r="K407" s="36">
        <f t="shared" si="9"/>
        <v>4</v>
      </c>
      <c r="L407" s="36">
        <f>DAY(RESER3[[#This Row],[DATA]])</f>
        <v>1</v>
      </c>
      <c r="M407" s="36"/>
    </row>
    <row r="408" spans="1:13" x14ac:dyDescent="0.25">
      <c r="A408" s="36"/>
      <c r="B408" s="129" t="s">
        <v>98</v>
      </c>
      <c r="C408" s="128">
        <v>44292</v>
      </c>
      <c r="D408" s="36" t="s">
        <v>189</v>
      </c>
      <c r="E408" s="36" t="s">
        <v>190</v>
      </c>
      <c r="F408" s="36" t="s">
        <v>228</v>
      </c>
      <c r="G408" s="36" t="s">
        <v>339</v>
      </c>
      <c r="H408" s="36">
        <v>1</v>
      </c>
      <c r="I408" s="36" t="s">
        <v>179</v>
      </c>
      <c r="J408" s="36">
        <f>YEAR(RESER3[[#This Row],[DATA]])</f>
        <v>2021</v>
      </c>
      <c r="K408" s="36">
        <f t="shared" si="9"/>
        <v>4</v>
      </c>
      <c r="L408" s="36">
        <f>DAY(RESER3[[#This Row],[DATA]])</f>
        <v>6</v>
      </c>
      <c r="M408" s="36"/>
    </row>
    <row r="409" spans="1:13" x14ac:dyDescent="0.25">
      <c r="A409" s="36"/>
      <c r="B409" s="129" t="s">
        <v>98</v>
      </c>
      <c r="C409" s="128">
        <v>44294</v>
      </c>
      <c r="D409" s="36" t="s">
        <v>189</v>
      </c>
      <c r="E409" s="36" t="s">
        <v>190</v>
      </c>
      <c r="F409" s="36" t="s">
        <v>191</v>
      </c>
      <c r="G409" s="36" t="s">
        <v>191</v>
      </c>
      <c r="H409" s="36">
        <v>1</v>
      </c>
      <c r="I409" s="36" t="s">
        <v>179</v>
      </c>
      <c r="J409" s="36">
        <f>YEAR(RESER3[[#This Row],[DATA]])</f>
        <v>2021</v>
      </c>
      <c r="K409" s="36">
        <f t="shared" si="9"/>
        <v>4</v>
      </c>
      <c r="L409" s="36">
        <f>DAY(RESER3[[#This Row],[DATA]])</f>
        <v>8</v>
      </c>
      <c r="M409" s="36"/>
    </row>
    <row r="410" spans="1:13" x14ac:dyDescent="0.25">
      <c r="A410" s="36"/>
      <c r="B410" s="129" t="s">
        <v>98</v>
      </c>
      <c r="C410" s="128">
        <v>44299</v>
      </c>
      <c r="D410" s="36" t="s">
        <v>189</v>
      </c>
      <c r="E410" s="36" t="s">
        <v>222</v>
      </c>
      <c r="F410" s="36" t="s">
        <v>196</v>
      </c>
      <c r="G410" s="36" t="s">
        <v>340</v>
      </c>
      <c r="H410" s="36">
        <v>1</v>
      </c>
      <c r="I410" s="36" t="s">
        <v>179</v>
      </c>
      <c r="J410" s="36">
        <f>YEAR(RESER3[[#This Row],[DATA]])</f>
        <v>2021</v>
      </c>
      <c r="K410" s="36">
        <f t="shared" si="9"/>
        <v>4</v>
      </c>
      <c r="L410" s="36">
        <f>DAY(RESER3[[#This Row],[DATA]])</f>
        <v>13</v>
      </c>
      <c r="M410" s="36"/>
    </row>
    <row r="411" spans="1:13" x14ac:dyDescent="0.25">
      <c r="A411" s="36"/>
      <c r="B411" s="129" t="s">
        <v>98</v>
      </c>
      <c r="C411" s="128">
        <v>44308</v>
      </c>
      <c r="D411" s="36" t="s">
        <v>258</v>
      </c>
      <c r="E411" s="36" t="s">
        <v>222</v>
      </c>
      <c r="F411" s="36" t="s">
        <v>192</v>
      </c>
      <c r="G411" s="36" t="s">
        <v>193</v>
      </c>
      <c r="H411" s="36">
        <v>1</v>
      </c>
      <c r="I411" s="36" t="s">
        <v>179</v>
      </c>
      <c r="J411" s="36">
        <f>YEAR(RESER3[[#This Row],[DATA]])</f>
        <v>2021</v>
      </c>
      <c r="K411" s="36">
        <f t="shared" si="9"/>
        <v>4</v>
      </c>
      <c r="L411" s="36">
        <f>DAY(RESER3[[#This Row],[DATA]])</f>
        <v>22</v>
      </c>
      <c r="M411" s="36"/>
    </row>
    <row r="412" spans="1:13" x14ac:dyDescent="0.25">
      <c r="A412" s="36"/>
      <c r="B412" s="129" t="s">
        <v>98</v>
      </c>
      <c r="C412" s="128">
        <v>44309</v>
      </c>
      <c r="D412" s="36" t="s">
        <v>240</v>
      </c>
      <c r="E412" s="36" t="s">
        <v>190</v>
      </c>
      <c r="F412" s="36" t="s">
        <v>192</v>
      </c>
      <c r="G412" s="36" t="s">
        <v>193</v>
      </c>
      <c r="H412" s="36">
        <v>1</v>
      </c>
      <c r="I412" s="36" t="s">
        <v>179</v>
      </c>
      <c r="J412" s="36">
        <f>YEAR(RESER3[[#This Row],[DATA]])</f>
        <v>2021</v>
      </c>
      <c r="K412" s="36">
        <f t="shared" si="9"/>
        <v>4</v>
      </c>
      <c r="L412" s="36">
        <f>DAY(RESER3[[#This Row],[DATA]])</f>
        <v>23</v>
      </c>
      <c r="M412" s="36"/>
    </row>
    <row r="413" spans="1:13" x14ac:dyDescent="0.25">
      <c r="A413" s="36"/>
      <c r="B413" s="129" t="s">
        <v>98</v>
      </c>
      <c r="C413" s="128">
        <v>44309</v>
      </c>
      <c r="D413" s="36" t="s">
        <v>223</v>
      </c>
      <c r="E413" s="36" t="s">
        <v>190</v>
      </c>
      <c r="F413" s="36" t="s">
        <v>202</v>
      </c>
      <c r="G413" s="36" t="s">
        <v>341</v>
      </c>
      <c r="H413" s="36">
        <v>1</v>
      </c>
      <c r="I413" s="36" t="s">
        <v>179</v>
      </c>
      <c r="J413" s="36">
        <f>YEAR(RESER3[[#This Row],[DATA]])</f>
        <v>2021</v>
      </c>
      <c r="K413" s="36">
        <f t="shared" si="9"/>
        <v>4</v>
      </c>
      <c r="L413" s="36">
        <f>DAY(RESER3[[#This Row],[DATA]])</f>
        <v>23</v>
      </c>
      <c r="M413" s="36"/>
    </row>
    <row r="414" spans="1:13" x14ac:dyDescent="0.25">
      <c r="A414" s="36"/>
      <c r="B414" s="129" t="s">
        <v>98</v>
      </c>
      <c r="C414" s="128">
        <v>44319</v>
      </c>
      <c r="D414" s="36" t="s">
        <v>275</v>
      </c>
      <c r="E414" s="36" t="s">
        <v>190</v>
      </c>
      <c r="F414" s="36" t="s">
        <v>191</v>
      </c>
      <c r="G414" s="36" t="s">
        <v>191</v>
      </c>
      <c r="H414" s="36">
        <v>1</v>
      </c>
      <c r="I414" s="36" t="s">
        <v>179</v>
      </c>
      <c r="J414" s="36">
        <f>YEAR(RESER3[[#This Row],[DATA]])</f>
        <v>2021</v>
      </c>
      <c r="K414" s="36">
        <f t="shared" si="9"/>
        <v>5</v>
      </c>
      <c r="L414" s="36">
        <f>DAY(RESER3[[#This Row],[DATA]])</f>
        <v>3</v>
      </c>
      <c r="M414" s="36"/>
    </row>
    <row r="415" spans="1:13" x14ac:dyDescent="0.25">
      <c r="A415" s="36"/>
      <c r="B415" s="129" t="s">
        <v>98</v>
      </c>
      <c r="C415" s="128">
        <v>44319</v>
      </c>
      <c r="D415" s="36" t="s">
        <v>274</v>
      </c>
      <c r="E415" s="36" t="s">
        <v>190</v>
      </c>
      <c r="F415" s="36" t="s">
        <v>192</v>
      </c>
      <c r="G415" s="36" t="s">
        <v>235</v>
      </c>
      <c r="H415" s="36">
        <v>1</v>
      </c>
      <c r="I415" s="36" t="s">
        <v>179</v>
      </c>
      <c r="J415" s="36">
        <f>YEAR(RESER3[[#This Row],[DATA]])</f>
        <v>2021</v>
      </c>
      <c r="K415" s="36">
        <f t="shared" si="9"/>
        <v>5</v>
      </c>
      <c r="L415" s="36">
        <f>DAY(RESER3[[#This Row],[DATA]])</f>
        <v>3</v>
      </c>
      <c r="M415" s="36"/>
    </row>
    <row r="416" spans="1:13" x14ac:dyDescent="0.25">
      <c r="A416" s="36"/>
      <c r="B416" s="129" t="s">
        <v>98</v>
      </c>
      <c r="C416" s="128">
        <v>44322</v>
      </c>
      <c r="D416" s="36" t="s">
        <v>189</v>
      </c>
      <c r="E416" s="36" t="s">
        <v>190</v>
      </c>
      <c r="F416" s="36" t="s">
        <v>228</v>
      </c>
      <c r="G416" s="36" t="s">
        <v>288</v>
      </c>
      <c r="H416" s="36">
        <v>1</v>
      </c>
      <c r="I416" s="36" t="s">
        <v>179</v>
      </c>
      <c r="J416" s="36">
        <f>YEAR(RESER3[[#This Row],[DATA]])</f>
        <v>2021</v>
      </c>
      <c r="K416" s="36">
        <f t="shared" si="9"/>
        <v>5</v>
      </c>
      <c r="L416" s="36">
        <f>DAY(RESER3[[#This Row],[DATA]])</f>
        <v>6</v>
      </c>
      <c r="M416" s="36"/>
    </row>
    <row r="417" spans="1:13" x14ac:dyDescent="0.25">
      <c r="A417" s="36"/>
      <c r="B417" s="129" t="s">
        <v>98</v>
      </c>
      <c r="C417" s="128">
        <v>44322</v>
      </c>
      <c r="D417" s="36" t="s">
        <v>233</v>
      </c>
      <c r="E417" s="36" t="s">
        <v>190</v>
      </c>
      <c r="F417" s="36" t="s">
        <v>245</v>
      </c>
      <c r="G417" s="36" t="s">
        <v>342</v>
      </c>
      <c r="H417" s="36">
        <v>1</v>
      </c>
      <c r="I417" s="36" t="s">
        <v>179</v>
      </c>
      <c r="J417" s="36">
        <f>YEAR(RESER3[[#This Row],[DATA]])</f>
        <v>2021</v>
      </c>
      <c r="K417" s="36">
        <f t="shared" si="9"/>
        <v>5</v>
      </c>
      <c r="L417" s="36">
        <f>DAY(RESER3[[#This Row],[DATA]])</f>
        <v>6</v>
      </c>
      <c r="M417" s="36"/>
    </row>
    <row r="418" spans="1:13" x14ac:dyDescent="0.25">
      <c r="A418" s="36"/>
      <c r="B418" s="129" t="s">
        <v>98</v>
      </c>
      <c r="C418" s="128">
        <v>44322</v>
      </c>
      <c r="D418" s="36" t="s">
        <v>274</v>
      </c>
      <c r="E418" s="36" t="s">
        <v>190</v>
      </c>
      <c r="F418" s="36" t="s">
        <v>192</v>
      </c>
      <c r="G418" s="36" t="s">
        <v>193</v>
      </c>
      <c r="H418" s="36">
        <v>1</v>
      </c>
      <c r="I418" s="36" t="s">
        <v>179</v>
      </c>
      <c r="J418" s="36">
        <f>YEAR(RESER3[[#This Row],[DATA]])</f>
        <v>2021</v>
      </c>
      <c r="K418" s="36">
        <f t="shared" si="9"/>
        <v>5</v>
      </c>
      <c r="L418" s="36">
        <f>DAY(RESER3[[#This Row],[DATA]])</f>
        <v>6</v>
      </c>
      <c r="M418" s="36"/>
    </row>
    <row r="419" spans="1:13" x14ac:dyDescent="0.25">
      <c r="A419" s="36"/>
      <c r="B419" s="129" t="s">
        <v>98</v>
      </c>
      <c r="C419" s="128">
        <v>44328</v>
      </c>
      <c r="D419" s="36" t="s">
        <v>240</v>
      </c>
      <c r="E419" s="36" t="s">
        <v>190</v>
      </c>
      <c r="F419" s="36" t="s">
        <v>192</v>
      </c>
      <c r="G419" s="36" t="s">
        <v>214</v>
      </c>
      <c r="H419" s="36">
        <v>1</v>
      </c>
      <c r="I419" s="36" t="s">
        <v>179</v>
      </c>
      <c r="J419" s="36">
        <f>YEAR(RESER3[[#This Row],[DATA]])</f>
        <v>2021</v>
      </c>
      <c r="K419" s="36">
        <f t="shared" si="9"/>
        <v>5</v>
      </c>
      <c r="L419" s="36">
        <f>DAY(RESER3[[#This Row],[DATA]])</f>
        <v>12</v>
      </c>
      <c r="M419" s="36"/>
    </row>
    <row r="420" spans="1:13" x14ac:dyDescent="0.25">
      <c r="A420" s="36"/>
      <c r="B420" s="129" t="s">
        <v>98</v>
      </c>
      <c r="C420" s="128">
        <v>44347</v>
      </c>
      <c r="D420" s="36" t="s">
        <v>260</v>
      </c>
      <c r="E420" s="36" t="s">
        <v>222</v>
      </c>
      <c r="F420" s="36" t="s">
        <v>191</v>
      </c>
      <c r="G420" s="36" t="s">
        <v>191</v>
      </c>
      <c r="H420" s="36">
        <v>1</v>
      </c>
      <c r="I420" s="36" t="s">
        <v>179</v>
      </c>
      <c r="J420" s="36">
        <f>YEAR(RESER3[[#This Row],[DATA]])</f>
        <v>2021</v>
      </c>
      <c r="K420" s="36">
        <f t="shared" si="9"/>
        <v>5</v>
      </c>
      <c r="L420" s="36">
        <f>DAY(RESER3[[#This Row],[DATA]])</f>
        <v>31</v>
      </c>
      <c r="M420" s="36"/>
    </row>
    <row r="421" spans="1:13" x14ac:dyDescent="0.25">
      <c r="A421" s="36"/>
      <c r="B421" s="129" t="s">
        <v>98</v>
      </c>
      <c r="C421" s="128">
        <v>44348</v>
      </c>
      <c r="D421" s="36" t="s">
        <v>260</v>
      </c>
      <c r="E421" s="36" t="s">
        <v>190</v>
      </c>
      <c r="F421" s="36" t="s">
        <v>228</v>
      </c>
      <c r="G421" s="36" t="s">
        <v>339</v>
      </c>
      <c r="H421" s="36">
        <v>1</v>
      </c>
      <c r="I421" s="36" t="s">
        <v>179</v>
      </c>
      <c r="J421" s="36">
        <f>YEAR(RESER3[[#This Row],[DATA]])</f>
        <v>2021</v>
      </c>
      <c r="K421" s="36">
        <f t="shared" si="9"/>
        <v>6</v>
      </c>
      <c r="L421" s="36">
        <f>DAY(RESER3[[#This Row],[DATA]])</f>
        <v>1</v>
      </c>
      <c r="M421" s="36"/>
    </row>
    <row r="422" spans="1:13" x14ac:dyDescent="0.25">
      <c r="A422" s="36"/>
      <c r="B422" s="129" t="s">
        <v>98</v>
      </c>
      <c r="C422" s="128">
        <v>44351</v>
      </c>
      <c r="D422" s="36" t="s">
        <v>240</v>
      </c>
      <c r="E422" s="36" t="s">
        <v>190</v>
      </c>
      <c r="F422" s="36" t="s">
        <v>192</v>
      </c>
      <c r="G422" s="36" t="s">
        <v>273</v>
      </c>
      <c r="H422" s="36">
        <v>1</v>
      </c>
      <c r="I422" s="36" t="s">
        <v>179</v>
      </c>
      <c r="J422" s="36">
        <f>YEAR(RESER3[[#This Row],[DATA]])</f>
        <v>2021</v>
      </c>
      <c r="K422" s="36">
        <f t="shared" si="9"/>
        <v>6</v>
      </c>
      <c r="L422" s="36">
        <f>DAY(RESER3[[#This Row],[DATA]])</f>
        <v>4</v>
      </c>
      <c r="M422" s="36"/>
    </row>
    <row r="423" spans="1:13" x14ac:dyDescent="0.25">
      <c r="A423" s="36"/>
      <c r="B423" s="129" t="s">
        <v>98</v>
      </c>
      <c r="C423" s="128">
        <v>44351</v>
      </c>
      <c r="D423" s="36" t="s">
        <v>260</v>
      </c>
      <c r="E423" s="36" t="s">
        <v>222</v>
      </c>
      <c r="F423" s="36" t="s">
        <v>191</v>
      </c>
      <c r="G423" s="36" t="s">
        <v>191</v>
      </c>
      <c r="H423" s="36">
        <v>1</v>
      </c>
      <c r="I423" s="36" t="s">
        <v>179</v>
      </c>
      <c r="J423" s="36">
        <f>YEAR(RESER3[[#This Row],[DATA]])</f>
        <v>2021</v>
      </c>
      <c r="K423" s="36">
        <f t="shared" si="9"/>
        <v>6</v>
      </c>
      <c r="L423" s="36">
        <f>DAY(RESER3[[#This Row],[DATA]])</f>
        <v>4</v>
      </c>
      <c r="M423" s="36"/>
    </row>
    <row r="424" spans="1:13" x14ac:dyDescent="0.25">
      <c r="A424" s="36"/>
      <c r="B424" s="129" t="s">
        <v>98</v>
      </c>
      <c r="C424" s="128">
        <v>44355</v>
      </c>
      <c r="D424" s="36" t="s">
        <v>268</v>
      </c>
      <c r="E424" s="36" t="s">
        <v>222</v>
      </c>
      <c r="F424" s="36" t="s">
        <v>196</v>
      </c>
      <c r="G424" s="36" t="s">
        <v>343</v>
      </c>
      <c r="H424" s="36">
        <v>1</v>
      </c>
      <c r="I424" s="36" t="s">
        <v>179</v>
      </c>
      <c r="J424" s="36">
        <f>YEAR(RESER3[[#This Row],[DATA]])</f>
        <v>2021</v>
      </c>
      <c r="K424" s="36">
        <f t="shared" si="9"/>
        <v>6</v>
      </c>
      <c r="L424" s="36">
        <f>DAY(RESER3[[#This Row],[DATA]])</f>
        <v>8</v>
      </c>
      <c r="M424" s="36"/>
    </row>
    <row r="425" spans="1:13" x14ac:dyDescent="0.25">
      <c r="A425" s="36"/>
      <c r="B425" s="129" t="s">
        <v>19</v>
      </c>
      <c r="C425" s="128">
        <v>44224</v>
      </c>
      <c r="D425" s="36" t="s">
        <v>275</v>
      </c>
      <c r="E425" s="36" t="s">
        <v>222</v>
      </c>
      <c r="F425" s="36" t="s">
        <v>191</v>
      </c>
      <c r="G425" s="36" t="s">
        <v>191</v>
      </c>
      <c r="H425" s="36">
        <v>1</v>
      </c>
      <c r="I425" s="36" t="s">
        <v>179</v>
      </c>
      <c r="J425" s="36">
        <f>YEAR(RESER3[[#This Row],[DATA]])</f>
        <v>2021</v>
      </c>
      <c r="K425" s="36">
        <f t="shared" si="9"/>
        <v>1</v>
      </c>
      <c r="L425" s="36">
        <f>DAY(RESER3[[#This Row],[DATA]])</f>
        <v>28</v>
      </c>
      <c r="M425" s="36"/>
    </row>
    <row r="426" spans="1:13" x14ac:dyDescent="0.25">
      <c r="A426" s="36"/>
      <c r="B426" s="129" t="s">
        <v>19</v>
      </c>
      <c r="C426" s="128">
        <v>44231</v>
      </c>
      <c r="D426" s="36" t="s">
        <v>275</v>
      </c>
      <c r="E426" s="36" t="s">
        <v>222</v>
      </c>
      <c r="F426" s="36" t="s">
        <v>191</v>
      </c>
      <c r="G426" s="36" t="s">
        <v>191</v>
      </c>
      <c r="H426" s="36">
        <v>1</v>
      </c>
      <c r="I426" s="36" t="s">
        <v>179</v>
      </c>
      <c r="J426" s="36">
        <f>YEAR(RESER3[[#This Row],[DATA]])</f>
        <v>2021</v>
      </c>
      <c r="K426" s="36">
        <f t="shared" si="9"/>
        <v>2</v>
      </c>
      <c r="L426" s="36">
        <f>DAY(RESER3[[#This Row],[DATA]])</f>
        <v>4</v>
      </c>
      <c r="M426" s="36"/>
    </row>
    <row r="427" spans="1:13" x14ac:dyDescent="0.25">
      <c r="A427" s="36"/>
      <c r="B427" s="129" t="s">
        <v>19</v>
      </c>
      <c r="C427" s="128">
        <v>44342</v>
      </c>
      <c r="D427" s="36" t="s">
        <v>258</v>
      </c>
      <c r="E427" s="36" t="s">
        <v>190</v>
      </c>
      <c r="F427" s="36" t="s">
        <v>228</v>
      </c>
      <c r="G427" s="36" t="s">
        <v>282</v>
      </c>
      <c r="H427" s="36">
        <v>1</v>
      </c>
      <c r="I427" s="36" t="s">
        <v>179</v>
      </c>
      <c r="J427" s="36">
        <f>YEAR(RESER3[[#This Row],[DATA]])</f>
        <v>2021</v>
      </c>
      <c r="K427" s="36">
        <f t="shared" si="9"/>
        <v>5</v>
      </c>
      <c r="L427" s="36">
        <f>DAY(RESER3[[#This Row],[DATA]])</f>
        <v>26</v>
      </c>
      <c r="M427" s="36"/>
    </row>
    <row r="428" spans="1:13" x14ac:dyDescent="0.25">
      <c r="A428" s="36"/>
      <c r="B428" s="129" t="s">
        <v>20</v>
      </c>
      <c r="C428" s="128">
        <v>44364</v>
      </c>
      <c r="D428" s="36" t="s">
        <v>240</v>
      </c>
      <c r="E428" s="36" t="s">
        <v>190</v>
      </c>
      <c r="F428" s="36" t="s">
        <v>191</v>
      </c>
      <c r="G428" s="36" t="s">
        <v>191</v>
      </c>
      <c r="H428" s="36">
        <v>1</v>
      </c>
      <c r="I428" s="36" t="s">
        <v>179</v>
      </c>
      <c r="J428" s="36">
        <f>YEAR(RESER3[[#This Row],[DATA]])</f>
        <v>2021</v>
      </c>
      <c r="K428" s="36">
        <f t="shared" si="9"/>
        <v>6</v>
      </c>
      <c r="L428" s="36">
        <f>DAY(RESER3[[#This Row],[DATA]])</f>
        <v>17</v>
      </c>
      <c r="M428" s="36"/>
    </row>
    <row r="429" spans="1:13" x14ac:dyDescent="0.25">
      <c r="A429" s="36"/>
      <c r="B429" s="129" t="s">
        <v>20</v>
      </c>
      <c r="C429" s="128">
        <v>44222</v>
      </c>
      <c r="D429" s="36" t="s">
        <v>258</v>
      </c>
      <c r="E429" s="36" t="s">
        <v>222</v>
      </c>
      <c r="F429" s="36" t="s">
        <v>192</v>
      </c>
      <c r="G429" s="36" t="s">
        <v>273</v>
      </c>
      <c r="H429" s="36">
        <v>1</v>
      </c>
      <c r="I429" s="36" t="s">
        <v>179</v>
      </c>
      <c r="J429" s="36">
        <f>YEAR(RESER3[[#This Row],[DATA]])</f>
        <v>2021</v>
      </c>
      <c r="K429" s="36">
        <f t="shared" si="9"/>
        <v>1</v>
      </c>
      <c r="L429" s="36">
        <f>DAY(RESER3[[#This Row],[DATA]])</f>
        <v>26</v>
      </c>
      <c r="M429" s="36"/>
    </row>
    <row r="430" spans="1:13" x14ac:dyDescent="0.25">
      <c r="A430" s="36"/>
      <c r="B430" s="129" t="s">
        <v>20</v>
      </c>
      <c r="C430" s="128">
        <v>44232</v>
      </c>
      <c r="D430" s="36" t="s">
        <v>233</v>
      </c>
      <c r="E430" s="36" t="s">
        <v>222</v>
      </c>
      <c r="F430" s="36" t="s">
        <v>191</v>
      </c>
      <c r="G430" s="36" t="s">
        <v>191</v>
      </c>
      <c r="H430" s="36">
        <v>1</v>
      </c>
      <c r="I430" s="36" t="s">
        <v>179</v>
      </c>
      <c r="J430" s="36">
        <f>YEAR(RESER3[[#This Row],[DATA]])</f>
        <v>2021</v>
      </c>
      <c r="K430" s="36">
        <f t="shared" si="9"/>
        <v>2</v>
      </c>
      <c r="L430" s="36">
        <f>DAY(RESER3[[#This Row],[DATA]])</f>
        <v>5</v>
      </c>
      <c r="M430" s="36"/>
    </row>
    <row r="431" spans="1:13" x14ac:dyDescent="0.25">
      <c r="A431" s="36"/>
      <c r="B431" s="129" t="s">
        <v>20</v>
      </c>
      <c r="C431" s="128">
        <v>44232</v>
      </c>
      <c r="D431" s="36" t="s">
        <v>240</v>
      </c>
      <c r="E431" s="36" t="s">
        <v>222</v>
      </c>
      <c r="F431" s="36" t="s">
        <v>192</v>
      </c>
      <c r="G431" s="36" t="s">
        <v>273</v>
      </c>
      <c r="H431" s="36">
        <v>1</v>
      </c>
      <c r="I431" s="36" t="s">
        <v>179</v>
      </c>
      <c r="J431" s="36">
        <f>YEAR(RESER3[[#This Row],[DATA]])</f>
        <v>2021</v>
      </c>
      <c r="K431" s="36">
        <f t="shared" si="9"/>
        <v>2</v>
      </c>
      <c r="L431" s="36">
        <f>DAY(RESER3[[#This Row],[DATA]])</f>
        <v>5</v>
      </c>
      <c r="M431" s="36"/>
    </row>
    <row r="432" spans="1:13" x14ac:dyDescent="0.25">
      <c r="A432" s="36"/>
      <c r="B432" s="129" t="s">
        <v>20</v>
      </c>
      <c r="C432" s="128">
        <v>44236</v>
      </c>
      <c r="D432" s="36" t="s">
        <v>264</v>
      </c>
      <c r="E432" s="36" t="s">
        <v>222</v>
      </c>
      <c r="F432" s="36" t="s">
        <v>192</v>
      </c>
      <c r="G432" s="36" t="s">
        <v>273</v>
      </c>
      <c r="H432" s="36">
        <v>1</v>
      </c>
      <c r="I432" s="36" t="s">
        <v>179</v>
      </c>
      <c r="J432" s="36">
        <f>YEAR(RESER3[[#This Row],[DATA]])</f>
        <v>2021</v>
      </c>
      <c r="K432" s="36">
        <f t="shared" si="9"/>
        <v>2</v>
      </c>
      <c r="L432" s="36">
        <f>DAY(RESER3[[#This Row],[DATA]])</f>
        <v>9</v>
      </c>
      <c r="M432" s="36"/>
    </row>
    <row r="433" spans="1:13" x14ac:dyDescent="0.25">
      <c r="A433" s="36"/>
      <c r="B433" s="129" t="s">
        <v>20</v>
      </c>
      <c r="C433" s="128">
        <v>44236</v>
      </c>
      <c r="D433" s="36" t="s">
        <v>275</v>
      </c>
      <c r="E433" s="36" t="s">
        <v>222</v>
      </c>
      <c r="F433" s="36" t="s">
        <v>191</v>
      </c>
      <c r="G433" s="36" t="s">
        <v>191</v>
      </c>
      <c r="H433" s="36">
        <v>1</v>
      </c>
      <c r="I433" s="36" t="s">
        <v>179</v>
      </c>
      <c r="J433" s="36">
        <f>YEAR(RESER3[[#This Row],[DATA]])</f>
        <v>2021</v>
      </c>
      <c r="K433" s="36">
        <f t="shared" si="9"/>
        <v>2</v>
      </c>
      <c r="L433" s="36">
        <f>DAY(RESER3[[#This Row],[DATA]])</f>
        <v>9</v>
      </c>
      <c r="M433" s="36"/>
    </row>
    <row r="434" spans="1:13" x14ac:dyDescent="0.25">
      <c r="A434" s="36"/>
      <c r="B434" s="129" t="s">
        <v>20</v>
      </c>
      <c r="C434" s="128">
        <v>44249</v>
      </c>
      <c r="D434" s="36" t="s">
        <v>263</v>
      </c>
      <c r="E434" s="36" t="s">
        <v>222</v>
      </c>
      <c r="F434" s="36" t="s">
        <v>192</v>
      </c>
      <c r="G434" s="36" t="s">
        <v>193</v>
      </c>
      <c r="H434" s="36">
        <v>1</v>
      </c>
      <c r="I434" s="36" t="s">
        <v>179</v>
      </c>
      <c r="J434" s="36">
        <f>YEAR(RESER3[[#This Row],[DATA]])</f>
        <v>2021</v>
      </c>
      <c r="K434" s="36">
        <f t="shared" si="9"/>
        <v>2</v>
      </c>
      <c r="L434" s="36">
        <f>DAY(RESER3[[#This Row],[DATA]])</f>
        <v>22</v>
      </c>
      <c r="M434" s="36"/>
    </row>
    <row r="435" spans="1:13" x14ac:dyDescent="0.25">
      <c r="A435" s="36"/>
      <c r="B435" s="129" t="s">
        <v>20</v>
      </c>
      <c r="C435" s="128">
        <v>44250</v>
      </c>
      <c r="D435" s="36" t="s">
        <v>272</v>
      </c>
      <c r="E435" s="36" t="s">
        <v>222</v>
      </c>
      <c r="F435" s="36" t="s">
        <v>228</v>
      </c>
      <c r="G435" s="36" t="s">
        <v>259</v>
      </c>
      <c r="H435" s="36">
        <v>1</v>
      </c>
      <c r="I435" s="36" t="s">
        <v>179</v>
      </c>
      <c r="J435" s="36">
        <f>YEAR(RESER3[[#This Row],[DATA]])</f>
        <v>2021</v>
      </c>
      <c r="K435" s="36">
        <f t="shared" si="9"/>
        <v>2</v>
      </c>
      <c r="L435" s="36">
        <f>DAY(RESER3[[#This Row],[DATA]])</f>
        <v>23</v>
      </c>
      <c r="M435" s="36"/>
    </row>
    <row r="436" spans="1:13" x14ac:dyDescent="0.25">
      <c r="A436" s="36"/>
      <c r="B436" s="129" t="s">
        <v>20</v>
      </c>
      <c r="C436" s="128">
        <v>44263</v>
      </c>
      <c r="D436" s="36" t="s">
        <v>274</v>
      </c>
      <c r="E436" s="36" t="s">
        <v>222</v>
      </c>
      <c r="F436" s="36" t="s">
        <v>458</v>
      </c>
      <c r="G436" s="36" t="s">
        <v>458</v>
      </c>
      <c r="H436" s="36">
        <v>1</v>
      </c>
      <c r="I436" s="36" t="s">
        <v>179</v>
      </c>
      <c r="J436" s="36">
        <f>YEAR(RESER3[[#This Row],[DATA]])</f>
        <v>2021</v>
      </c>
      <c r="K436" s="36">
        <f t="shared" si="9"/>
        <v>3</v>
      </c>
      <c r="L436" s="36">
        <f>DAY(RESER3[[#This Row],[DATA]])</f>
        <v>8</v>
      </c>
      <c r="M436" s="36"/>
    </row>
    <row r="437" spans="1:13" x14ac:dyDescent="0.25">
      <c r="A437" s="36"/>
      <c r="B437" s="129" t="s">
        <v>20</v>
      </c>
      <c r="C437" s="128">
        <v>44263</v>
      </c>
      <c r="D437" s="36" t="s">
        <v>274</v>
      </c>
      <c r="E437" s="36" t="s">
        <v>222</v>
      </c>
      <c r="F437" s="36" t="s">
        <v>344</v>
      </c>
      <c r="G437" s="36" t="s">
        <v>279</v>
      </c>
      <c r="H437" s="36">
        <v>1</v>
      </c>
      <c r="I437" s="36" t="s">
        <v>179</v>
      </c>
      <c r="J437" s="36">
        <f>YEAR(RESER3[[#This Row],[DATA]])</f>
        <v>2021</v>
      </c>
      <c r="K437" s="36">
        <f t="shared" si="9"/>
        <v>3</v>
      </c>
      <c r="L437" s="36">
        <f>DAY(RESER3[[#This Row],[DATA]])</f>
        <v>8</v>
      </c>
      <c r="M437" s="36"/>
    </row>
    <row r="438" spans="1:13" x14ac:dyDescent="0.25">
      <c r="A438" s="36"/>
      <c r="B438" s="129" t="s">
        <v>20</v>
      </c>
      <c r="C438" s="128">
        <v>44263</v>
      </c>
      <c r="D438" s="36" t="s">
        <v>274</v>
      </c>
      <c r="E438" s="36" t="s">
        <v>222</v>
      </c>
      <c r="F438" s="36" t="s">
        <v>192</v>
      </c>
      <c r="G438" s="36" t="s">
        <v>273</v>
      </c>
      <c r="H438" s="36">
        <v>1</v>
      </c>
      <c r="I438" s="36" t="s">
        <v>179</v>
      </c>
      <c r="J438" s="36">
        <f>YEAR(RESER3[[#This Row],[DATA]])</f>
        <v>2021</v>
      </c>
      <c r="K438" s="36">
        <f t="shared" si="9"/>
        <v>3</v>
      </c>
      <c r="L438" s="36">
        <f>DAY(RESER3[[#This Row],[DATA]])</f>
        <v>8</v>
      </c>
      <c r="M438" s="36"/>
    </row>
    <row r="439" spans="1:13" x14ac:dyDescent="0.25">
      <c r="A439" s="36"/>
      <c r="B439" s="129" t="s">
        <v>20</v>
      </c>
      <c r="C439" s="128">
        <v>44263</v>
      </c>
      <c r="D439" s="36" t="s">
        <v>274</v>
      </c>
      <c r="E439" s="36" t="s">
        <v>222</v>
      </c>
      <c r="F439" s="36" t="s">
        <v>192</v>
      </c>
      <c r="G439" s="36" t="s">
        <v>273</v>
      </c>
      <c r="H439" s="36">
        <v>1</v>
      </c>
      <c r="I439" s="36" t="s">
        <v>179</v>
      </c>
      <c r="J439" s="36">
        <f>YEAR(RESER3[[#This Row],[DATA]])</f>
        <v>2021</v>
      </c>
      <c r="K439" s="36">
        <f t="shared" si="9"/>
        <v>3</v>
      </c>
      <c r="L439" s="36">
        <f>DAY(RESER3[[#This Row],[DATA]])</f>
        <v>8</v>
      </c>
      <c r="M439" s="36"/>
    </row>
    <row r="440" spans="1:13" x14ac:dyDescent="0.25">
      <c r="A440" s="36"/>
      <c r="B440" s="129" t="s">
        <v>20</v>
      </c>
      <c r="C440" s="128">
        <v>44264</v>
      </c>
      <c r="D440" s="36" t="s">
        <v>275</v>
      </c>
      <c r="E440" s="36" t="s">
        <v>222</v>
      </c>
      <c r="F440" s="36" t="s">
        <v>192</v>
      </c>
      <c r="G440" s="36" t="s">
        <v>273</v>
      </c>
      <c r="H440" s="36">
        <v>1</v>
      </c>
      <c r="I440" s="36" t="s">
        <v>179</v>
      </c>
      <c r="J440" s="36">
        <f>YEAR(RESER3[[#This Row],[DATA]])</f>
        <v>2021</v>
      </c>
      <c r="K440" s="36">
        <f t="shared" si="9"/>
        <v>3</v>
      </c>
      <c r="L440" s="36">
        <f>DAY(RESER3[[#This Row],[DATA]])</f>
        <v>9</v>
      </c>
      <c r="M440" s="36"/>
    </row>
    <row r="441" spans="1:13" x14ac:dyDescent="0.25">
      <c r="A441" s="36"/>
      <c r="B441" s="129" t="s">
        <v>20</v>
      </c>
      <c r="C441" s="128">
        <v>44264</v>
      </c>
      <c r="D441" s="36" t="s">
        <v>264</v>
      </c>
      <c r="E441" s="36" t="s">
        <v>222</v>
      </c>
      <c r="F441" s="36" t="s">
        <v>192</v>
      </c>
      <c r="G441" s="36" t="s">
        <v>193</v>
      </c>
      <c r="H441" s="36">
        <v>1</v>
      </c>
      <c r="I441" s="36" t="s">
        <v>179</v>
      </c>
      <c r="J441" s="36">
        <f>YEAR(RESER3[[#This Row],[DATA]])</f>
        <v>2021</v>
      </c>
      <c r="K441" s="36">
        <f t="shared" si="9"/>
        <v>3</v>
      </c>
      <c r="L441" s="36">
        <f>DAY(RESER3[[#This Row],[DATA]])</f>
        <v>9</v>
      </c>
      <c r="M441" s="36"/>
    </row>
    <row r="442" spans="1:13" x14ac:dyDescent="0.25">
      <c r="A442" s="36"/>
      <c r="B442" s="129" t="s">
        <v>20</v>
      </c>
      <c r="C442" s="128">
        <v>44267</v>
      </c>
      <c r="D442" s="36" t="s">
        <v>258</v>
      </c>
      <c r="E442" s="36" t="s">
        <v>222</v>
      </c>
      <c r="F442" s="36" t="s">
        <v>192</v>
      </c>
      <c r="G442" s="36" t="s">
        <v>273</v>
      </c>
      <c r="H442" s="36">
        <v>1</v>
      </c>
      <c r="I442" s="36" t="s">
        <v>179</v>
      </c>
      <c r="J442" s="36">
        <f>YEAR(RESER3[[#This Row],[DATA]])</f>
        <v>2021</v>
      </c>
      <c r="K442" s="36">
        <f t="shared" si="9"/>
        <v>3</v>
      </c>
      <c r="L442" s="36">
        <f>DAY(RESER3[[#This Row],[DATA]])</f>
        <v>12</v>
      </c>
      <c r="M442" s="36"/>
    </row>
    <row r="443" spans="1:13" x14ac:dyDescent="0.25">
      <c r="A443" s="36"/>
      <c r="B443" s="129" t="s">
        <v>20</v>
      </c>
      <c r="C443" s="128">
        <v>44270</v>
      </c>
      <c r="D443" s="36" t="s">
        <v>263</v>
      </c>
      <c r="E443" s="36" t="s">
        <v>222</v>
      </c>
      <c r="F443" s="36" t="s">
        <v>192</v>
      </c>
      <c r="G443" s="36" t="s">
        <v>273</v>
      </c>
      <c r="H443" s="36">
        <v>1</v>
      </c>
      <c r="I443" s="36" t="s">
        <v>179</v>
      </c>
      <c r="J443" s="36">
        <f>YEAR(RESER3[[#This Row],[DATA]])</f>
        <v>2021</v>
      </c>
      <c r="K443" s="36">
        <f t="shared" si="9"/>
        <v>3</v>
      </c>
      <c r="L443" s="36">
        <f>DAY(RESER3[[#This Row],[DATA]])</f>
        <v>15</v>
      </c>
      <c r="M443" s="36"/>
    </row>
    <row r="444" spans="1:13" x14ac:dyDescent="0.25">
      <c r="A444" s="36"/>
      <c r="B444" s="129" t="s">
        <v>20</v>
      </c>
      <c r="C444" s="128">
        <v>44272</v>
      </c>
      <c r="D444" s="36" t="s">
        <v>240</v>
      </c>
      <c r="E444" s="36" t="s">
        <v>222</v>
      </c>
      <c r="F444" s="36" t="s">
        <v>192</v>
      </c>
      <c r="G444" s="36" t="s">
        <v>193</v>
      </c>
      <c r="H444" s="36">
        <v>1</v>
      </c>
      <c r="I444" s="36" t="s">
        <v>179</v>
      </c>
      <c r="J444" s="36">
        <f>YEAR(RESER3[[#This Row],[DATA]])</f>
        <v>2021</v>
      </c>
      <c r="K444" s="36">
        <f t="shared" si="9"/>
        <v>3</v>
      </c>
      <c r="L444" s="36">
        <f>DAY(RESER3[[#This Row],[DATA]])</f>
        <v>17</v>
      </c>
      <c r="M444" s="36"/>
    </row>
    <row r="445" spans="1:13" x14ac:dyDescent="0.25">
      <c r="A445" s="36"/>
      <c r="B445" s="129" t="s">
        <v>20</v>
      </c>
      <c r="C445" s="128">
        <v>44272</v>
      </c>
      <c r="D445" s="36" t="s">
        <v>251</v>
      </c>
      <c r="E445" s="36" t="s">
        <v>222</v>
      </c>
      <c r="F445" s="36" t="s">
        <v>458</v>
      </c>
      <c r="G445" s="36" t="s">
        <v>458</v>
      </c>
      <c r="H445" s="36">
        <v>1</v>
      </c>
      <c r="I445" s="36" t="s">
        <v>179</v>
      </c>
      <c r="J445" s="36">
        <f>YEAR(RESER3[[#This Row],[DATA]])</f>
        <v>2021</v>
      </c>
      <c r="K445" s="36">
        <f t="shared" si="9"/>
        <v>3</v>
      </c>
      <c r="L445" s="36">
        <f>DAY(RESER3[[#This Row],[DATA]])</f>
        <v>17</v>
      </c>
      <c r="M445" s="36"/>
    </row>
    <row r="446" spans="1:13" x14ac:dyDescent="0.25">
      <c r="A446" s="36"/>
      <c r="B446" s="129" t="s">
        <v>20</v>
      </c>
      <c r="C446" s="128">
        <v>44278</v>
      </c>
      <c r="D446" s="36" t="s">
        <v>189</v>
      </c>
      <c r="E446" s="36" t="s">
        <v>190</v>
      </c>
      <c r="F446" s="36" t="s">
        <v>192</v>
      </c>
      <c r="G446" s="36" t="s">
        <v>193</v>
      </c>
      <c r="H446" s="36">
        <v>1</v>
      </c>
      <c r="I446" s="36" t="s">
        <v>179</v>
      </c>
      <c r="J446" s="36">
        <f>YEAR(RESER3[[#This Row],[DATA]])</f>
        <v>2021</v>
      </c>
      <c r="K446" s="36">
        <f t="shared" si="9"/>
        <v>3</v>
      </c>
      <c r="L446" s="36">
        <f>DAY(RESER3[[#This Row],[DATA]])</f>
        <v>23</v>
      </c>
      <c r="M446" s="36"/>
    </row>
    <row r="447" spans="1:13" x14ac:dyDescent="0.25">
      <c r="A447" s="36"/>
      <c r="B447" s="129" t="s">
        <v>20</v>
      </c>
      <c r="C447" s="128">
        <v>44285</v>
      </c>
      <c r="D447" s="36" t="s">
        <v>189</v>
      </c>
      <c r="E447" s="36" t="s">
        <v>190</v>
      </c>
      <c r="F447" s="36" t="s">
        <v>191</v>
      </c>
      <c r="G447" s="36" t="s">
        <v>458</v>
      </c>
      <c r="H447" s="36">
        <v>1</v>
      </c>
      <c r="I447" s="36" t="s">
        <v>179</v>
      </c>
      <c r="J447" s="36">
        <f>YEAR(RESER3[[#This Row],[DATA]])</f>
        <v>2021</v>
      </c>
      <c r="K447" s="36">
        <f t="shared" si="9"/>
        <v>3</v>
      </c>
      <c r="L447" s="36">
        <f>DAY(RESER3[[#This Row],[DATA]])</f>
        <v>30</v>
      </c>
      <c r="M447" s="36"/>
    </row>
    <row r="448" spans="1:13" x14ac:dyDescent="0.25">
      <c r="A448" s="36"/>
      <c r="B448" s="129" t="s">
        <v>20</v>
      </c>
      <c r="C448" s="128">
        <v>44298</v>
      </c>
      <c r="D448" s="36" t="s">
        <v>189</v>
      </c>
      <c r="E448" s="36" t="s">
        <v>222</v>
      </c>
      <c r="F448" s="36" t="s">
        <v>192</v>
      </c>
      <c r="G448" s="36" t="s">
        <v>193</v>
      </c>
      <c r="H448" s="36">
        <v>1</v>
      </c>
      <c r="I448" s="36" t="s">
        <v>179</v>
      </c>
      <c r="J448" s="36">
        <f>YEAR(RESER3[[#This Row],[DATA]])</f>
        <v>2021</v>
      </c>
      <c r="K448" s="36">
        <f t="shared" si="9"/>
        <v>4</v>
      </c>
      <c r="L448" s="36">
        <f>DAY(RESER3[[#This Row],[DATA]])</f>
        <v>12</v>
      </c>
      <c r="M448" s="36"/>
    </row>
    <row r="449" spans="1:13" x14ac:dyDescent="0.25">
      <c r="A449" s="36"/>
      <c r="B449" s="129" t="s">
        <v>20</v>
      </c>
      <c r="C449" s="128">
        <v>44298</v>
      </c>
      <c r="D449" s="36" t="s">
        <v>189</v>
      </c>
      <c r="E449" s="36" t="s">
        <v>190</v>
      </c>
      <c r="F449" s="36" t="s">
        <v>191</v>
      </c>
      <c r="G449" s="36" t="s">
        <v>458</v>
      </c>
      <c r="H449" s="36">
        <v>1</v>
      </c>
      <c r="I449" s="36" t="s">
        <v>179</v>
      </c>
      <c r="J449" s="36">
        <f>YEAR(RESER3[[#This Row],[DATA]])</f>
        <v>2021</v>
      </c>
      <c r="K449" s="36">
        <f t="shared" si="9"/>
        <v>4</v>
      </c>
      <c r="L449" s="36">
        <f>DAY(RESER3[[#This Row],[DATA]])</f>
        <v>12</v>
      </c>
      <c r="M449" s="36"/>
    </row>
    <row r="450" spans="1:13" x14ac:dyDescent="0.25">
      <c r="A450" s="36"/>
      <c r="B450" s="129" t="s">
        <v>20</v>
      </c>
      <c r="C450" s="128">
        <v>44299</v>
      </c>
      <c r="D450" s="36" t="s">
        <v>189</v>
      </c>
      <c r="E450" s="36" t="s">
        <v>190</v>
      </c>
      <c r="F450" s="36" t="s">
        <v>228</v>
      </c>
      <c r="G450" s="36" t="s">
        <v>282</v>
      </c>
      <c r="H450" s="36">
        <v>1</v>
      </c>
      <c r="I450" s="36" t="s">
        <v>179</v>
      </c>
      <c r="J450" s="36">
        <f>YEAR(RESER3[[#This Row],[DATA]])</f>
        <v>2021</v>
      </c>
      <c r="K450" s="36">
        <f t="shared" si="9"/>
        <v>4</v>
      </c>
      <c r="L450" s="36">
        <f>DAY(RESER3[[#This Row],[DATA]])</f>
        <v>13</v>
      </c>
      <c r="M450" s="36"/>
    </row>
    <row r="451" spans="1:13" x14ac:dyDescent="0.25">
      <c r="A451" s="36"/>
      <c r="B451" s="129" t="s">
        <v>20</v>
      </c>
      <c r="C451" s="128">
        <v>44305</v>
      </c>
      <c r="D451" s="36" t="s">
        <v>258</v>
      </c>
      <c r="E451" s="36" t="s">
        <v>222</v>
      </c>
      <c r="F451" s="36" t="s">
        <v>192</v>
      </c>
      <c r="G451" s="36" t="s">
        <v>193</v>
      </c>
      <c r="H451" s="36">
        <v>1</v>
      </c>
      <c r="I451" s="36" t="s">
        <v>179</v>
      </c>
      <c r="J451" s="36">
        <f>YEAR(RESER3[[#This Row],[DATA]])</f>
        <v>2021</v>
      </c>
      <c r="K451" s="36">
        <f t="shared" ref="K451:K514" si="10">MONTH(C451)</f>
        <v>4</v>
      </c>
      <c r="L451" s="36">
        <f>DAY(RESER3[[#This Row],[DATA]])</f>
        <v>19</v>
      </c>
      <c r="M451" s="36"/>
    </row>
    <row r="452" spans="1:13" x14ac:dyDescent="0.25">
      <c r="A452" s="36"/>
      <c r="B452" s="129" t="s">
        <v>20</v>
      </c>
      <c r="C452" s="128">
        <v>44305</v>
      </c>
      <c r="D452" s="36" t="s">
        <v>258</v>
      </c>
      <c r="E452" s="36" t="s">
        <v>222</v>
      </c>
      <c r="F452" s="36" t="s">
        <v>191</v>
      </c>
      <c r="G452" s="36" t="s">
        <v>458</v>
      </c>
      <c r="H452" s="36">
        <v>1</v>
      </c>
      <c r="I452" s="36" t="s">
        <v>179</v>
      </c>
      <c r="J452" s="36">
        <f>YEAR(RESER3[[#This Row],[DATA]])</f>
        <v>2021</v>
      </c>
      <c r="K452" s="36">
        <f t="shared" si="10"/>
        <v>4</v>
      </c>
      <c r="L452" s="36">
        <f>DAY(RESER3[[#This Row],[DATA]])</f>
        <v>19</v>
      </c>
      <c r="M452" s="36"/>
    </row>
    <row r="453" spans="1:13" x14ac:dyDescent="0.25">
      <c r="A453" s="36"/>
      <c r="B453" s="129" t="s">
        <v>20</v>
      </c>
      <c r="C453" s="128">
        <v>44321</v>
      </c>
      <c r="D453" s="36" t="s">
        <v>240</v>
      </c>
      <c r="E453" s="36" t="s">
        <v>190</v>
      </c>
      <c r="F453" s="36" t="s">
        <v>228</v>
      </c>
      <c r="G453" s="36" t="s">
        <v>257</v>
      </c>
      <c r="H453" s="36">
        <v>1</v>
      </c>
      <c r="I453" s="36" t="s">
        <v>179</v>
      </c>
      <c r="J453" s="36">
        <f>YEAR(RESER3[[#This Row],[DATA]])</f>
        <v>2021</v>
      </c>
      <c r="K453" s="36">
        <f t="shared" si="10"/>
        <v>5</v>
      </c>
      <c r="L453" s="36">
        <f>DAY(RESER3[[#This Row],[DATA]])</f>
        <v>5</v>
      </c>
      <c r="M453" s="36"/>
    </row>
    <row r="454" spans="1:13" x14ac:dyDescent="0.25">
      <c r="A454" s="36"/>
      <c r="B454" s="129" t="s">
        <v>20</v>
      </c>
      <c r="C454" s="128">
        <v>44323</v>
      </c>
      <c r="D454" s="36" t="s">
        <v>345</v>
      </c>
      <c r="E454" s="36" t="s">
        <v>222</v>
      </c>
      <c r="F454" s="36" t="s">
        <v>192</v>
      </c>
      <c r="G454" s="36" t="s">
        <v>193</v>
      </c>
      <c r="H454" s="36">
        <v>1</v>
      </c>
      <c r="I454" s="36" t="s">
        <v>179</v>
      </c>
      <c r="J454" s="36">
        <f>YEAR(RESER3[[#This Row],[DATA]])</f>
        <v>2021</v>
      </c>
      <c r="K454" s="36">
        <f t="shared" si="10"/>
        <v>5</v>
      </c>
      <c r="L454" s="36">
        <f>DAY(RESER3[[#This Row],[DATA]])</f>
        <v>7</v>
      </c>
      <c r="M454" s="36"/>
    </row>
    <row r="455" spans="1:13" x14ac:dyDescent="0.25">
      <c r="A455" s="36"/>
      <c r="B455" s="129" t="s">
        <v>20</v>
      </c>
      <c r="C455" s="128">
        <v>44326</v>
      </c>
      <c r="D455" s="36" t="s">
        <v>258</v>
      </c>
      <c r="E455" s="36" t="s">
        <v>190</v>
      </c>
      <c r="F455" s="36" t="s">
        <v>192</v>
      </c>
      <c r="G455" s="36" t="s">
        <v>193</v>
      </c>
      <c r="H455" s="36">
        <v>1</v>
      </c>
      <c r="I455" s="36" t="s">
        <v>179</v>
      </c>
      <c r="J455" s="36">
        <f>YEAR(RESER3[[#This Row],[DATA]])</f>
        <v>2021</v>
      </c>
      <c r="K455" s="36">
        <f t="shared" si="10"/>
        <v>5</v>
      </c>
      <c r="L455" s="36">
        <f>DAY(RESER3[[#This Row],[DATA]])</f>
        <v>10</v>
      </c>
      <c r="M455" s="36"/>
    </row>
    <row r="456" spans="1:13" x14ac:dyDescent="0.25">
      <c r="A456" s="36"/>
      <c r="B456" s="129" t="s">
        <v>20</v>
      </c>
      <c r="C456" s="128">
        <v>44327</v>
      </c>
      <c r="D456" s="36" t="s">
        <v>277</v>
      </c>
      <c r="E456" s="36" t="s">
        <v>190</v>
      </c>
      <c r="F456" s="36" t="s">
        <v>192</v>
      </c>
      <c r="G456" s="36" t="s">
        <v>193</v>
      </c>
      <c r="H456" s="36">
        <v>1</v>
      </c>
      <c r="I456" s="36" t="s">
        <v>179</v>
      </c>
      <c r="J456" s="36">
        <f>YEAR(RESER3[[#This Row],[DATA]])</f>
        <v>2021</v>
      </c>
      <c r="K456" s="36">
        <f t="shared" si="10"/>
        <v>5</v>
      </c>
      <c r="L456" s="36">
        <f>DAY(RESER3[[#This Row],[DATA]])</f>
        <v>11</v>
      </c>
      <c r="M456" s="36"/>
    </row>
    <row r="457" spans="1:13" x14ac:dyDescent="0.25">
      <c r="A457" s="36"/>
      <c r="B457" s="129" t="s">
        <v>20</v>
      </c>
      <c r="C457" s="128">
        <v>44328</v>
      </c>
      <c r="D457" s="36" t="s">
        <v>240</v>
      </c>
      <c r="E457" s="36" t="s">
        <v>190</v>
      </c>
      <c r="F457" s="36" t="s">
        <v>192</v>
      </c>
      <c r="G457" s="36" t="s">
        <v>193</v>
      </c>
      <c r="H457" s="36">
        <v>1</v>
      </c>
      <c r="I457" s="36" t="s">
        <v>179</v>
      </c>
      <c r="J457" s="36">
        <f>YEAR(RESER3[[#This Row],[DATA]])</f>
        <v>2021</v>
      </c>
      <c r="K457" s="36">
        <f t="shared" si="10"/>
        <v>5</v>
      </c>
      <c r="L457" s="36">
        <f>DAY(RESER3[[#This Row],[DATA]])</f>
        <v>12</v>
      </c>
      <c r="M457" s="36"/>
    </row>
    <row r="458" spans="1:13" x14ac:dyDescent="0.25">
      <c r="A458" s="36"/>
      <c r="B458" s="129" t="s">
        <v>20</v>
      </c>
      <c r="C458" s="128">
        <v>44328</v>
      </c>
      <c r="D458" s="36" t="s">
        <v>240</v>
      </c>
      <c r="E458" s="36" t="s">
        <v>190</v>
      </c>
      <c r="F458" s="36" t="s">
        <v>196</v>
      </c>
      <c r="G458" s="36" t="s">
        <v>198</v>
      </c>
      <c r="H458" s="36">
        <v>1</v>
      </c>
      <c r="I458" s="36" t="s">
        <v>179</v>
      </c>
      <c r="J458" s="36">
        <f>YEAR(RESER3[[#This Row],[DATA]])</f>
        <v>2021</v>
      </c>
      <c r="K458" s="36">
        <f t="shared" si="10"/>
        <v>5</v>
      </c>
      <c r="L458" s="36">
        <f>DAY(RESER3[[#This Row],[DATA]])</f>
        <v>12</v>
      </c>
      <c r="M458" s="36"/>
    </row>
    <row r="459" spans="1:13" x14ac:dyDescent="0.25">
      <c r="A459" s="36"/>
      <c r="B459" s="129" t="s">
        <v>20</v>
      </c>
      <c r="C459" s="128">
        <v>44330</v>
      </c>
      <c r="D459" s="36" t="s">
        <v>263</v>
      </c>
      <c r="E459" s="36" t="s">
        <v>190</v>
      </c>
      <c r="F459" s="36" t="s">
        <v>191</v>
      </c>
      <c r="G459" s="36" t="s">
        <v>458</v>
      </c>
      <c r="H459" s="36">
        <v>1</v>
      </c>
      <c r="I459" s="36" t="s">
        <v>179</v>
      </c>
      <c r="J459" s="36">
        <f>YEAR(RESER3[[#This Row],[DATA]])</f>
        <v>2021</v>
      </c>
      <c r="K459" s="36">
        <f t="shared" si="10"/>
        <v>5</v>
      </c>
      <c r="L459" s="36">
        <f>DAY(RESER3[[#This Row],[DATA]])</f>
        <v>14</v>
      </c>
      <c r="M459" s="36"/>
    </row>
    <row r="460" spans="1:13" x14ac:dyDescent="0.25">
      <c r="A460" s="36"/>
      <c r="B460" s="129" t="s">
        <v>20</v>
      </c>
      <c r="C460" s="128">
        <v>44303</v>
      </c>
      <c r="D460" s="36" t="s">
        <v>258</v>
      </c>
      <c r="E460" s="36" t="s">
        <v>222</v>
      </c>
      <c r="F460" s="36" t="s">
        <v>202</v>
      </c>
      <c r="G460" s="36" t="s">
        <v>346</v>
      </c>
      <c r="H460" s="36">
        <v>1</v>
      </c>
      <c r="I460" s="36" t="s">
        <v>179</v>
      </c>
      <c r="J460" s="36">
        <f>YEAR(RESER3[[#This Row],[DATA]])</f>
        <v>2021</v>
      </c>
      <c r="K460" s="36">
        <f t="shared" si="10"/>
        <v>4</v>
      </c>
      <c r="L460" s="36">
        <f>DAY(RESER3[[#This Row],[DATA]])</f>
        <v>17</v>
      </c>
      <c r="M460" s="36"/>
    </row>
    <row r="461" spans="1:13" x14ac:dyDescent="0.25">
      <c r="A461" s="36"/>
      <c r="B461" s="129" t="s">
        <v>20</v>
      </c>
      <c r="C461" s="128">
        <v>44304</v>
      </c>
      <c r="D461" s="36" t="s">
        <v>272</v>
      </c>
      <c r="E461" s="36" t="s">
        <v>190</v>
      </c>
      <c r="F461" s="36" t="s">
        <v>194</v>
      </c>
      <c r="G461" s="36" t="s">
        <v>193</v>
      </c>
      <c r="H461" s="36">
        <v>1</v>
      </c>
      <c r="I461" s="36" t="s">
        <v>179</v>
      </c>
      <c r="J461" s="36">
        <f>YEAR(RESER3[[#This Row],[DATA]])</f>
        <v>2021</v>
      </c>
      <c r="K461" s="36">
        <f t="shared" si="10"/>
        <v>4</v>
      </c>
      <c r="L461" s="36">
        <f>DAY(RESER3[[#This Row],[DATA]])</f>
        <v>18</v>
      </c>
      <c r="M461" s="36"/>
    </row>
    <row r="462" spans="1:13" x14ac:dyDescent="0.25">
      <c r="A462" s="36"/>
      <c r="B462" s="129" t="s">
        <v>20</v>
      </c>
      <c r="C462" s="128">
        <v>44305</v>
      </c>
      <c r="D462" s="36" t="s">
        <v>240</v>
      </c>
      <c r="E462" s="36" t="s">
        <v>190</v>
      </c>
      <c r="F462" s="36" t="s">
        <v>194</v>
      </c>
      <c r="G462" s="36" t="s">
        <v>193</v>
      </c>
      <c r="H462" s="36">
        <v>1</v>
      </c>
      <c r="I462" s="36" t="s">
        <v>179</v>
      </c>
      <c r="J462" s="36">
        <f>YEAR(RESER3[[#This Row],[DATA]])</f>
        <v>2021</v>
      </c>
      <c r="K462" s="36">
        <f t="shared" si="10"/>
        <v>4</v>
      </c>
      <c r="L462" s="36">
        <f>DAY(RESER3[[#This Row],[DATA]])</f>
        <v>19</v>
      </c>
      <c r="M462" s="36"/>
    </row>
    <row r="463" spans="1:13" x14ac:dyDescent="0.25">
      <c r="A463" s="36"/>
      <c r="B463" s="129" t="s">
        <v>20</v>
      </c>
      <c r="C463" s="128">
        <v>44305</v>
      </c>
      <c r="D463" s="36" t="s">
        <v>251</v>
      </c>
      <c r="E463" s="36" t="s">
        <v>190</v>
      </c>
      <c r="F463" s="36" t="s">
        <v>228</v>
      </c>
      <c r="G463" s="36" t="s">
        <v>257</v>
      </c>
      <c r="H463" s="36">
        <v>1</v>
      </c>
      <c r="I463" s="36" t="s">
        <v>179</v>
      </c>
      <c r="J463" s="36">
        <f>YEAR(RESER3[[#This Row],[DATA]])</f>
        <v>2021</v>
      </c>
      <c r="K463" s="36">
        <f t="shared" si="10"/>
        <v>4</v>
      </c>
      <c r="L463" s="36">
        <f>DAY(RESER3[[#This Row],[DATA]])</f>
        <v>19</v>
      </c>
      <c r="M463" s="36"/>
    </row>
    <row r="464" spans="1:13" x14ac:dyDescent="0.25">
      <c r="A464" s="36"/>
      <c r="B464" s="129" t="s">
        <v>20</v>
      </c>
      <c r="C464" s="128">
        <v>44348</v>
      </c>
      <c r="D464" s="36" t="s">
        <v>308</v>
      </c>
      <c r="E464" s="36" t="s">
        <v>222</v>
      </c>
      <c r="F464" s="36" t="s">
        <v>191</v>
      </c>
      <c r="G464" s="36" t="s">
        <v>458</v>
      </c>
      <c r="H464" s="36">
        <v>1</v>
      </c>
      <c r="I464" s="36" t="s">
        <v>179</v>
      </c>
      <c r="J464" s="36">
        <f>YEAR(RESER3[[#This Row],[DATA]])</f>
        <v>2021</v>
      </c>
      <c r="K464" s="36">
        <f t="shared" si="10"/>
        <v>6</v>
      </c>
      <c r="L464" s="36">
        <f>DAY(RESER3[[#This Row],[DATA]])</f>
        <v>1</v>
      </c>
      <c r="M464" s="36"/>
    </row>
    <row r="465" spans="1:13" x14ac:dyDescent="0.25">
      <c r="A465" s="36"/>
      <c r="B465" s="129" t="s">
        <v>20</v>
      </c>
      <c r="C465" s="128">
        <v>44355</v>
      </c>
      <c r="D465" s="36" t="s">
        <v>308</v>
      </c>
      <c r="E465" s="36" t="s">
        <v>222</v>
      </c>
      <c r="F465" s="36" t="s">
        <v>192</v>
      </c>
      <c r="G465" s="36" t="s">
        <v>225</v>
      </c>
      <c r="H465" s="36">
        <v>1</v>
      </c>
      <c r="I465" s="36" t="s">
        <v>179</v>
      </c>
      <c r="J465" s="36">
        <f>YEAR(RESER3[[#This Row],[DATA]])</f>
        <v>2021</v>
      </c>
      <c r="K465" s="36">
        <f t="shared" si="10"/>
        <v>6</v>
      </c>
      <c r="L465" s="36">
        <f>DAY(RESER3[[#This Row],[DATA]])</f>
        <v>8</v>
      </c>
      <c r="M465" s="36"/>
    </row>
    <row r="466" spans="1:13" x14ac:dyDescent="0.25">
      <c r="A466" s="36"/>
      <c r="B466" s="129" t="s">
        <v>20</v>
      </c>
      <c r="C466" s="128">
        <v>44362</v>
      </c>
      <c r="D466" s="36" t="s">
        <v>308</v>
      </c>
      <c r="E466" s="36" t="s">
        <v>222</v>
      </c>
      <c r="F466" s="36" t="s">
        <v>192</v>
      </c>
      <c r="G466" s="36" t="s">
        <v>347</v>
      </c>
      <c r="H466" s="36">
        <v>1</v>
      </c>
      <c r="I466" s="36" t="s">
        <v>179</v>
      </c>
      <c r="J466" s="36">
        <f>YEAR(RESER3[[#This Row],[DATA]])</f>
        <v>2021</v>
      </c>
      <c r="K466" s="36">
        <f t="shared" si="10"/>
        <v>6</v>
      </c>
      <c r="L466" s="36">
        <f>DAY(RESER3[[#This Row],[DATA]])</f>
        <v>15</v>
      </c>
      <c r="M466" s="36"/>
    </row>
    <row r="467" spans="1:13" x14ac:dyDescent="0.25">
      <c r="A467" s="36"/>
      <c r="B467" s="129" t="s">
        <v>20</v>
      </c>
      <c r="C467" s="128">
        <v>44362</v>
      </c>
      <c r="D467" s="36" t="s">
        <v>263</v>
      </c>
      <c r="E467" s="36" t="s">
        <v>190</v>
      </c>
      <c r="F467" s="36" t="s">
        <v>191</v>
      </c>
      <c r="G467" s="36" t="s">
        <v>458</v>
      </c>
      <c r="H467" s="36">
        <v>1</v>
      </c>
      <c r="I467" s="36" t="s">
        <v>179</v>
      </c>
      <c r="J467" s="36">
        <f>YEAR(RESER3[[#This Row],[DATA]])</f>
        <v>2021</v>
      </c>
      <c r="K467" s="36">
        <f t="shared" si="10"/>
        <v>6</v>
      </c>
      <c r="L467" s="36">
        <f>DAY(RESER3[[#This Row],[DATA]])</f>
        <v>15</v>
      </c>
      <c r="M467" s="36"/>
    </row>
    <row r="468" spans="1:13" x14ac:dyDescent="0.25">
      <c r="A468" s="36"/>
      <c r="B468" s="129" t="s">
        <v>20</v>
      </c>
      <c r="C468" s="128">
        <v>44362</v>
      </c>
      <c r="D468" s="36" t="s">
        <v>272</v>
      </c>
      <c r="E468" s="36" t="s">
        <v>190</v>
      </c>
      <c r="F468" s="36" t="s">
        <v>192</v>
      </c>
      <c r="G468" s="36" t="s">
        <v>273</v>
      </c>
      <c r="H468" s="36">
        <v>1</v>
      </c>
      <c r="I468" s="36" t="s">
        <v>179</v>
      </c>
      <c r="J468" s="36">
        <f>YEAR(RESER3[[#This Row],[DATA]])</f>
        <v>2021</v>
      </c>
      <c r="K468" s="36">
        <f t="shared" si="10"/>
        <v>6</v>
      </c>
      <c r="L468" s="36">
        <f>DAY(RESER3[[#This Row],[DATA]])</f>
        <v>15</v>
      </c>
      <c r="M468" s="36"/>
    </row>
    <row r="469" spans="1:13" x14ac:dyDescent="0.25">
      <c r="A469" s="36"/>
      <c r="B469" s="129" t="s">
        <v>20</v>
      </c>
      <c r="C469" s="128">
        <v>44365</v>
      </c>
      <c r="D469" s="36" t="s">
        <v>348</v>
      </c>
      <c r="E469" s="36" t="s">
        <v>190</v>
      </c>
      <c r="F469" s="36" t="s">
        <v>191</v>
      </c>
      <c r="G469" s="36" t="s">
        <v>458</v>
      </c>
      <c r="H469" s="36">
        <v>1</v>
      </c>
      <c r="I469" s="36" t="s">
        <v>179</v>
      </c>
      <c r="J469" s="36">
        <f>YEAR(RESER3[[#This Row],[DATA]])</f>
        <v>2021</v>
      </c>
      <c r="K469" s="36">
        <f t="shared" si="10"/>
        <v>6</v>
      </c>
      <c r="L469" s="36">
        <f>DAY(RESER3[[#This Row],[DATA]])</f>
        <v>18</v>
      </c>
      <c r="M469" s="36"/>
    </row>
    <row r="470" spans="1:13" x14ac:dyDescent="0.25">
      <c r="A470" s="36"/>
      <c r="B470" s="129" t="s">
        <v>13</v>
      </c>
      <c r="C470" s="128">
        <v>44379</v>
      </c>
      <c r="D470" s="36" t="s">
        <v>189</v>
      </c>
      <c r="E470" s="36" t="s">
        <v>190</v>
      </c>
      <c r="F470" s="36" t="s">
        <v>191</v>
      </c>
      <c r="G470" s="36" t="s">
        <v>458</v>
      </c>
      <c r="H470" s="36">
        <v>1</v>
      </c>
      <c r="I470" s="36" t="s">
        <v>179</v>
      </c>
      <c r="J470" s="36">
        <f>YEAR(RESER3[[#This Row],[DATA]])</f>
        <v>2021</v>
      </c>
      <c r="K470" s="36">
        <f t="shared" si="10"/>
        <v>7</v>
      </c>
      <c r="L470" s="36">
        <f>DAY(RESER3[[#This Row],[DATA]])</f>
        <v>2</v>
      </c>
      <c r="M470" s="36"/>
    </row>
    <row r="471" spans="1:13" x14ac:dyDescent="0.25">
      <c r="A471" s="36"/>
      <c r="B471" s="129" t="s">
        <v>14</v>
      </c>
      <c r="C471" s="128">
        <v>44382</v>
      </c>
      <c r="D471" s="36" t="s">
        <v>189</v>
      </c>
      <c r="E471" s="36" t="s">
        <v>190</v>
      </c>
      <c r="F471" s="36" t="s">
        <v>192</v>
      </c>
      <c r="G471" s="36" t="s">
        <v>225</v>
      </c>
      <c r="H471" s="36">
        <v>1</v>
      </c>
      <c r="I471" s="36" t="s">
        <v>179</v>
      </c>
      <c r="J471" s="36">
        <f>YEAR(RESER3[[#This Row],[DATA]])</f>
        <v>2021</v>
      </c>
      <c r="K471" s="36">
        <f t="shared" si="10"/>
        <v>7</v>
      </c>
      <c r="L471" s="36">
        <f>DAY(RESER3[[#This Row],[DATA]])</f>
        <v>5</v>
      </c>
      <c r="M471" s="36"/>
    </row>
    <row r="472" spans="1:13" x14ac:dyDescent="0.25">
      <c r="A472" s="36"/>
      <c r="B472" s="129" t="s">
        <v>4</v>
      </c>
      <c r="C472" s="128">
        <v>44383</v>
      </c>
      <c r="D472" s="36" t="s">
        <v>189</v>
      </c>
      <c r="E472" s="36" t="s">
        <v>190</v>
      </c>
      <c r="F472" s="36" t="s">
        <v>192</v>
      </c>
      <c r="G472" s="36" t="s">
        <v>347</v>
      </c>
      <c r="H472" s="36">
        <v>1</v>
      </c>
      <c r="I472" s="36" t="s">
        <v>179</v>
      </c>
      <c r="J472" s="36">
        <f>YEAR(RESER3[[#This Row],[DATA]])</f>
        <v>2021</v>
      </c>
      <c r="K472" s="36">
        <f t="shared" si="10"/>
        <v>7</v>
      </c>
      <c r="L472" s="36">
        <f>DAY(RESER3[[#This Row],[DATA]])</f>
        <v>6</v>
      </c>
      <c r="M472" s="36"/>
    </row>
    <row r="473" spans="1:13" x14ac:dyDescent="0.25">
      <c r="A473" s="36"/>
      <c r="B473" s="129" t="s">
        <v>6</v>
      </c>
      <c r="C473" s="128">
        <v>44385</v>
      </c>
      <c r="D473" s="36" t="s">
        <v>189</v>
      </c>
      <c r="E473" s="36" t="s">
        <v>190</v>
      </c>
      <c r="F473" s="36" t="s">
        <v>191</v>
      </c>
      <c r="G473" s="36" t="s">
        <v>458</v>
      </c>
      <c r="H473" s="36">
        <v>1</v>
      </c>
      <c r="I473" s="36" t="s">
        <v>179</v>
      </c>
      <c r="J473" s="36">
        <f>YEAR(RESER3[[#This Row],[DATA]])</f>
        <v>2021</v>
      </c>
      <c r="K473" s="36">
        <f t="shared" si="10"/>
        <v>7</v>
      </c>
      <c r="L473" s="36">
        <f>DAY(RESER3[[#This Row],[DATA]])</f>
        <v>8</v>
      </c>
      <c r="M473" s="36"/>
    </row>
    <row r="474" spans="1:13" x14ac:dyDescent="0.25">
      <c r="A474" s="36"/>
      <c r="B474" s="129" t="s">
        <v>7</v>
      </c>
      <c r="C474" s="128">
        <v>44386</v>
      </c>
      <c r="D474" s="36" t="s">
        <v>189</v>
      </c>
      <c r="E474" s="36" t="s">
        <v>190</v>
      </c>
      <c r="F474" s="36" t="s">
        <v>192</v>
      </c>
      <c r="G474" s="36" t="s">
        <v>273</v>
      </c>
      <c r="H474" s="36">
        <v>1</v>
      </c>
      <c r="I474" s="36" t="s">
        <v>179</v>
      </c>
      <c r="J474" s="36">
        <f>YEAR(RESER3[[#This Row],[DATA]])</f>
        <v>2021</v>
      </c>
      <c r="K474" s="36">
        <f t="shared" si="10"/>
        <v>7</v>
      </c>
      <c r="L474" s="36">
        <f>DAY(RESER3[[#This Row],[DATA]])</f>
        <v>9</v>
      </c>
      <c r="M474" s="36"/>
    </row>
    <row r="475" spans="1:13" x14ac:dyDescent="0.25">
      <c r="A475" s="36"/>
      <c r="B475" s="129" t="s">
        <v>18</v>
      </c>
      <c r="C475" s="128">
        <v>44403</v>
      </c>
      <c r="D475" s="36" t="s">
        <v>189</v>
      </c>
      <c r="E475" s="36" t="s">
        <v>190</v>
      </c>
      <c r="F475" s="36" t="s">
        <v>191</v>
      </c>
      <c r="G475" s="36" t="s">
        <v>458</v>
      </c>
      <c r="H475" s="36">
        <v>1</v>
      </c>
      <c r="I475" s="36" t="s">
        <v>179</v>
      </c>
      <c r="J475" s="36">
        <f>YEAR(RESER3[[#This Row],[DATA]])</f>
        <v>2021</v>
      </c>
      <c r="K475" s="36">
        <f t="shared" si="10"/>
        <v>7</v>
      </c>
      <c r="L475" s="36">
        <f>DAY(RESER3[[#This Row],[DATA]])</f>
        <v>26</v>
      </c>
      <c r="M475" s="36"/>
    </row>
    <row r="476" spans="1:13" x14ac:dyDescent="0.25">
      <c r="A476" s="36"/>
      <c r="B476" s="129" t="s">
        <v>98</v>
      </c>
      <c r="C476" s="128">
        <v>44404</v>
      </c>
      <c r="D476" s="36" t="s">
        <v>189</v>
      </c>
      <c r="E476" s="36" t="s">
        <v>190</v>
      </c>
      <c r="F476" s="36" t="s">
        <v>192</v>
      </c>
      <c r="G476" s="36" t="s">
        <v>225</v>
      </c>
      <c r="H476" s="36">
        <v>1</v>
      </c>
      <c r="I476" s="36" t="s">
        <v>179</v>
      </c>
      <c r="J476" s="36">
        <f>YEAR(RESER3[[#This Row],[DATA]])</f>
        <v>2021</v>
      </c>
      <c r="K476" s="36">
        <f t="shared" si="10"/>
        <v>7</v>
      </c>
      <c r="L476" s="36">
        <f>DAY(RESER3[[#This Row],[DATA]])</f>
        <v>27</v>
      </c>
      <c r="M476" s="36"/>
    </row>
    <row r="477" spans="1:13" x14ac:dyDescent="0.25">
      <c r="A477" s="36"/>
      <c r="B477" s="129" t="s">
        <v>20</v>
      </c>
      <c r="C477" s="128">
        <v>44405</v>
      </c>
      <c r="D477" s="36" t="s">
        <v>189</v>
      </c>
      <c r="E477" s="36" t="s">
        <v>190</v>
      </c>
      <c r="F477" s="36" t="s">
        <v>192</v>
      </c>
      <c r="G477" s="36" t="s">
        <v>225</v>
      </c>
      <c r="H477" s="36">
        <v>1</v>
      </c>
      <c r="I477" s="36" t="s">
        <v>179</v>
      </c>
      <c r="J477" s="36">
        <f>YEAR(RESER3[[#This Row],[DATA]])</f>
        <v>2021</v>
      </c>
      <c r="K477" s="36">
        <f t="shared" si="10"/>
        <v>7</v>
      </c>
      <c r="L477" s="36">
        <f>DAY(RESER3[[#This Row],[DATA]])</f>
        <v>28</v>
      </c>
      <c r="M477" s="36"/>
    </row>
    <row r="478" spans="1:13" x14ac:dyDescent="0.25">
      <c r="A478" s="36"/>
      <c r="B478" s="129" t="s">
        <v>21</v>
      </c>
      <c r="C478" s="128">
        <v>44406</v>
      </c>
      <c r="D478" s="36" t="s">
        <v>189</v>
      </c>
      <c r="E478" s="36" t="s">
        <v>190</v>
      </c>
      <c r="F478" s="36" t="s">
        <v>192</v>
      </c>
      <c r="G478" s="36" t="s">
        <v>225</v>
      </c>
      <c r="H478" s="36">
        <v>1</v>
      </c>
      <c r="I478" s="36" t="s">
        <v>179</v>
      </c>
      <c r="J478" s="36">
        <f>YEAR(RESER3[[#This Row],[DATA]])</f>
        <v>2021</v>
      </c>
      <c r="K478" s="36">
        <f t="shared" si="10"/>
        <v>7</v>
      </c>
      <c r="L478" s="36">
        <f>DAY(RESER3[[#This Row],[DATA]])</f>
        <v>29</v>
      </c>
      <c r="M478" s="36"/>
    </row>
    <row r="479" spans="1:13" x14ac:dyDescent="0.25">
      <c r="A479" s="36"/>
      <c r="B479" s="129" t="s">
        <v>98</v>
      </c>
      <c r="C479" s="128">
        <v>44407</v>
      </c>
      <c r="D479" s="36" t="s">
        <v>189</v>
      </c>
      <c r="E479" s="36" t="s">
        <v>190</v>
      </c>
      <c r="F479" s="36" t="s">
        <v>192</v>
      </c>
      <c r="G479" s="36" t="s">
        <v>225</v>
      </c>
      <c r="H479" s="36">
        <v>1</v>
      </c>
      <c r="I479" s="36" t="s">
        <v>179</v>
      </c>
      <c r="J479" s="36">
        <f>YEAR(RESER3[[#This Row],[DATA]])</f>
        <v>2021</v>
      </c>
      <c r="K479" s="36">
        <f t="shared" si="10"/>
        <v>7</v>
      </c>
      <c r="L479" s="36">
        <f>DAY(RESER3[[#This Row],[DATA]])</f>
        <v>30</v>
      </c>
      <c r="M479" s="36"/>
    </row>
    <row r="480" spans="1:13" x14ac:dyDescent="0.25">
      <c r="A480" s="36"/>
      <c r="B480" s="129" t="s">
        <v>40</v>
      </c>
      <c r="C480" s="128">
        <v>44263</v>
      </c>
      <c r="D480" s="36" t="s">
        <v>280</v>
      </c>
      <c r="E480" s="36" t="s">
        <v>190</v>
      </c>
      <c r="F480" s="36" t="s">
        <v>191</v>
      </c>
      <c r="G480" s="36" t="s">
        <v>458</v>
      </c>
      <c r="H480" s="36">
        <v>1</v>
      </c>
      <c r="I480" s="36" t="s">
        <v>179</v>
      </c>
      <c r="J480" s="36">
        <f>YEAR(RESER3[[#This Row],[DATA]])</f>
        <v>2021</v>
      </c>
      <c r="K480" s="36">
        <f t="shared" si="10"/>
        <v>3</v>
      </c>
      <c r="L480" s="36">
        <f>DAY(RESER3[[#This Row],[DATA]])</f>
        <v>8</v>
      </c>
      <c r="M480" s="36"/>
    </row>
    <row r="481" spans="1:13" x14ac:dyDescent="0.25">
      <c r="A481" s="36"/>
      <c r="B481" s="129" t="s">
        <v>40</v>
      </c>
      <c r="C481" s="128">
        <v>44263</v>
      </c>
      <c r="D481" s="36" t="s">
        <v>258</v>
      </c>
      <c r="E481" s="36" t="s">
        <v>222</v>
      </c>
      <c r="F481" s="36" t="s">
        <v>192</v>
      </c>
      <c r="G481" s="36" t="s">
        <v>273</v>
      </c>
      <c r="H481" s="36">
        <v>1</v>
      </c>
      <c r="I481" s="36" t="s">
        <v>179</v>
      </c>
      <c r="J481" s="36">
        <f>YEAR(RESER3[[#This Row],[DATA]])</f>
        <v>2021</v>
      </c>
      <c r="K481" s="36">
        <f t="shared" si="10"/>
        <v>3</v>
      </c>
      <c r="L481" s="36">
        <f>DAY(RESER3[[#This Row],[DATA]])</f>
        <v>8</v>
      </c>
      <c r="M481" s="36"/>
    </row>
    <row r="482" spans="1:13" x14ac:dyDescent="0.25">
      <c r="A482" s="36"/>
      <c r="B482" s="129" t="s">
        <v>40</v>
      </c>
      <c r="C482" s="128">
        <v>44264</v>
      </c>
      <c r="D482" s="36" t="s">
        <v>263</v>
      </c>
      <c r="E482" s="36" t="s">
        <v>222</v>
      </c>
      <c r="F482" s="36" t="s">
        <v>192</v>
      </c>
      <c r="G482" s="36" t="s">
        <v>273</v>
      </c>
      <c r="H482" s="36">
        <v>1</v>
      </c>
      <c r="I482" s="36" t="s">
        <v>179</v>
      </c>
      <c r="J482" s="36">
        <f>YEAR(RESER3[[#This Row],[DATA]])</f>
        <v>2021</v>
      </c>
      <c r="K482" s="36">
        <f t="shared" si="10"/>
        <v>3</v>
      </c>
      <c r="L482" s="36">
        <f>DAY(RESER3[[#This Row],[DATA]])</f>
        <v>9</v>
      </c>
      <c r="M482" s="36"/>
    </row>
    <row r="483" spans="1:13" x14ac:dyDescent="0.25">
      <c r="A483" s="36"/>
      <c r="B483" s="129" t="s">
        <v>40</v>
      </c>
      <c r="C483" s="128">
        <v>44285</v>
      </c>
      <c r="D483" s="36" t="s">
        <v>189</v>
      </c>
      <c r="E483" s="36" t="s">
        <v>190</v>
      </c>
      <c r="F483" s="36" t="s">
        <v>192</v>
      </c>
      <c r="G483" s="36" t="s">
        <v>349</v>
      </c>
      <c r="H483" s="36">
        <v>1</v>
      </c>
      <c r="I483" s="36" t="s">
        <v>179</v>
      </c>
      <c r="J483" s="36">
        <f>YEAR(RESER3[[#This Row],[DATA]])</f>
        <v>2021</v>
      </c>
      <c r="K483" s="36">
        <f t="shared" si="10"/>
        <v>3</v>
      </c>
      <c r="L483" s="36">
        <f>DAY(RESER3[[#This Row],[DATA]])</f>
        <v>30</v>
      </c>
      <c r="M483" s="36"/>
    </row>
    <row r="484" spans="1:13" x14ac:dyDescent="0.25">
      <c r="A484" s="36"/>
      <c r="B484" s="129" t="s">
        <v>40</v>
      </c>
      <c r="C484" s="128">
        <v>44285</v>
      </c>
      <c r="D484" s="36" t="s">
        <v>189</v>
      </c>
      <c r="E484" s="36" t="s">
        <v>190</v>
      </c>
      <c r="F484" s="36" t="s">
        <v>192</v>
      </c>
      <c r="G484" s="36" t="s">
        <v>193</v>
      </c>
      <c r="H484" s="36">
        <v>1</v>
      </c>
      <c r="I484" s="36" t="s">
        <v>179</v>
      </c>
      <c r="J484" s="36">
        <f>YEAR(RESER3[[#This Row],[DATA]])</f>
        <v>2021</v>
      </c>
      <c r="K484" s="36">
        <f t="shared" si="10"/>
        <v>3</v>
      </c>
      <c r="L484" s="36">
        <f>DAY(RESER3[[#This Row],[DATA]])</f>
        <v>30</v>
      </c>
      <c r="M484" s="36"/>
    </row>
    <row r="485" spans="1:13" x14ac:dyDescent="0.25">
      <c r="A485" s="36"/>
      <c r="B485" s="129" t="s">
        <v>40</v>
      </c>
      <c r="C485" s="128">
        <v>44299</v>
      </c>
      <c r="D485" s="36" t="s">
        <v>189</v>
      </c>
      <c r="E485" s="36" t="s">
        <v>222</v>
      </c>
      <c r="F485" s="36" t="s">
        <v>192</v>
      </c>
      <c r="G485" s="36" t="s">
        <v>193</v>
      </c>
      <c r="H485" s="36">
        <v>1</v>
      </c>
      <c r="I485" s="36" t="s">
        <v>179</v>
      </c>
      <c r="J485" s="36">
        <f>YEAR(RESER3[[#This Row],[DATA]])</f>
        <v>2021</v>
      </c>
      <c r="K485" s="36">
        <f t="shared" si="10"/>
        <v>4</v>
      </c>
      <c r="L485" s="36">
        <f>DAY(RESER3[[#This Row],[DATA]])</f>
        <v>13</v>
      </c>
      <c r="M485" s="36"/>
    </row>
    <row r="486" spans="1:13" x14ac:dyDescent="0.25">
      <c r="A486" s="36"/>
      <c r="B486" s="129" t="s">
        <v>40</v>
      </c>
      <c r="C486" s="128">
        <v>44301</v>
      </c>
      <c r="D486" s="36" t="s">
        <v>233</v>
      </c>
      <c r="E486" s="36" t="s">
        <v>190</v>
      </c>
      <c r="F486" s="36" t="s">
        <v>191</v>
      </c>
      <c r="G486" s="36" t="s">
        <v>458</v>
      </c>
      <c r="H486" s="36">
        <v>1</v>
      </c>
      <c r="I486" s="36" t="s">
        <v>179</v>
      </c>
      <c r="J486" s="36">
        <f>YEAR(RESER3[[#This Row],[DATA]])</f>
        <v>2021</v>
      </c>
      <c r="K486" s="36">
        <f t="shared" si="10"/>
        <v>4</v>
      </c>
      <c r="L486" s="36">
        <f>DAY(RESER3[[#This Row],[DATA]])</f>
        <v>15</v>
      </c>
      <c r="M486" s="36"/>
    </row>
    <row r="487" spans="1:13" x14ac:dyDescent="0.25">
      <c r="A487" s="36"/>
      <c r="B487" s="129" t="s">
        <v>40</v>
      </c>
      <c r="C487" s="128">
        <v>44305</v>
      </c>
      <c r="D487" s="36" t="s">
        <v>263</v>
      </c>
      <c r="E487" s="36" t="s">
        <v>190</v>
      </c>
      <c r="F487" s="36" t="s">
        <v>228</v>
      </c>
      <c r="G487" s="36" t="s">
        <v>350</v>
      </c>
      <c r="H487" s="36">
        <v>1</v>
      </c>
      <c r="I487" s="36" t="s">
        <v>179</v>
      </c>
      <c r="J487" s="36">
        <f>YEAR(RESER3[[#This Row],[DATA]])</f>
        <v>2021</v>
      </c>
      <c r="K487" s="36">
        <f t="shared" si="10"/>
        <v>4</v>
      </c>
      <c r="L487" s="36">
        <f>DAY(RESER3[[#This Row],[DATA]])</f>
        <v>19</v>
      </c>
      <c r="M487" s="36"/>
    </row>
    <row r="488" spans="1:13" x14ac:dyDescent="0.25">
      <c r="A488" s="36"/>
      <c r="B488" s="129" t="s">
        <v>40</v>
      </c>
      <c r="C488" s="128">
        <v>44308</v>
      </c>
      <c r="D488" s="36" t="s">
        <v>351</v>
      </c>
      <c r="E488" s="36" t="s">
        <v>190</v>
      </c>
      <c r="F488" s="36" t="s">
        <v>194</v>
      </c>
      <c r="G488" s="36" t="s">
        <v>193</v>
      </c>
      <c r="H488" s="36">
        <v>1</v>
      </c>
      <c r="I488" s="36" t="s">
        <v>179</v>
      </c>
      <c r="J488" s="36">
        <f>YEAR(RESER3[[#This Row],[DATA]])</f>
        <v>2021</v>
      </c>
      <c r="K488" s="36">
        <f t="shared" si="10"/>
        <v>4</v>
      </c>
      <c r="L488" s="36">
        <f>DAY(RESER3[[#This Row],[DATA]])</f>
        <v>22</v>
      </c>
      <c r="M488" s="36"/>
    </row>
    <row r="489" spans="1:13" x14ac:dyDescent="0.25">
      <c r="A489" s="36"/>
      <c r="B489" s="129" t="s">
        <v>40</v>
      </c>
      <c r="C489" s="128">
        <v>44316</v>
      </c>
      <c r="D489" s="36" t="s">
        <v>233</v>
      </c>
      <c r="E489" s="36" t="s">
        <v>190</v>
      </c>
      <c r="F489" s="36" t="s">
        <v>191</v>
      </c>
      <c r="G489" s="36" t="s">
        <v>458</v>
      </c>
      <c r="H489" s="36">
        <v>1</v>
      </c>
      <c r="I489" s="36" t="s">
        <v>179</v>
      </c>
      <c r="J489" s="36">
        <f>YEAR(RESER3[[#This Row],[DATA]])</f>
        <v>2021</v>
      </c>
      <c r="K489" s="36">
        <f t="shared" si="10"/>
        <v>4</v>
      </c>
      <c r="L489" s="36">
        <f>DAY(RESER3[[#This Row],[DATA]])</f>
        <v>30</v>
      </c>
      <c r="M489" s="36"/>
    </row>
    <row r="490" spans="1:13" x14ac:dyDescent="0.25">
      <c r="A490" s="36"/>
      <c r="B490" s="129" t="s">
        <v>40</v>
      </c>
      <c r="C490" s="128">
        <v>44322</v>
      </c>
      <c r="D490" s="36" t="s">
        <v>260</v>
      </c>
      <c r="E490" s="36" t="s">
        <v>190</v>
      </c>
      <c r="F490" s="36" t="s">
        <v>191</v>
      </c>
      <c r="G490" s="36" t="s">
        <v>458</v>
      </c>
      <c r="H490" s="36">
        <v>1</v>
      </c>
      <c r="I490" s="36" t="s">
        <v>179</v>
      </c>
      <c r="J490" s="36">
        <f>YEAR(RESER3[[#This Row],[DATA]])</f>
        <v>2021</v>
      </c>
      <c r="K490" s="36">
        <f t="shared" si="10"/>
        <v>5</v>
      </c>
      <c r="L490" s="36">
        <f>DAY(RESER3[[#This Row],[DATA]])</f>
        <v>6</v>
      </c>
      <c r="M490" s="36"/>
    </row>
    <row r="491" spans="1:13" x14ac:dyDescent="0.25">
      <c r="A491" s="36"/>
      <c r="B491" s="129" t="s">
        <v>40</v>
      </c>
      <c r="C491" s="128">
        <v>44327</v>
      </c>
      <c r="D491" s="36" t="s">
        <v>263</v>
      </c>
      <c r="E491" s="36" t="s">
        <v>222</v>
      </c>
      <c r="F491" s="36" t="s">
        <v>192</v>
      </c>
      <c r="G491" s="36" t="s">
        <v>193</v>
      </c>
      <c r="H491" s="36">
        <v>1</v>
      </c>
      <c r="I491" s="36" t="s">
        <v>179</v>
      </c>
      <c r="J491" s="36">
        <f>YEAR(RESER3[[#This Row],[DATA]])</f>
        <v>2021</v>
      </c>
      <c r="K491" s="36">
        <f t="shared" si="10"/>
        <v>5</v>
      </c>
      <c r="L491" s="36">
        <f>DAY(RESER3[[#This Row],[DATA]])</f>
        <v>11</v>
      </c>
      <c r="M491" s="36"/>
    </row>
    <row r="492" spans="1:13" x14ac:dyDescent="0.25">
      <c r="A492" s="36"/>
      <c r="B492" s="129" t="s">
        <v>40</v>
      </c>
      <c r="C492" s="128">
        <v>44329</v>
      </c>
      <c r="D492" s="36" t="s">
        <v>240</v>
      </c>
      <c r="E492" s="36" t="s">
        <v>190</v>
      </c>
      <c r="F492" s="36" t="s">
        <v>191</v>
      </c>
      <c r="G492" s="36" t="s">
        <v>458</v>
      </c>
      <c r="H492" s="36">
        <v>1</v>
      </c>
      <c r="I492" s="36" t="s">
        <v>179</v>
      </c>
      <c r="J492" s="36">
        <f>YEAR(RESER3[[#This Row],[DATA]])</f>
        <v>2021</v>
      </c>
      <c r="K492" s="36">
        <f t="shared" si="10"/>
        <v>5</v>
      </c>
      <c r="L492" s="36">
        <f>DAY(RESER3[[#This Row],[DATA]])</f>
        <v>13</v>
      </c>
      <c r="M492" s="36"/>
    </row>
    <row r="493" spans="1:13" x14ac:dyDescent="0.25">
      <c r="A493" s="36"/>
      <c r="B493" s="129" t="s">
        <v>40</v>
      </c>
      <c r="C493" s="128">
        <v>44330</v>
      </c>
      <c r="D493" s="36" t="s">
        <v>258</v>
      </c>
      <c r="E493" s="36" t="s">
        <v>190</v>
      </c>
      <c r="F493" s="36" t="s">
        <v>192</v>
      </c>
      <c r="G493" s="36" t="s">
        <v>193</v>
      </c>
      <c r="H493" s="36">
        <v>1</v>
      </c>
      <c r="I493" s="36" t="s">
        <v>179</v>
      </c>
      <c r="J493" s="36">
        <f>YEAR(RESER3[[#This Row],[DATA]])</f>
        <v>2021</v>
      </c>
      <c r="K493" s="36">
        <f t="shared" si="10"/>
        <v>5</v>
      </c>
      <c r="L493" s="36">
        <f>DAY(RESER3[[#This Row],[DATA]])</f>
        <v>14</v>
      </c>
      <c r="M493" s="36"/>
    </row>
    <row r="494" spans="1:13" x14ac:dyDescent="0.25">
      <c r="A494" s="36"/>
      <c r="B494" s="129" t="s">
        <v>40</v>
      </c>
      <c r="C494" s="128">
        <v>44336</v>
      </c>
      <c r="D494" s="36" t="s">
        <v>240</v>
      </c>
      <c r="E494" s="36" t="s">
        <v>190</v>
      </c>
      <c r="F494" s="36" t="s">
        <v>191</v>
      </c>
      <c r="G494" s="36" t="s">
        <v>458</v>
      </c>
      <c r="H494" s="36">
        <v>1</v>
      </c>
      <c r="I494" s="36" t="s">
        <v>179</v>
      </c>
      <c r="J494" s="36">
        <f>YEAR(RESER3[[#This Row],[DATA]])</f>
        <v>2021</v>
      </c>
      <c r="K494" s="36">
        <f t="shared" si="10"/>
        <v>5</v>
      </c>
      <c r="L494" s="36">
        <f>DAY(RESER3[[#This Row],[DATA]])</f>
        <v>20</v>
      </c>
      <c r="M494" s="36"/>
    </row>
    <row r="495" spans="1:13" x14ac:dyDescent="0.25">
      <c r="A495" s="36"/>
      <c r="B495" s="129" t="s">
        <v>40</v>
      </c>
      <c r="C495" s="128">
        <v>44340</v>
      </c>
      <c r="D495" s="36" t="s">
        <v>260</v>
      </c>
      <c r="E495" s="36" t="s">
        <v>190</v>
      </c>
      <c r="F495" s="36" t="s">
        <v>228</v>
      </c>
      <c r="G495" s="36"/>
      <c r="H495" s="36">
        <v>1</v>
      </c>
      <c r="I495" s="36" t="s">
        <v>179</v>
      </c>
      <c r="J495" s="36">
        <f>YEAR(RESER3[[#This Row],[DATA]])</f>
        <v>2021</v>
      </c>
      <c r="K495" s="36">
        <f t="shared" si="10"/>
        <v>5</v>
      </c>
      <c r="L495" s="36">
        <f>DAY(RESER3[[#This Row],[DATA]])</f>
        <v>24</v>
      </c>
      <c r="M495" s="36"/>
    </row>
    <row r="496" spans="1:13" x14ac:dyDescent="0.25">
      <c r="A496" s="36"/>
      <c r="B496" s="129" t="s">
        <v>40</v>
      </c>
      <c r="C496" s="128">
        <v>44340</v>
      </c>
      <c r="D496" s="36" t="s">
        <v>260</v>
      </c>
      <c r="E496" s="36" t="s">
        <v>190</v>
      </c>
      <c r="F496" s="36" t="s">
        <v>228</v>
      </c>
      <c r="G496" s="36"/>
      <c r="H496" s="36">
        <v>1</v>
      </c>
      <c r="I496" s="36" t="s">
        <v>179</v>
      </c>
      <c r="J496" s="36">
        <f>YEAR(RESER3[[#This Row],[DATA]])</f>
        <v>2021</v>
      </c>
      <c r="K496" s="36">
        <f t="shared" si="10"/>
        <v>5</v>
      </c>
      <c r="L496" s="36">
        <f>DAY(RESER3[[#This Row],[DATA]])</f>
        <v>24</v>
      </c>
      <c r="M496" s="36"/>
    </row>
    <row r="497" spans="1:13" x14ac:dyDescent="0.25">
      <c r="A497" s="36"/>
      <c r="B497" s="129" t="s">
        <v>40</v>
      </c>
      <c r="C497" s="128">
        <v>44340</v>
      </c>
      <c r="D497" s="36" t="s">
        <v>260</v>
      </c>
      <c r="E497" s="36" t="s">
        <v>190</v>
      </c>
      <c r="F497" s="36" t="s">
        <v>192</v>
      </c>
      <c r="G497" s="36" t="s">
        <v>193</v>
      </c>
      <c r="H497" s="36">
        <v>1</v>
      </c>
      <c r="I497" s="36" t="s">
        <v>179</v>
      </c>
      <c r="J497" s="36">
        <f>YEAR(RESER3[[#This Row],[DATA]])</f>
        <v>2021</v>
      </c>
      <c r="K497" s="36">
        <f t="shared" si="10"/>
        <v>5</v>
      </c>
      <c r="L497" s="36">
        <f>DAY(RESER3[[#This Row],[DATA]])</f>
        <v>24</v>
      </c>
      <c r="M497" s="36"/>
    </row>
    <row r="498" spans="1:13" x14ac:dyDescent="0.25">
      <c r="A498" s="36"/>
      <c r="B498" s="129" t="s">
        <v>40</v>
      </c>
      <c r="C498" s="128">
        <v>44340</v>
      </c>
      <c r="D498" s="36" t="s">
        <v>260</v>
      </c>
      <c r="E498" s="36" t="s">
        <v>190</v>
      </c>
      <c r="F498" s="36" t="s">
        <v>192</v>
      </c>
      <c r="G498" s="36" t="s">
        <v>193</v>
      </c>
      <c r="H498" s="36">
        <v>1</v>
      </c>
      <c r="I498" s="36" t="s">
        <v>179</v>
      </c>
      <c r="J498" s="36">
        <f>YEAR(RESER3[[#This Row],[DATA]])</f>
        <v>2021</v>
      </c>
      <c r="K498" s="36">
        <f t="shared" si="10"/>
        <v>5</v>
      </c>
      <c r="L498" s="36">
        <f>DAY(RESER3[[#This Row],[DATA]])</f>
        <v>24</v>
      </c>
      <c r="M498" s="36"/>
    </row>
    <row r="499" spans="1:13" x14ac:dyDescent="0.25">
      <c r="A499" s="36"/>
      <c r="B499" s="129" t="s">
        <v>40</v>
      </c>
      <c r="C499" s="128">
        <v>44355</v>
      </c>
      <c r="D499" s="36" t="s">
        <v>201</v>
      </c>
      <c r="E499" s="36" t="s">
        <v>190</v>
      </c>
      <c r="F499" s="36" t="s">
        <v>202</v>
      </c>
      <c r="G499" s="36" t="s">
        <v>352</v>
      </c>
      <c r="H499" s="36">
        <v>1</v>
      </c>
      <c r="I499" s="36" t="s">
        <v>179</v>
      </c>
      <c r="J499" s="36">
        <f>YEAR(RESER3[[#This Row],[DATA]])</f>
        <v>2021</v>
      </c>
      <c r="K499" s="36">
        <f t="shared" si="10"/>
        <v>6</v>
      </c>
      <c r="L499" s="36">
        <f>DAY(RESER3[[#This Row],[DATA]])</f>
        <v>8</v>
      </c>
      <c r="M499" s="36"/>
    </row>
    <row r="500" spans="1:13" x14ac:dyDescent="0.25">
      <c r="A500" s="36"/>
      <c r="B500" s="129" t="s">
        <v>40</v>
      </c>
      <c r="C500" s="128">
        <v>44355</v>
      </c>
      <c r="D500" s="36" t="s">
        <v>280</v>
      </c>
      <c r="E500" s="36" t="s">
        <v>190</v>
      </c>
      <c r="F500" s="36" t="s">
        <v>191</v>
      </c>
      <c r="G500" s="36" t="s">
        <v>458</v>
      </c>
      <c r="H500" s="36">
        <v>1</v>
      </c>
      <c r="I500" s="36" t="s">
        <v>179</v>
      </c>
      <c r="J500" s="36">
        <f>YEAR(RESER3[[#This Row],[DATA]])</f>
        <v>2021</v>
      </c>
      <c r="K500" s="36">
        <f t="shared" si="10"/>
        <v>6</v>
      </c>
      <c r="L500" s="36">
        <f>DAY(RESER3[[#This Row],[DATA]])</f>
        <v>8</v>
      </c>
      <c r="M500" s="36"/>
    </row>
    <row r="501" spans="1:13" x14ac:dyDescent="0.25">
      <c r="A501" s="36"/>
      <c r="B501" s="129" t="s">
        <v>40</v>
      </c>
      <c r="C501" s="128">
        <v>44356</v>
      </c>
      <c r="D501" s="36" t="s">
        <v>223</v>
      </c>
      <c r="E501" s="36" t="s">
        <v>222</v>
      </c>
      <c r="F501" s="36" t="s">
        <v>202</v>
      </c>
      <c r="G501" s="36" t="s">
        <v>353</v>
      </c>
      <c r="H501" s="36">
        <v>1</v>
      </c>
      <c r="I501" s="36" t="s">
        <v>179</v>
      </c>
      <c r="J501" s="36">
        <f>YEAR(RESER3[[#This Row],[DATA]])</f>
        <v>2021</v>
      </c>
      <c r="K501" s="36">
        <f t="shared" si="10"/>
        <v>6</v>
      </c>
      <c r="L501" s="36">
        <f>DAY(RESER3[[#This Row],[DATA]])</f>
        <v>9</v>
      </c>
      <c r="M501" s="36"/>
    </row>
    <row r="502" spans="1:13" x14ac:dyDescent="0.25">
      <c r="A502" s="36"/>
      <c r="B502" s="129" t="s">
        <v>41</v>
      </c>
      <c r="C502" s="128">
        <v>44229</v>
      </c>
      <c r="D502" s="36" t="s">
        <v>275</v>
      </c>
      <c r="E502" s="36" t="s">
        <v>222</v>
      </c>
      <c r="F502" s="36" t="s">
        <v>192</v>
      </c>
      <c r="G502" s="36" t="s">
        <v>193</v>
      </c>
      <c r="H502" s="36">
        <v>1</v>
      </c>
      <c r="I502" s="36" t="s">
        <v>179</v>
      </c>
      <c r="J502" s="36">
        <f>YEAR(RESER3[[#This Row],[DATA]])</f>
        <v>2021</v>
      </c>
      <c r="K502" s="36">
        <f t="shared" si="10"/>
        <v>2</v>
      </c>
      <c r="L502" s="36">
        <f>DAY(RESER3[[#This Row],[DATA]])</f>
        <v>2</v>
      </c>
      <c r="M502" s="36"/>
    </row>
    <row r="503" spans="1:13" x14ac:dyDescent="0.25">
      <c r="A503" s="36"/>
      <c r="B503" s="129" t="s">
        <v>41</v>
      </c>
      <c r="C503" s="128">
        <v>44232</v>
      </c>
      <c r="D503" s="36" t="s">
        <v>233</v>
      </c>
      <c r="E503" s="36" t="s">
        <v>222</v>
      </c>
      <c r="F503" s="36" t="s">
        <v>458</v>
      </c>
      <c r="G503" s="36" t="s">
        <v>458</v>
      </c>
      <c r="H503" s="36">
        <v>1</v>
      </c>
      <c r="I503" s="36" t="s">
        <v>179</v>
      </c>
      <c r="J503" s="36">
        <f>YEAR(RESER3[[#This Row],[DATA]])</f>
        <v>2021</v>
      </c>
      <c r="K503" s="36">
        <f t="shared" si="10"/>
        <v>2</v>
      </c>
      <c r="L503" s="36">
        <f>DAY(RESER3[[#This Row],[DATA]])</f>
        <v>5</v>
      </c>
      <c r="M503" s="36"/>
    </row>
    <row r="504" spans="1:13" x14ac:dyDescent="0.25">
      <c r="A504" s="36"/>
      <c r="B504" s="129" t="s">
        <v>41</v>
      </c>
      <c r="C504" s="128">
        <v>44239</v>
      </c>
      <c r="D504" s="36" t="s">
        <v>233</v>
      </c>
      <c r="E504" s="36" t="s">
        <v>222</v>
      </c>
      <c r="F504" s="36" t="s">
        <v>458</v>
      </c>
      <c r="G504" s="36" t="s">
        <v>458</v>
      </c>
      <c r="H504" s="36">
        <v>1</v>
      </c>
      <c r="I504" s="36" t="s">
        <v>179</v>
      </c>
      <c r="J504" s="36">
        <f>YEAR(RESER3[[#This Row],[DATA]])</f>
        <v>2021</v>
      </c>
      <c r="K504" s="36">
        <f t="shared" si="10"/>
        <v>2</v>
      </c>
      <c r="L504" s="36">
        <f>DAY(RESER3[[#This Row],[DATA]])</f>
        <v>12</v>
      </c>
      <c r="M504" s="36"/>
    </row>
    <row r="505" spans="1:13" x14ac:dyDescent="0.25">
      <c r="A505" s="36"/>
      <c r="B505" s="129" t="s">
        <v>41</v>
      </c>
      <c r="C505" s="128">
        <v>44245</v>
      </c>
      <c r="D505" s="36" t="s">
        <v>240</v>
      </c>
      <c r="E505" s="36" t="s">
        <v>222</v>
      </c>
      <c r="F505" s="36" t="s">
        <v>354</v>
      </c>
      <c r="G505" s="36" t="s">
        <v>355</v>
      </c>
      <c r="H505" s="36">
        <v>1</v>
      </c>
      <c r="I505" s="36" t="s">
        <v>179</v>
      </c>
      <c r="J505" s="36">
        <f>YEAR(RESER3[[#This Row],[DATA]])</f>
        <v>2021</v>
      </c>
      <c r="K505" s="36">
        <f t="shared" si="10"/>
        <v>2</v>
      </c>
      <c r="L505" s="36">
        <f>DAY(RESER3[[#This Row],[DATA]])</f>
        <v>18</v>
      </c>
      <c r="M505" s="36"/>
    </row>
    <row r="506" spans="1:13" x14ac:dyDescent="0.25">
      <c r="A506" s="36"/>
      <c r="B506" s="129" t="s">
        <v>41</v>
      </c>
      <c r="C506" s="128">
        <v>44245</v>
      </c>
      <c r="D506" s="36" t="s">
        <v>233</v>
      </c>
      <c r="E506" s="36" t="s">
        <v>222</v>
      </c>
      <c r="F506" s="36" t="s">
        <v>192</v>
      </c>
      <c r="G506" s="36" t="s">
        <v>193</v>
      </c>
      <c r="H506" s="36">
        <v>1</v>
      </c>
      <c r="I506" s="36" t="s">
        <v>179</v>
      </c>
      <c r="J506" s="36">
        <f>YEAR(RESER3[[#This Row],[DATA]])</f>
        <v>2021</v>
      </c>
      <c r="K506" s="36">
        <f t="shared" si="10"/>
        <v>2</v>
      </c>
      <c r="L506" s="36">
        <f>DAY(RESER3[[#This Row],[DATA]])</f>
        <v>18</v>
      </c>
      <c r="M506" s="36"/>
    </row>
    <row r="507" spans="1:13" x14ac:dyDescent="0.25">
      <c r="A507" s="36"/>
      <c r="B507" s="129" t="s">
        <v>41</v>
      </c>
      <c r="C507" s="128">
        <v>44320</v>
      </c>
      <c r="D507" s="36" t="s">
        <v>268</v>
      </c>
      <c r="E507" s="36" t="s">
        <v>190</v>
      </c>
      <c r="F507" s="36" t="s">
        <v>192</v>
      </c>
      <c r="G507" s="36" t="s">
        <v>235</v>
      </c>
      <c r="H507" s="36">
        <v>1</v>
      </c>
      <c r="I507" s="36" t="s">
        <v>179</v>
      </c>
      <c r="J507" s="36">
        <f>YEAR(RESER3[[#This Row],[DATA]])</f>
        <v>2021</v>
      </c>
      <c r="K507" s="36">
        <f t="shared" si="10"/>
        <v>5</v>
      </c>
      <c r="L507" s="36">
        <f>DAY(RESER3[[#This Row],[DATA]])</f>
        <v>4</v>
      </c>
      <c r="M507" s="36"/>
    </row>
    <row r="508" spans="1:13" x14ac:dyDescent="0.25">
      <c r="A508" s="36"/>
      <c r="B508" s="129" t="s">
        <v>41</v>
      </c>
      <c r="C508" s="128">
        <v>44326</v>
      </c>
      <c r="D508" s="36" t="s">
        <v>274</v>
      </c>
      <c r="E508" s="36" t="s">
        <v>190</v>
      </c>
      <c r="F508" s="36" t="s">
        <v>192</v>
      </c>
      <c r="G508" s="36" t="s">
        <v>193</v>
      </c>
      <c r="H508" s="36">
        <v>1</v>
      </c>
      <c r="I508" s="36" t="s">
        <v>179</v>
      </c>
      <c r="J508" s="36">
        <f>YEAR(RESER3[[#This Row],[DATA]])</f>
        <v>2021</v>
      </c>
      <c r="K508" s="36">
        <f t="shared" si="10"/>
        <v>5</v>
      </c>
      <c r="L508" s="36">
        <f>DAY(RESER3[[#This Row],[DATA]])</f>
        <v>10</v>
      </c>
      <c r="M508" s="36"/>
    </row>
    <row r="509" spans="1:13" x14ac:dyDescent="0.25">
      <c r="A509" s="36"/>
      <c r="B509" s="129" t="s">
        <v>41</v>
      </c>
      <c r="C509" s="128">
        <v>44327</v>
      </c>
      <c r="D509" s="36" t="s">
        <v>272</v>
      </c>
      <c r="E509" s="36" t="s">
        <v>190</v>
      </c>
      <c r="F509" s="36" t="s">
        <v>191</v>
      </c>
      <c r="G509" s="36" t="s">
        <v>458</v>
      </c>
      <c r="H509" s="36">
        <v>1</v>
      </c>
      <c r="I509" s="36" t="s">
        <v>179</v>
      </c>
      <c r="J509" s="36">
        <f>YEAR(RESER3[[#This Row],[DATA]])</f>
        <v>2021</v>
      </c>
      <c r="K509" s="36">
        <f t="shared" si="10"/>
        <v>5</v>
      </c>
      <c r="L509" s="36">
        <f>DAY(RESER3[[#This Row],[DATA]])</f>
        <v>11</v>
      </c>
      <c r="M509" s="36"/>
    </row>
    <row r="510" spans="1:13" x14ac:dyDescent="0.25">
      <c r="A510" s="36"/>
      <c r="B510" s="129" t="s">
        <v>41</v>
      </c>
      <c r="C510" s="128">
        <v>44303</v>
      </c>
      <c r="D510" s="36" t="s">
        <v>240</v>
      </c>
      <c r="E510" s="36" t="s">
        <v>190</v>
      </c>
      <c r="F510" s="36" t="s">
        <v>191</v>
      </c>
      <c r="G510" s="36" t="s">
        <v>458</v>
      </c>
      <c r="H510" s="36">
        <v>1</v>
      </c>
      <c r="I510" s="36" t="s">
        <v>179</v>
      </c>
      <c r="J510" s="36">
        <f>YEAR(RESER3[[#This Row],[DATA]])</f>
        <v>2021</v>
      </c>
      <c r="K510" s="36">
        <f t="shared" si="10"/>
        <v>4</v>
      </c>
      <c r="L510" s="36">
        <f>DAY(RESER3[[#This Row],[DATA]])</f>
        <v>17</v>
      </c>
      <c r="M510" s="36"/>
    </row>
    <row r="511" spans="1:13" x14ac:dyDescent="0.25">
      <c r="A511" s="36"/>
      <c r="B511" s="129" t="s">
        <v>41</v>
      </c>
      <c r="C511" s="128">
        <v>44304</v>
      </c>
      <c r="D511" s="36" t="s">
        <v>275</v>
      </c>
      <c r="E511" s="36" t="s">
        <v>190</v>
      </c>
      <c r="F511" s="36" t="s">
        <v>228</v>
      </c>
      <c r="G511" s="36"/>
      <c r="H511" s="36">
        <v>1</v>
      </c>
      <c r="I511" s="36" t="s">
        <v>179</v>
      </c>
      <c r="J511" s="36">
        <f>YEAR(RESER3[[#This Row],[DATA]])</f>
        <v>2021</v>
      </c>
      <c r="K511" s="36">
        <f t="shared" si="10"/>
        <v>4</v>
      </c>
      <c r="L511" s="36">
        <f>DAY(RESER3[[#This Row],[DATA]])</f>
        <v>18</v>
      </c>
      <c r="M511" s="36"/>
    </row>
    <row r="512" spans="1:13" x14ac:dyDescent="0.25">
      <c r="A512" s="36"/>
      <c r="B512" s="129" t="s">
        <v>41</v>
      </c>
      <c r="C512" s="128">
        <v>44336</v>
      </c>
      <c r="D512" s="36" t="s">
        <v>233</v>
      </c>
      <c r="E512" s="36" t="s">
        <v>190</v>
      </c>
      <c r="F512" s="36" t="s">
        <v>191</v>
      </c>
      <c r="G512" s="36" t="s">
        <v>458</v>
      </c>
      <c r="H512" s="36">
        <v>1</v>
      </c>
      <c r="I512" s="36" t="s">
        <v>179</v>
      </c>
      <c r="J512" s="36">
        <f>YEAR(RESER3[[#This Row],[DATA]])</f>
        <v>2021</v>
      </c>
      <c r="K512" s="36">
        <f t="shared" si="10"/>
        <v>5</v>
      </c>
      <c r="L512" s="36">
        <f>DAY(RESER3[[#This Row],[DATA]])</f>
        <v>20</v>
      </c>
      <c r="M512" s="36"/>
    </row>
    <row r="513" spans="1:13" x14ac:dyDescent="0.25">
      <c r="A513" s="36"/>
      <c r="B513" s="129" t="s">
        <v>41</v>
      </c>
      <c r="C513" s="128">
        <v>44336</v>
      </c>
      <c r="D513" s="36" t="s">
        <v>274</v>
      </c>
      <c r="E513" s="36" t="s">
        <v>190</v>
      </c>
      <c r="F513" s="36" t="s">
        <v>228</v>
      </c>
      <c r="G513" s="36"/>
      <c r="H513" s="36">
        <v>1</v>
      </c>
      <c r="I513" s="36" t="s">
        <v>179</v>
      </c>
      <c r="J513" s="36">
        <f>YEAR(RESER3[[#This Row],[DATA]])</f>
        <v>2021</v>
      </c>
      <c r="K513" s="36">
        <f t="shared" si="10"/>
        <v>5</v>
      </c>
      <c r="L513" s="36">
        <f>DAY(RESER3[[#This Row],[DATA]])</f>
        <v>20</v>
      </c>
      <c r="M513" s="36"/>
    </row>
    <row r="514" spans="1:13" x14ac:dyDescent="0.25">
      <c r="A514" s="36"/>
      <c r="B514" s="129" t="s">
        <v>41</v>
      </c>
      <c r="C514" s="128">
        <v>44342</v>
      </c>
      <c r="D514" s="36" t="s">
        <v>258</v>
      </c>
      <c r="E514" s="36" t="s">
        <v>222</v>
      </c>
      <c r="F514" s="36" t="s">
        <v>191</v>
      </c>
      <c r="G514" s="36" t="s">
        <v>458</v>
      </c>
      <c r="H514" s="36">
        <v>1</v>
      </c>
      <c r="I514" s="36" t="s">
        <v>179</v>
      </c>
      <c r="J514" s="36">
        <f>YEAR(RESER3[[#This Row],[DATA]])</f>
        <v>2021</v>
      </c>
      <c r="K514" s="36">
        <f t="shared" si="10"/>
        <v>5</v>
      </c>
      <c r="L514" s="36">
        <f>DAY(RESER3[[#This Row],[DATA]])</f>
        <v>26</v>
      </c>
      <c r="M514" s="36"/>
    </row>
    <row r="515" spans="1:13" x14ac:dyDescent="0.25">
      <c r="A515" s="36"/>
      <c r="B515" s="129" t="s">
        <v>41</v>
      </c>
      <c r="C515" s="128">
        <v>44342</v>
      </c>
      <c r="D515" s="36" t="s">
        <v>258</v>
      </c>
      <c r="E515" s="36" t="s">
        <v>190</v>
      </c>
      <c r="F515" s="36" t="s">
        <v>202</v>
      </c>
      <c r="G515" s="36" t="s">
        <v>300</v>
      </c>
      <c r="H515" s="36">
        <v>1</v>
      </c>
      <c r="I515" s="36" t="s">
        <v>179</v>
      </c>
      <c r="J515" s="36">
        <f>YEAR(RESER3[[#This Row],[DATA]])</f>
        <v>2021</v>
      </c>
      <c r="K515" s="36">
        <f t="shared" ref="K515:K578" si="11">MONTH(C515)</f>
        <v>5</v>
      </c>
      <c r="L515" s="36">
        <f>DAY(RESER3[[#This Row],[DATA]])</f>
        <v>26</v>
      </c>
      <c r="M515" s="36"/>
    </row>
    <row r="516" spans="1:13" x14ac:dyDescent="0.25">
      <c r="A516" s="36"/>
      <c r="B516" s="129" t="s">
        <v>41</v>
      </c>
      <c r="C516" s="128">
        <v>44363</v>
      </c>
      <c r="D516" s="36" t="s">
        <v>242</v>
      </c>
      <c r="E516" s="36" t="s">
        <v>190</v>
      </c>
      <c r="F516" s="36" t="s">
        <v>191</v>
      </c>
      <c r="G516" s="36" t="s">
        <v>356</v>
      </c>
      <c r="H516" s="36">
        <v>1</v>
      </c>
      <c r="I516" s="36" t="s">
        <v>179</v>
      </c>
      <c r="J516" s="36">
        <f>YEAR(RESER3[[#This Row],[DATA]])</f>
        <v>2021</v>
      </c>
      <c r="K516" s="36">
        <f t="shared" si="11"/>
        <v>6</v>
      </c>
      <c r="L516" s="36">
        <f>DAY(RESER3[[#This Row],[DATA]])</f>
        <v>16</v>
      </c>
      <c r="M516" s="36"/>
    </row>
    <row r="517" spans="1:13" x14ac:dyDescent="0.25">
      <c r="A517" s="36"/>
      <c r="B517" s="129" t="s">
        <v>24</v>
      </c>
      <c r="C517" s="128">
        <v>44357</v>
      </c>
      <c r="D517" s="36" t="s">
        <v>211</v>
      </c>
      <c r="E517" s="36" t="s">
        <v>190</v>
      </c>
      <c r="F517" s="36" t="s">
        <v>265</v>
      </c>
      <c r="G517" s="36" t="s">
        <v>357</v>
      </c>
      <c r="H517" s="36">
        <v>1</v>
      </c>
      <c r="I517" s="36" t="s">
        <v>179</v>
      </c>
      <c r="J517" s="36">
        <f>YEAR(RESER3[[#This Row],[DATA]])</f>
        <v>2021</v>
      </c>
      <c r="K517" s="36">
        <f t="shared" si="11"/>
        <v>6</v>
      </c>
      <c r="L517" s="36">
        <f>DAY(RESER3[[#This Row],[DATA]])</f>
        <v>10</v>
      </c>
      <c r="M517" s="36"/>
    </row>
    <row r="518" spans="1:13" x14ac:dyDescent="0.25">
      <c r="A518" s="36"/>
      <c r="B518" s="129" t="s">
        <v>13</v>
      </c>
      <c r="C518" s="128">
        <v>44273</v>
      </c>
      <c r="D518" s="36" t="s">
        <v>189</v>
      </c>
      <c r="E518" s="36" t="s">
        <v>222</v>
      </c>
      <c r="F518" s="36" t="s">
        <v>285</v>
      </c>
      <c r="G518" s="36" t="s">
        <v>358</v>
      </c>
      <c r="H518" s="36">
        <v>1</v>
      </c>
      <c r="I518" s="36" t="s">
        <v>179</v>
      </c>
      <c r="J518" s="36">
        <f>YEAR(RESER3[[#This Row],[DATA]])</f>
        <v>2021</v>
      </c>
      <c r="K518" s="36">
        <f t="shared" si="11"/>
        <v>3</v>
      </c>
      <c r="L518" s="36">
        <f>DAY(RESER3[[#This Row],[DATA]])</f>
        <v>18</v>
      </c>
      <c r="M518" s="36"/>
    </row>
    <row r="519" spans="1:13" x14ac:dyDescent="0.25">
      <c r="A519" s="36"/>
      <c r="B519" s="129" t="s">
        <v>14</v>
      </c>
      <c r="C519" s="128">
        <v>44274</v>
      </c>
      <c r="D519" s="36" t="s">
        <v>189</v>
      </c>
      <c r="E519" s="36" t="s">
        <v>222</v>
      </c>
      <c r="F519" s="36" t="s">
        <v>245</v>
      </c>
      <c r="G519" s="36" t="s">
        <v>359</v>
      </c>
      <c r="H519" s="36">
        <v>1</v>
      </c>
      <c r="I519" s="36" t="s">
        <v>179</v>
      </c>
      <c r="J519" s="36">
        <f>YEAR(RESER3[[#This Row],[DATA]])</f>
        <v>2021</v>
      </c>
      <c r="K519" s="36">
        <f t="shared" si="11"/>
        <v>3</v>
      </c>
      <c r="L519" s="36">
        <f>DAY(RESER3[[#This Row],[DATA]])</f>
        <v>19</v>
      </c>
      <c r="M519" s="36"/>
    </row>
    <row r="520" spans="1:13" x14ac:dyDescent="0.25">
      <c r="A520" s="36"/>
      <c r="B520" s="129" t="s">
        <v>17</v>
      </c>
      <c r="C520" s="128">
        <v>44302</v>
      </c>
      <c r="D520" s="36" t="s">
        <v>189</v>
      </c>
      <c r="E520" s="36" t="s">
        <v>222</v>
      </c>
      <c r="F520" s="36" t="s">
        <v>245</v>
      </c>
      <c r="G520" s="36" t="s">
        <v>360</v>
      </c>
      <c r="H520" s="36">
        <v>1</v>
      </c>
      <c r="I520" s="36" t="s">
        <v>179</v>
      </c>
      <c r="J520" s="36">
        <f>YEAR(RESER3[[#This Row],[DATA]])</f>
        <v>2021</v>
      </c>
      <c r="K520" s="36">
        <f t="shared" si="11"/>
        <v>4</v>
      </c>
      <c r="L520" s="36">
        <f>DAY(RESER3[[#This Row],[DATA]])</f>
        <v>16</v>
      </c>
      <c r="M520" s="36"/>
    </row>
    <row r="521" spans="1:13" x14ac:dyDescent="0.25">
      <c r="A521" s="36"/>
      <c r="B521" s="129" t="s">
        <v>18</v>
      </c>
      <c r="C521" s="128">
        <v>44308</v>
      </c>
      <c r="D521" s="36" t="s">
        <v>189</v>
      </c>
      <c r="E521" s="36" t="s">
        <v>222</v>
      </c>
      <c r="F521" s="36" t="s">
        <v>245</v>
      </c>
      <c r="G521" s="36" t="s">
        <v>360</v>
      </c>
      <c r="H521" s="36">
        <v>1</v>
      </c>
      <c r="I521" s="36" t="s">
        <v>179</v>
      </c>
      <c r="J521" s="36">
        <f>YEAR(RESER3[[#This Row],[DATA]])</f>
        <v>2021</v>
      </c>
      <c r="K521" s="36">
        <f t="shared" si="11"/>
        <v>4</v>
      </c>
      <c r="L521" s="36">
        <f>DAY(RESER3[[#This Row],[DATA]])</f>
        <v>22</v>
      </c>
      <c r="M521" s="36"/>
    </row>
    <row r="522" spans="1:13" x14ac:dyDescent="0.25">
      <c r="A522" s="36"/>
      <c r="B522" s="129" t="s">
        <v>98</v>
      </c>
      <c r="C522" s="128">
        <v>44319</v>
      </c>
      <c r="D522" s="36" t="s">
        <v>189</v>
      </c>
      <c r="E522" s="36" t="s">
        <v>222</v>
      </c>
      <c r="F522" s="36" t="s">
        <v>245</v>
      </c>
      <c r="G522" s="36" t="s">
        <v>361</v>
      </c>
      <c r="H522" s="36">
        <v>1</v>
      </c>
      <c r="I522" s="36" t="s">
        <v>179</v>
      </c>
      <c r="J522" s="36">
        <f>YEAR(RESER3[[#This Row],[DATA]])</f>
        <v>2021</v>
      </c>
      <c r="K522" s="36">
        <f t="shared" si="11"/>
        <v>5</v>
      </c>
      <c r="L522" s="36">
        <f>DAY(RESER3[[#This Row],[DATA]])</f>
        <v>3</v>
      </c>
      <c r="M522" s="36"/>
    </row>
    <row r="523" spans="1:13" x14ac:dyDescent="0.25">
      <c r="A523" s="36"/>
      <c r="B523" s="129" t="s">
        <v>21</v>
      </c>
      <c r="C523" s="128">
        <v>44323</v>
      </c>
      <c r="D523" s="36" t="s">
        <v>189</v>
      </c>
      <c r="E523" s="36" t="s">
        <v>222</v>
      </c>
      <c r="F523" s="36" t="s">
        <v>245</v>
      </c>
      <c r="G523" s="36" t="s">
        <v>361</v>
      </c>
      <c r="H523" s="36">
        <v>1</v>
      </c>
      <c r="I523" s="36" t="s">
        <v>179</v>
      </c>
      <c r="J523" s="36">
        <f>YEAR(RESER3[[#This Row],[DATA]])</f>
        <v>2021</v>
      </c>
      <c r="K523" s="36">
        <f t="shared" si="11"/>
        <v>5</v>
      </c>
      <c r="L523" s="36">
        <f>DAY(RESER3[[#This Row],[DATA]])</f>
        <v>7</v>
      </c>
      <c r="M523" s="36"/>
    </row>
    <row r="524" spans="1:13" x14ac:dyDescent="0.25">
      <c r="A524" s="36"/>
      <c r="B524" s="129" t="s">
        <v>22</v>
      </c>
      <c r="C524" s="128">
        <v>44326</v>
      </c>
      <c r="D524" s="36" t="s">
        <v>189</v>
      </c>
      <c r="E524" s="36" t="s">
        <v>222</v>
      </c>
      <c r="F524" s="36" t="s">
        <v>245</v>
      </c>
      <c r="G524" s="36" t="s">
        <v>361</v>
      </c>
      <c r="H524" s="36">
        <v>1</v>
      </c>
      <c r="I524" s="36" t="s">
        <v>179</v>
      </c>
      <c r="J524" s="36">
        <f>YEAR(RESER3[[#This Row],[DATA]])</f>
        <v>2021</v>
      </c>
      <c r="K524" s="36">
        <f t="shared" si="11"/>
        <v>5</v>
      </c>
      <c r="L524" s="36">
        <f>DAY(RESER3[[#This Row],[DATA]])</f>
        <v>10</v>
      </c>
      <c r="M524" s="36"/>
    </row>
    <row r="525" spans="1:13" x14ac:dyDescent="0.25">
      <c r="A525" s="36"/>
      <c r="B525" s="129" t="s">
        <v>40</v>
      </c>
      <c r="C525" s="128">
        <v>44327</v>
      </c>
      <c r="D525" s="36" t="s">
        <v>189</v>
      </c>
      <c r="E525" s="36" t="s">
        <v>222</v>
      </c>
      <c r="F525" s="36" t="s">
        <v>245</v>
      </c>
      <c r="G525" s="36" t="s">
        <v>362</v>
      </c>
      <c r="H525" s="36">
        <v>1</v>
      </c>
      <c r="I525" s="36" t="s">
        <v>179</v>
      </c>
      <c r="J525" s="36">
        <f>YEAR(RESER3[[#This Row],[DATA]])</f>
        <v>2021</v>
      </c>
      <c r="K525" s="36">
        <f t="shared" si="11"/>
        <v>5</v>
      </c>
      <c r="L525" s="36">
        <f>DAY(RESER3[[#This Row],[DATA]])</f>
        <v>11</v>
      </c>
      <c r="M525" s="36"/>
    </row>
    <row r="526" spans="1:13" x14ac:dyDescent="0.25">
      <c r="A526" s="36"/>
      <c r="B526" s="129" t="s">
        <v>41</v>
      </c>
      <c r="C526" s="128">
        <v>44328</v>
      </c>
      <c r="D526" s="36" t="s">
        <v>189</v>
      </c>
      <c r="E526" s="36" t="s">
        <v>222</v>
      </c>
      <c r="F526" s="36" t="s">
        <v>245</v>
      </c>
      <c r="G526" s="36" t="s">
        <v>363</v>
      </c>
      <c r="H526" s="36">
        <v>1</v>
      </c>
      <c r="I526" s="36" t="s">
        <v>180</v>
      </c>
      <c r="J526" s="36">
        <f>YEAR(RESER3[[#This Row],[DATA]])</f>
        <v>2021</v>
      </c>
      <c r="K526" s="36">
        <f t="shared" si="11"/>
        <v>5</v>
      </c>
      <c r="L526" s="36">
        <f>DAY(RESER3[[#This Row],[DATA]])</f>
        <v>12</v>
      </c>
      <c r="M526" s="36"/>
    </row>
    <row r="527" spans="1:13" x14ac:dyDescent="0.25">
      <c r="A527" s="36"/>
      <c r="B527" s="129" t="s">
        <v>13</v>
      </c>
      <c r="C527" s="128">
        <v>44330</v>
      </c>
      <c r="D527" s="36" t="s">
        <v>189</v>
      </c>
      <c r="E527" s="36" t="s">
        <v>222</v>
      </c>
      <c r="F527" s="36" t="s">
        <v>245</v>
      </c>
      <c r="G527" s="36" t="s">
        <v>364</v>
      </c>
      <c r="H527" s="36">
        <v>1</v>
      </c>
      <c r="I527" s="36" t="s">
        <v>181</v>
      </c>
      <c r="J527" s="36">
        <f>YEAR(RESER3[[#This Row],[DATA]])</f>
        <v>2021</v>
      </c>
      <c r="K527" s="36">
        <f t="shared" si="11"/>
        <v>5</v>
      </c>
      <c r="L527" s="36">
        <f>DAY(RESER3[[#This Row],[DATA]])</f>
        <v>14</v>
      </c>
      <c r="M527" s="36"/>
    </row>
    <row r="528" spans="1:13" x14ac:dyDescent="0.25">
      <c r="A528" s="36"/>
      <c r="B528" s="129" t="s">
        <v>18</v>
      </c>
      <c r="C528" s="128">
        <v>44365</v>
      </c>
      <c r="D528" s="36" t="s">
        <v>240</v>
      </c>
      <c r="E528" s="36" t="s">
        <v>190</v>
      </c>
      <c r="F528" s="36" t="s">
        <v>196</v>
      </c>
      <c r="G528" s="36" t="s">
        <v>365</v>
      </c>
      <c r="H528" s="36">
        <v>1</v>
      </c>
      <c r="I528" s="36" t="s">
        <v>181</v>
      </c>
      <c r="J528" s="36">
        <f>YEAR(RESER3[[#This Row],[DATA]])</f>
        <v>2021</v>
      </c>
      <c r="K528" s="36">
        <f t="shared" si="11"/>
        <v>6</v>
      </c>
      <c r="L528" s="36">
        <f>DAY(RESER3[[#This Row],[DATA]])</f>
        <v>18</v>
      </c>
      <c r="M528" s="36"/>
    </row>
    <row r="529" spans="1:13" x14ac:dyDescent="0.25">
      <c r="A529" s="36"/>
      <c r="B529" s="129" t="s">
        <v>10</v>
      </c>
      <c r="C529" s="128">
        <v>44412</v>
      </c>
      <c r="D529" s="36" t="s">
        <v>189</v>
      </c>
      <c r="E529" s="36" t="s">
        <v>190</v>
      </c>
      <c r="F529" s="36" t="s">
        <v>191</v>
      </c>
      <c r="G529" s="36" t="s">
        <v>191</v>
      </c>
      <c r="H529" s="36">
        <v>1</v>
      </c>
      <c r="I529" s="36" t="s">
        <v>179</v>
      </c>
      <c r="J529" s="36">
        <f>YEAR(RESER3[[#This Row],[DATA]])</f>
        <v>2021</v>
      </c>
      <c r="K529" s="36">
        <f t="shared" si="11"/>
        <v>8</v>
      </c>
      <c r="L529" s="36">
        <f>DAY(RESER3[[#This Row],[DATA]])</f>
        <v>4</v>
      </c>
      <c r="M529" s="36"/>
    </row>
    <row r="530" spans="1:13" x14ac:dyDescent="0.25">
      <c r="A530" s="36"/>
      <c r="B530" s="129" t="s">
        <v>21</v>
      </c>
      <c r="C530" s="128">
        <v>44413</v>
      </c>
      <c r="D530" s="36" t="s">
        <v>189</v>
      </c>
      <c r="E530" s="36" t="s">
        <v>190</v>
      </c>
      <c r="F530" s="36" t="s">
        <v>194</v>
      </c>
      <c r="G530" s="36" t="s">
        <v>460</v>
      </c>
      <c r="H530" s="36">
        <v>1</v>
      </c>
      <c r="I530" s="36" t="s">
        <v>179</v>
      </c>
      <c r="J530" s="36">
        <f>YEAR(RESER3[[#This Row],[DATA]])</f>
        <v>2021</v>
      </c>
      <c r="K530" s="36">
        <f t="shared" si="11"/>
        <v>8</v>
      </c>
      <c r="L530" s="36">
        <f>DAY(RESER3[[#This Row],[DATA]])</f>
        <v>5</v>
      </c>
      <c r="M530" s="36"/>
    </row>
    <row r="531" spans="1:13" x14ac:dyDescent="0.25">
      <c r="A531" s="36"/>
      <c r="B531" s="129" t="s">
        <v>10</v>
      </c>
      <c r="C531" s="128">
        <v>44414</v>
      </c>
      <c r="D531" s="36" t="s">
        <v>189</v>
      </c>
      <c r="E531" s="36" t="s">
        <v>190</v>
      </c>
      <c r="F531" s="36" t="s">
        <v>191</v>
      </c>
      <c r="G531" s="36" t="s">
        <v>191</v>
      </c>
      <c r="H531" s="36">
        <v>1</v>
      </c>
      <c r="I531" s="36" t="s">
        <v>179</v>
      </c>
      <c r="J531" s="36">
        <f>YEAR(RESER3[[#This Row],[DATA]])</f>
        <v>2021</v>
      </c>
      <c r="K531" s="36">
        <f t="shared" si="11"/>
        <v>8</v>
      </c>
      <c r="L531" s="36">
        <f>DAY(RESER3[[#This Row],[DATA]])</f>
        <v>6</v>
      </c>
      <c r="M531" s="36"/>
    </row>
    <row r="532" spans="1:13" x14ac:dyDescent="0.25">
      <c r="A532" s="36"/>
      <c r="B532" s="129" t="s">
        <v>10</v>
      </c>
      <c r="C532" s="128">
        <v>44414</v>
      </c>
      <c r="D532" s="36" t="s">
        <v>189</v>
      </c>
      <c r="E532" s="36" t="s">
        <v>222</v>
      </c>
      <c r="F532" s="36" t="s">
        <v>194</v>
      </c>
      <c r="G532" s="36" t="s">
        <v>356</v>
      </c>
      <c r="H532" s="36">
        <v>1</v>
      </c>
      <c r="I532" s="36" t="s">
        <v>179</v>
      </c>
      <c r="J532" s="36">
        <f>YEAR(RESER3[[#This Row],[DATA]])</f>
        <v>2021</v>
      </c>
      <c r="K532" s="36">
        <f t="shared" si="11"/>
        <v>8</v>
      </c>
      <c r="L532" s="36">
        <f>DAY(RESER3[[#This Row],[DATA]])</f>
        <v>6</v>
      </c>
      <c r="M532" s="36"/>
    </row>
    <row r="533" spans="1:13" x14ac:dyDescent="0.25">
      <c r="A533" s="36"/>
      <c r="B533" s="129" t="s">
        <v>14</v>
      </c>
      <c r="C533" s="128">
        <v>44414</v>
      </c>
      <c r="D533" s="36" t="s">
        <v>189</v>
      </c>
      <c r="E533" s="36" t="s">
        <v>222</v>
      </c>
      <c r="F533" s="36" t="s">
        <v>228</v>
      </c>
      <c r="G533" s="36" t="s">
        <v>257</v>
      </c>
      <c r="H533" s="36">
        <v>1</v>
      </c>
      <c r="I533" s="36" t="s">
        <v>179</v>
      </c>
      <c r="J533" s="36">
        <f>YEAR(RESER3[[#This Row],[DATA]])</f>
        <v>2021</v>
      </c>
      <c r="K533" s="36">
        <f t="shared" si="11"/>
        <v>8</v>
      </c>
      <c r="L533" s="36">
        <f>DAY(RESER3[[#This Row],[DATA]])</f>
        <v>6</v>
      </c>
      <c r="M533" s="36"/>
    </row>
    <row r="534" spans="1:13" x14ac:dyDescent="0.25">
      <c r="A534" s="36"/>
      <c r="B534" s="129" t="s">
        <v>6</v>
      </c>
      <c r="C534" s="128">
        <v>44414</v>
      </c>
      <c r="D534" s="36" t="s">
        <v>189</v>
      </c>
      <c r="E534" s="36" t="s">
        <v>190</v>
      </c>
      <c r="F534" s="36" t="s">
        <v>196</v>
      </c>
      <c r="G534" s="36" t="s">
        <v>461</v>
      </c>
      <c r="H534" s="36">
        <v>1</v>
      </c>
      <c r="I534" s="36" t="s">
        <v>179</v>
      </c>
      <c r="J534" s="36">
        <f>YEAR(RESER3[[#This Row],[DATA]])</f>
        <v>2021</v>
      </c>
      <c r="K534" s="36">
        <f t="shared" si="11"/>
        <v>8</v>
      </c>
      <c r="L534" s="36">
        <f>DAY(RESER3[[#This Row],[DATA]])</f>
        <v>6</v>
      </c>
      <c r="M534" s="36"/>
    </row>
    <row r="535" spans="1:13" x14ac:dyDescent="0.25">
      <c r="A535" s="36"/>
      <c r="B535" s="129" t="s">
        <v>13</v>
      </c>
      <c r="C535" s="128">
        <v>44414</v>
      </c>
      <c r="D535" s="36" t="s">
        <v>189</v>
      </c>
      <c r="E535" s="36" t="s">
        <v>190</v>
      </c>
      <c r="F535" s="36" t="s">
        <v>196</v>
      </c>
      <c r="G535" s="36" t="s">
        <v>461</v>
      </c>
      <c r="H535" s="36">
        <v>1</v>
      </c>
      <c r="I535" s="36" t="s">
        <v>179</v>
      </c>
      <c r="J535" s="36">
        <f>YEAR(RESER3[[#This Row],[DATA]])</f>
        <v>2021</v>
      </c>
      <c r="K535" s="36">
        <f t="shared" si="11"/>
        <v>8</v>
      </c>
      <c r="L535" s="36">
        <f>DAY(RESER3[[#This Row],[DATA]])</f>
        <v>6</v>
      </c>
      <c r="M535" s="36"/>
    </row>
    <row r="536" spans="1:13" x14ac:dyDescent="0.25">
      <c r="A536" s="36"/>
      <c r="B536" s="129" t="s">
        <v>21</v>
      </c>
      <c r="C536" s="128">
        <v>44414</v>
      </c>
      <c r="D536" s="36" t="s">
        <v>189</v>
      </c>
      <c r="E536" s="36" t="s">
        <v>462</v>
      </c>
      <c r="F536" s="36" t="s">
        <v>191</v>
      </c>
      <c r="G536" s="36" t="s">
        <v>191</v>
      </c>
      <c r="H536" s="36">
        <v>1</v>
      </c>
      <c r="I536" s="36" t="s">
        <v>179</v>
      </c>
      <c r="J536" s="36">
        <f>YEAR(RESER3[[#This Row],[DATA]])</f>
        <v>2021</v>
      </c>
      <c r="K536" s="36">
        <f t="shared" si="11"/>
        <v>8</v>
      </c>
      <c r="L536" s="36">
        <f>DAY(RESER3[[#This Row],[DATA]])</f>
        <v>6</v>
      </c>
      <c r="M536" s="36"/>
    </row>
    <row r="537" spans="1:13" x14ac:dyDescent="0.25">
      <c r="A537" s="36"/>
      <c r="B537" s="129" t="s">
        <v>13</v>
      </c>
      <c r="C537" s="128">
        <v>44414</v>
      </c>
      <c r="D537" s="36" t="s">
        <v>189</v>
      </c>
      <c r="E537" s="36" t="s">
        <v>462</v>
      </c>
      <c r="F537" s="36" t="s">
        <v>191</v>
      </c>
      <c r="G537" s="36" t="s">
        <v>191</v>
      </c>
      <c r="H537" s="36">
        <v>1</v>
      </c>
      <c r="I537" s="36" t="s">
        <v>179</v>
      </c>
      <c r="J537" s="36">
        <f>YEAR(RESER3[[#This Row],[DATA]])</f>
        <v>2021</v>
      </c>
      <c r="K537" s="36">
        <f t="shared" si="11"/>
        <v>8</v>
      </c>
      <c r="L537" s="36">
        <f>DAY(RESER3[[#This Row],[DATA]])</f>
        <v>6</v>
      </c>
      <c r="M537" s="36"/>
    </row>
    <row r="538" spans="1:13" x14ac:dyDescent="0.25">
      <c r="A538" s="36"/>
      <c r="B538" s="129" t="s">
        <v>14</v>
      </c>
      <c r="C538" s="128">
        <v>44414</v>
      </c>
      <c r="D538" s="36" t="s">
        <v>189</v>
      </c>
      <c r="E538" s="36" t="s">
        <v>190</v>
      </c>
      <c r="F538" s="36" t="s">
        <v>194</v>
      </c>
      <c r="G538" s="36" t="s">
        <v>460</v>
      </c>
      <c r="H538" s="36">
        <v>1</v>
      </c>
      <c r="I538" s="36" t="s">
        <v>179</v>
      </c>
      <c r="J538" s="36">
        <f>YEAR(RESER3[[#This Row],[DATA]])</f>
        <v>2021</v>
      </c>
      <c r="K538" s="36">
        <f t="shared" si="11"/>
        <v>8</v>
      </c>
      <c r="L538" s="36">
        <f>DAY(RESER3[[#This Row],[DATA]])</f>
        <v>6</v>
      </c>
      <c r="M538" s="36"/>
    </row>
    <row r="539" spans="1:13" x14ac:dyDescent="0.25">
      <c r="A539" s="36"/>
      <c r="B539" s="129" t="s">
        <v>10</v>
      </c>
      <c r="C539" s="128">
        <v>44417</v>
      </c>
      <c r="D539" s="36" t="s">
        <v>189</v>
      </c>
      <c r="E539" s="36" t="s">
        <v>190</v>
      </c>
      <c r="F539" s="36" t="s">
        <v>194</v>
      </c>
      <c r="G539" s="36" t="s">
        <v>356</v>
      </c>
      <c r="H539" s="36">
        <v>1</v>
      </c>
      <c r="I539" s="36" t="s">
        <v>179</v>
      </c>
      <c r="J539" s="36">
        <f>YEAR(RESER3[[#This Row],[DATA]])</f>
        <v>2021</v>
      </c>
      <c r="K539" s="36">
        <f t="shared" si="11"/>
        <v>8</v>
      </c>
      <c r="L539" s="36">
        <f>DAY(RESER3[[#This Row],[DATA]])</f>
        <v>9</v>
      </c>
      <c r="M539" s="36"/>
    </row>
    <row r="540" spans="1:13" x14ac:dyDescent="0.25">
      <c r="A540" s="36"/>
      <c r="B540" s="129" t="s">
        <v>9</v>
      </c>
      <c r="C540" s="128">
        <v>44417</v>
      </c>
      <c r="D540" s="36" t="s">
        <v>189</v>
      </c>
      <c r="E540" s="36" t="s">
        <v>222</v>
      </c>
      <c r="F540" s="36" t="s">
        <v>194</v>
      </c>
      <c r="G540" s="36" t="s">
        <v>356</v>
      </c>
      <c r="H540" s="36">
        <v>1</v>
      </c>
      <c r="I540" s="36" t="s">
        <v>179</v>
      </c>
      <c r="J540" s="36">
        <f>YEAR(RESER3[[#This Row],[DATA]])</f>
        <v>2021</v>
      </c>
      <c r="K540" s="36">
        <f t="shared" si="11"/>
        <v>8</v>
      </c>
      <c r="L540" s="36">
        <f>DAY(RESER3[[#This Row],[DATA]])</f>
        <v>9</v>
      </c>
      <c r="M540" s="36"/>
    </row>
    <row r="541" spans="1:13" x14ac:dyDescent="0.25">
      <c r="A541" s="36"/>
      <c r="B541" s="129" t="s">
        <v>15</v>
      </c>
      <c r="C541" s="128">
        <v>44417</v>
      </c>
      <c r="D541" s="36" t="s">
        <v>189</v>
      </c>
      <c r="E541" s="36" t="s">
        <v>222</v>
      </c>
      <c r="F541" s="36" t="s">
        <v>196</v>
      </c>
      <c r="G541" s="36" t="s">
        <v>461</v>
      </c>
      <c r="H541" s="36">
        <v>1</v>
      </c>
      <c r="I541" s="36" t="s">
        <v>179</v>
      </c>
      <c r="J541" s="36">
        <f>YEAR(RESER3[[#This Row],[DATA]])</f>
        <v>2021</v>
      </c>
      <c r="K541" s="36">
        <f t="shared" si="11"/>
        <v>8</v>
      </c>
      <c r="L541" s="36">
        <f>DAY(RESER3[[#This Row],[DATA]])</f>
        <v>9</v>
      </c>
      <c r="M541" s="36"/>
    </row>
    <row r="542" spans="1:13" x14ac:dyDescent="0.25">
      <c r="A542" s="36"/>
      <c r="B542" s="129" t="s">
        <v>14</v>
      </c>
      <c r="C542" s="128">
        <v>44417</v>
      </c>
      <c r="D542" s="36" t="s">
        <v>189</v>
      </c>
      <c r="E542" s="36" t="s">
        <v>462</v>
      </c>
      <c r="F542" s="36" t="s">
        <v>194</v>
      </c>
      <c r="G542" s="36" t="s">
        <v>356</v>
      </c>
      <c r="H542" s="36">
        <v>1</v>
      </c>
      <c r="I542" s="36" t="s">
        <v>179</v>
      </c>
      <c r="J542" s="36">
        <f>YEAR(RESER3[[#This Row],[DATA]])</f>
        <v>2021</v>
      </c>
      <c r="K542" s="36">
        <f t="shared" si="11"/>
        <v>8</v>
      </c>
      <c r="L542" s="36">
        <f>DAY(RESER3[[#This Row],[DATA]])</f>
        <v>9</v>
      </c>
      <c r="M542" s="36"/>
    </row>
    <row r="543" spans="1:13" x14ac:dyDescent="0.25">
      <c r="A543" s="36"/>
      <c r="B543" s="129" t="s">
        <v>20</v>
      </c>
      <c r="C543" s="128">
        <v>44417</v>
      </c>
      <c r="D543" s="36" t="s">
        <v>189</v>
      </c>
      <c r="E543" s="36" t="s">
        <v>222</v>
      </c>
      <c r="F543" s="36" t="s">
        <v>194</v>
      </c>
      <c r="G543" s="36" t="s">
        <v>356</v>
      </c>
      <c r="H543" s="36">
        <v>1</v>
      </c>
      <c r="I543" s="36" t="s">
        <v>179</v>
      </c>
      <c r="J543" s="36">
        <f>YEAR(RESER3[[#This Row],[DATA]])</f>
        <v>2021</v>
      </c>
      <c r="K543" s="36">
        <f t="shared" si="11"/>
        <v>8</v>
      </c>
      <c r="L543" s="36">
        <f>DAY(RESER3[[#This Row],[DATA]])</f>
        <v>9</v>
      </c>
      <c r="M543" s="36"/>
    </row>
    <row r="544" spans="1:13" x14ac:dyDescent="0.25">
      <c r="A544" s="36"/>
      <c r="B544" s="129" t="s">
        <v>19</v>
      </c>
      <c r="C544" s="128">
        <v>44418</v>
      </c>
      <c r="D544" s="36" t="s">
        <v>189</v>
      </c>
      <c r="E544" s="36" t="s">
        <v>222</v>
      </c>
      <c r="F544" s="36" t="s">
        <v>228</v>
      </c>
      <c r="G544" s="36" t="s">
        <v>257</v>
      </c>
      <c r="H544" s="36">
        <v>1</v>
      </c>
      <c r="I544" s="36" t="s">
        <v>179</v>
      </c>
      <c r="J544" s="36">
        <f>YEAR(RESER3[[#This Row],[DATA]])</f>
        <v>2021</v>
      </c>
      <c r="K544" s="36">
        <f t="shared" si="11"/>
        <v>8</v>
      </c>
      <c r="L544" s="36">
        <f>DAY(RESER3[[#This Row],[DATA]])</f>
        <v>10</v>
      </c>
      <c r="M544" s="36"/>
    </row>
    <row r="545" spans="1:13" x14ac:dyDescent="0.25">
      <c r="A545" s="36"/>
      <c r="B545" s="129" t="s">
        <v>15</v>
      </c>
      <c r="C545" s="128">
        <v>44418</v>
      </c>
      <c r="D545" s="36" t="s">
        <v>189</v>
      </c>
      <c r="E545" s="36" t="s">
        <v>462</v>
      </c>
      <c r="F545" s="36" t="s">
        <v>228</v>
      </c>
      <c r="G545" s="36" t="s">
        <v>257</v>
      </c>
      <c r="H545" s="36">
        <v>1</v>
      </c>
      <c r="I545" s="36" t="s">
        <v>179</v>
      </c>
      <c r="J545" s="36">
        <f>YEAR(RESER3[[#This Row],[DATA]])</f>
        <v>2021</v>
      </c>
      <c r="K545" s="36">
        <f t="shared" si="11"/>
        <v>8</v>
      </c>
      <c r="L545" s="36">
        <f>DAY(RESER3[[#This Row],[DATA]])</f>
        <v>10</v>
      </c>
      <c r="M545" s="36"/>
    </row>
    <row r="546" spans="1:13" x14ac:dyDescent="0.25">
      <c r="A546" s="36"/>
      <c r="B546" s="129" t="s">
        <v>14</v>
      </c>
      <c r="C546" s="128">
        <v>44418</v>
      </c>
      <c r="D546" s="36" t="s">
        <v>189</v>
      </c>
      <c r="E546" s="36" t="s">
        <v>222</v>
      </c>
      <c r="F546" s="36" t="s">
        <v>196</v>
      </c>
      <c r="G546" s="36" t="s">
        <v>461</v>
      </c>
      <c r="H546" s="36">
        <v>1</v>
      </c>
      <c r="I546" s="36" t="s">
        <v>179</v>
      </c>
      <c r="J546" s="36">
        <f>YEAR(RESER3[[#This Row],[DATA]])</f>
        <v>2021</v>
      </c>
      <c r="K546" s="36">
        <f t="shared" si="11"/>
        <v>8</v>
      </c>
      <c r="L546" s="36">
        <f>DAY(RESER3[[#This Row],[DATA]])</f>
        <v>10</v>
      </c>
      <c r="M546" s="36"/>
    </row>
    <row r="547" spans="1:13" x14ac:dyDescent="0.25">
      <c r="A547" s="36"/>
      <c r="B547" s="129" t="s">
        <v>20</v>
      </c>
      <c r="C547" s="128">
        <v>44418</v>
      </c>
      <c r="D547" s="36" t="s">
        <v>189</v>
      </c>
      <c r="E547" s="36" t="s">
        <v>222</v>
      </c>
      <c r="F547" s="36" t="s">
        <v>228</v>
      </c>
      <c r="G547" s="36" t="s">
        <v>257</v>
      </c>
      <c r="H547" s="36">
        <v>1</v>
      </c>
      <c r="I547" s="36" t="s">
        <v>179</v>
      </c>
      <c r="J547" s="36">
        <f>YEAR(RESER3[[#This Row],[DATA]])</f>
        <v>2021</v>
      </c>
      <c r="K547" s="36">
        <f t="shared" si="11"/>
        <v>8</v>
      </c>
      <c r="L547" s="36">
        <f>DAY(RESER3[[#This Row],[DATA]])</f>
        <v>10</v>
      </c>
      <c r="M547" s="36"/>
    </row>
    <row r="548" spans="1:13" x14ac:dyDescent="0.25">
      <c r="A548" s="36"/>
      <c r="B548" s="129" t="s">
        <v>16</v>
      </c>
      <c r="C548" s="128">
        <v>44418</v>
      </c>
      <c r="D548" s="36" t="s">
        <v>189</v>
      </c>
      <c r="E548" s="36" t="s">
        <v>222</v>
      </c>
      <c r="F548" s="36" t="s">
        <v>194</v>
      </c>
      <c r="G548" s="36" t="s">
        <v>356</v>
      </c>
      <c r="H548" s="36">
        <v>1</v>
      </c>
      <c r="I548" s="36" t="s">
        <v>179</v>
      </c>
      <c r="J548" s="36">
        <f>YEAR(RESER3[[#This Row],[DATA]])</f>
        <v>2021</v>
      </c>
      <c r="K548" s="36">
        <f t="shared" si="11"/>
        <v>8</v>
      </c>
      <c r="L548" s="36">
        <f>DAY(RESER3[[#This Row],[DATA]])</f>
        <v>10</v>
      </c>
      <c r="M548" s="36"/>
    </row>
    <row r="549" spans="1:13" x14ac:dyDescent="0.25">
      <c r="A549" s="36"/>
      <c r="B549" s="129" t="s">
        <v>40</v>
      </c>
      <c r="C549" s="128">
        <v>44418</v>
      </c>
      <c r="D549" s="36" t="s">
        <v>189</v>
      </c>
      <c r="E549" s="36" t="s">
        <v>222</v>
      </c>
      <c r="F549" s="36" t="s">
        <v>196</v>
      </c>
      <c r="G549" s="36" t="s">
        <v>196</v>
      </c>
      <c r="H549" s="36">
        <v>1</v>
      </c>
      <c r="I549" s="36" t="s">
        <v>179</v>
      </c>
      <c r="J549" s="36">
        <f>YEAR(RESER3[[#This Row],[DATA]])</f>
        <v>2021</v>
      </c>
      <c r="K549" s="36">
        <f t="shared" si="11"/>
        <v>8</v>
      </c>
      <c r="L549" s="36">
        <f>DAY(RESER3[[#This Row],[DATA]])</f>
        <v>10</v>
      </c>
      <c r="M549" s="36"/>
    </row>
    <row r="550" spans="1:13" x14ac:dyDescent="0.25">
      <c r="A550" s="36"/>
      <c r="B550" s="129" t="s">
        <v>15</v>
      </c>
      <c r="C550" s="128">
        <v>44418</v>
      </c>
      <c r="D550" s="36" t="s">
        <v>189</v>
      </c>
      <c r="E550" s="36" t="s">
        <v>462</v>
      </c>
      <c r="F550" s="36" t="s">
        <v>191</v>
      </c>
      <c r="G550" s="36" t="s">
        <v>191</v>
      </c>
      <c r="H550" s="36">
        <v>1</v>
      </c>
      <c r="I550" s="36" t="s">
        <v>179</v>
      </c>
      <c r="J550" s="36">
        <f>YEAR(RESER3[[#This Row],[DATA]])</f>
        <v>2021</v>
      </c>
      <c r="K550" s="36">
        <f t="shared" si="11"/>
        <v>8</v>
      </c>
      <c r="L550" s="36">
        <f>DAY(RESER3[[#This Row],[DATA]])</f>
        <v>10</v>
      </c>
      <c r="M550" s="36"/>
    </row>
    <row r="551" spans="1:13" x14ac:dyDescent="0.25">
      <c r="A551" s="36"/>
      <c r="B551" s="129" t="s">
        <v>4</v>
      </c>
      <c r="C551" s="128">
        <v>44418</v>
      </c>
      <c r="D551" s="36" t="s">
        <v>189</v>
      </c>
      <c r="E551" s="36" t="s">
        <v>462</v>
      </c>
      <c r="F551" s="36" t="s">
        <v>196</v>
      </c>
      <c r="G551" s="36" t="s">
        <v>461</v>
      </c>
      <c r="H551" s="36">
        <v>1</v>
      </c>
      <c r="I551" s="36" t="s">
        <v>179</v>
      </c>
      <c r="J551" s="36">
        <f>YEAR(RESER3[[#This Row],[DATA]])</f>
        <v>2021</v>
      </c>
      <c r="K551" s="36">
        <f t="shared" si="11"/>
        <v>8</v>
      </c>
      <c r="L551" s="36">
        <f>DAY(RESER3[[#This Row],[DATA]])</f>
        <v>10</v>
      </c>
      <c r="M551" s="36"/>
    </row>
    <row r="552" spans="1:13" x14ac:dyDescent="0.25">
      <c r="A552" s="36"/>
      <c r="B552" s="129" t="s">
        <v>40</v>
      </c>
      <c r="C552" s="128">
        <v>44418</v>
      </c>
      <c r="D552" s="36" t="s">
        <v>189</v>
      </c>
      <c r="E552" s="36" t="s">
        <v>222</v>
      </c>
      <c r="F552" s="36" t="s">
        <v>463</v>
      </c>
      <c r="G552" s="36" t="s">
        <v>356</v>
      </c>
      <c r="H552" s="36">
        <v>1</v>
      </c>
      <c r="I552" s="36" t="s">
        <v>179</v>
      </c>
      <c r="J552" s="36">
        <f>YEAR(RESER3[[#This Row],[DATA]])</f>
        <v>2021</v>
      </c>
      <c r="K552" s="36">
        <f t="shared" si="11"/>
        <v>8</v>
      </c>
      <c r="L552" s="36">
        <f>DAY(RESER3[[#This Row],[DATA]])</f>
        <v>10</v>
      </c>
      <c r="M552" s="36"/>
    </row>
    <row r="553" spans="1:13" x14ac:dyDescent="0.25">
      <c r="A553" s="36"/>
      <c r="B553" s="129" t="s">
        <v>6</v>
      </c>
      <c r="C553" s="128">
        <v>44418</v>
      </c>
      <c r="D553" s="36" t="s">
        <v>189</v>
      </c>
      <c r="E553" s="36" t="s">
        <v>462</v>
      </c>
      <c r="F553" s="36" t="s">
        <v>194</v>
      </c>
      <c r="G553" s="36" t="s">
        <v>356</v>
      </c>
      <c r="H553" s="36">
        <v>1</v>
      </c>
      <c r="I553" s="36" t="s">
        <v>179</v>
      </c>
      <c r="J553" s="36">
        <f>YEAR(RESER3[[#This Row],[DATA]])</f>
        <v>2021</v>
      </c>
      <c r="K553" s="36">
        <f t="shared" si="11"/>
        <v>8</v>
      </c>
      <c r="L553" s="36">
        <f>DAY(RESER3[[#This Row],[DATA]])</f>
        <v>10</v>
      </c>
      <c r="M553" s="36"/>
    </row>
    <row r="554" spans="1:13" x14ac:dyDescent="0.25">
      <c r="A554" s="36"/>
      <c r="B554" s="129" t="s">
        <v>112</v>
      </c>
      <c r="C554" s="128">
        <v>44419</v>
      </c>
      <c r="D554" s="36" t="s">
        <v>189</v>
      </c>
      <c r="E554" s="36" t="s">
        <v>462</v>
      </c>
      <c r="F554" s="36" t="s">
        <v>194</v>
      </c>
      <c r="G554" s="36" t="s">
        <v>460</v>
      </c>
      <c r="H554" s="36">
        <v>1</v>
      </c>
      <c r="I554" s="36" t="s">
        <v>179</v>
      </c>
      <c r="J554" s="36">
        <f>YEAR(RESER3[[#This Row],[DATA]])</f>
        <v>2021</v>
      </c>
      <c r="K554" s="36">
        <f t="shared" si="11"/>
        <v>8</v>
      </c>
      <c r="L554" s="36">
        <f>DAY(RESER3[[#This Row],[DATA]])</f>
        <v>11</v>
      </c>
      <c r="M554" s="36"/>
    </row>
    <row r="555" spans="1:13" x14ac:dyDescent="0.25">
      <c r="A555" s="36"/>
      <c r="B555" s="129" t="s">
        <v>9</v>
      </c>
      <c r="C555" s="128">
        <v>44419</v>
      </c>
      <c r="D555" s="36" t="s">
        <v>189</v>
      </c>
      <c r="E555" s="36" t="s">
        <v>222</v>
      </c>
      <c r="F555" s="36" t="s">
        <v>194</v>
      </c>
      <c r="G555" s="36" t="s">
        <v>460</v>
      </c>
      <c r="H555" s="36">
        <v>1</v>
      </c>
      <c r="I555" s="36" t="s">
        <v>179</v>
      </c>
      <c r="J555" s="36">
        <f>YEAR(RESER3[[#This Row],[DATA]])</f>
        <v>2021</v>
      </c>
      <c r="K555" s="36">
        <f t="shared" si="11"/>
        <v>8</v>
      </c>
      <c r="L555" s="36">
        <f>DAY(RESER3[[#This Row],[DATA]])</f>
        <v>11</v>
      </c>
      <c r="M555" s="36"/>
    </row>
    <row r="556" spans="1:13" x14ac:dyDescent="0.25">
      <c r="A556" s="36"/>
      <c r="B556" s="129" t="s">
        <v>112</v>
      </c>
      <c r="C556" s="128">
        <v>44419</v>
      </c>
      <c r="D556" s="36" t="s">
        <v>189</v>
      </c>
      <c r="E556" s="36" t="s">
        <v>222</v>
      </c>
      <c r="F556" s="36" t="s">
        <v>194</v>
      </c>
      <c r="G556" s="36" t="s">
        <v>460</v>
      </c>
      <c r="H556" s="36">
        <v>1</v>
      </c>
      <c r="I556" s="36" t="s">
        <v>179</v>
      </c>
      <c r="J556" s="36">
        <f>YEAR(RESER3[[#This Row],[DATA]])</f>
        <v>2021</v>
      </c>
      <c r="K556" s="36">
        <f t="shared" si="11"/>
        <v>8</v>
      </c>
      <c r="L556" s="36">
        <f>DAY(RESER3[[#This Row],[DATA]])</f>
        <v>11</v>
      </c>
      <c r="M556" s="36"/>
    </row>
    <row r="557" spans="1:13" x14ac:dyDescent="0.25">
      <c r="A557" s="36"/>
      <c r="B557" s="129" t="s">
        <v>16</v>
      </c>
      <c r="C557" s="128">
        <v>44419</v>
      </c>
      <c r="D557" s="36" t="s">
        <v>189</v>
      </c>
      <c r="E557" s="36" t="s">
        <v>222</v>
      </c>
      <c r="F557" s="36" t="s">
        <v>463</v>
      </c>
      <c r="G557" s="36" t="s">
        <v>356</v>
      </c>
      <c r="H557" s="36">
        <v>1</v>
      </c>
      <c r="I557" s="36" t="s">
        <v>179</v>
      </c>
      <c r="J557" s="36">
        <f>YEAR(RESER3[[#This Row],[DATA]])</f>
        <v>2021</v>
      </c>
      <c r="K557" s="36">
        <f t="shared" si="11"/>
        <v>8</v>
      </c>
      <c r="L557" s="36">
        <f>DAY(RESER3[[#This Row],[DATA]])</f>
        <v>11</v>
      </c>
      <c r="M557" s="36"/>
    </row>
    <row r="558" spans="1:13" x14ac:dyDescent="0.25">
      <c r="A558" s="36"/>
      <c r="B558" s="129" t="s">
        <v>20</v>
      </c>
      <c r="C558" s="128">
        <v>44419</v>
      </c>
      <c r="D558" s="36" t="s">
        <v>189</v>
      </c>
      <c r="E558" s="36" t="s">
        <v>462</v>
      </c>
      <c r="F558" s="36" t="s">
        <v>194</v>
      </c>
      <c r="G558" s="36" t="s">
        <v>356</v>
      </c>
      <c r="H558" s="36">
        <v>1</v>
      </c>
      <c r="I558" s="36" t="s">
        <v>179</v>
      </c>
      <c r="J558" s="36">
        <f>YEAR(RESER3[[#This Row],[DATA]])</f>
        <v>2021</v>
      </c>
      <c r="K558" s="36">
        <f t="shared" si="11"/>
        <v>8</v>
      </c>
      <c r="L558" s="36">
        <f>DAY(RESER3[[#This Row],[DATA]])</f>
        <v>11</v>
      </c>
      <c r="M558" s="36"/>
    </row>
    <row r="559" spans="1:13" x14ac:dyDescent="0.25">
      <c r="A559" s="36"/>
      <c r="B559" s="129" t="s">
        <v>20</v>
      </c>
      <c r="C559" s="128">
        <v>44419</v>
      </c>
      <c r="D559" s="36" t="s">
        <v>189</v>
      </c>
      <c r="E559" s="36" t="s">
        <v>462</v>
      </c>
      <c r="F559" s="36" t="s">
        <v>228</v>
      </c>
      <c r="G559" s="36" t="s">
        <v>257</v>
      </c>
      <c r="H559" s="36">
        <v>1</v>
      </c>
      <c r="I559" s="36" t="s">
        <v>179</v>
      </c>
      <c r="J559" s="36">
        <f>YEAR(RESER3[[#This Row],[DATA]])</f>
        <v>2021</v>
      </c>
      <c r="K559" s="36">
        <f t="shared" si="11"/>
        <v>8</v>
      </c>
      <c r="L559" s="36">
        <f>DAY(RESER3[[#This Row],[DATA]])</f>
        <v>11</v>
      </c>
      <c r="M559" s="36"/>
    </row>
    <row r="560" spans="1:13" x14ac:dyDescent="0.25">
      <c r="A560" s="36"/>
      <c r="B560" s="129" t="s">
        <v>10</v>
      </c>
      <c r="C560" s="128">
        <v>44420</v>
      </c>
      <c r="D560" s="36" t="s">
        <v>189</v>
      </c>
      <c r="E560" s="36" t="s">
        <v>222</v>
      </c>
      <c r="F560" s="36" t="s">
        <v>463</v>
      </c>
      <c r="G560" s="36" t="s">
        <v>356</v>
      </c>
      <c r="H560" s="36">
        <v>1</v>
      </c>
      <c r="I560" s="36" t="s">
        <v>179</v>
      </c>
      <c r="J560" s="36">
        <f>YEAR(RESER3[[#This Row],[DATA]])</f>
        <v>2021</v>
      </c>
      <c r="K560" s="36">
        <f t="shared" si="11"/>
        <v>8</v>
      </c>
      <c r="L560" s="36">
        <f>DAY(RESER3[[#This Row],[DATA]])</f>
        <v>12</v>
      </c>
      <c r="M560" s="36"/>
    </row>
    <row r="561" spans="1:13" x14ac:dyDescent="0.25">
      <c r="A561" s="36"/>
      <c r="B561" s="129" t="s">
        <v>6</v>
      </c>
      <c r="C561" s="128">
        <v>44420</v>
      </c>
      <c r="D561" s="36" t="s">
        <v>189</v>
      </c>
      <c r="E561" s="36" t="s">
        <v>222</v>
      </c>
      <c r="F561" s="36" t="s">
        <v>463</v>
      </c>
      <c r="G561" s="36" t="s">
        <v>356</v>
      </c>
      <c r="H561" s="36">
        <v>1</v>
      </c>
      <c r="I561" s="36" t="s">
        <v>179</v>
      </c>
      <c r="J561" s="36">
        <f>YEAR(RESER3[[#This Row],[DATA]])</f>
        <v>2021</v>
      </c>
      <c r="K561" s="36">
        <f t="shared" si="11"/>
        <v>8</v>
      </c>
      <c r="L561" s="36">
        <f>DAY(RESER3[[#This Row],[DATA]])</f>
        <v>12</v>
      </c>
      <c r="M561" s="36"/>
    </row>
    <row r="562" spans="1:13" x14ac:dyDescent="0.25">
      <c r="A562" s="36"/>
      <c r="B562" s="129" t="s">
        <v>8</v>
      </c>
      <c r="C562" s="128">
        <v>44420</v>
      </c>
      <c r="D562" s="36" t="s">
        <v>189</v>
      </c>
      <c r="E562" s="36" t="s">
        <v>222</v>
      </c>
      <c r="F562" s="36" t="s">
        <v>464</v>
      </c>
      <c r="G562" s="36" t="s">
        <v>460</v>
      </c>
      <c r="H562" s="36">
        <v>1</v>
      </c>
      <c r="I562" s="36" t="s">
        <v>179</v>
      </c>
      <c r="J562" s="36">
        <f>YEAR(RESER3[[#This Row],[DATA]])</f>
        <v>2021</v>
      </c>
      <c r="K562" s="36">
        <f t="shared" si="11"/>
        <v>8</v>
      </c>
      <c r="L562" s="36">
        <f>DAY(RESER3[[#This Row],[DATA]])</f>
        <v>12</v>
      </c>
      <c r="M562" s="36"/>
    </row>
    <row r="563" spans="1:13" x14ac:dyDescent="0.25">
      <c r="A563" s="36"/>
      <c r="B563" s="129" t="s">
        <v>13</v>
      </c>
      <c r="C563" s="128">
        <v>44421</v>
      </c>
      <c r="D563" s="36" t="s">
        <v>189</v>
      </c>
      <c r="E563" s="36" t="s">
        <v>462</v>
      </c>
      <c r="F563" s="36" t="s">
        <v>228</v>
      </c>
      <c r="G563" s="36" t="s">
        <v>460</v>
      </c>
      <c r="H563" s="36">
        <v>1</v>
      </c>
      <c r="I563" s="36" t="s">
        <v>179</v>
      </c>
      <c r="J563" s="36">
        <f>YEAR(RESER3[[#This Row],[DATA]])</f>
        <v>2021</v>
      </c>
      <c r="K563" s="36">
        <f t="shared" si="11"/>
        <v>8</v>
      </c>
      <c r="L563" s="36">
        <f>DAY(RESER3[[#This Row],[DATA]])</f>
        <v>13</v>
      </c>
      <c r="M563" s="36"/>
    </row>
    <row r="564" spans="1:13" x14ac:dyDescent="0.25">
      <c r="A564" s="36"/>
      <c r="B564" s="129" t="s">
        <v>14</v>
      </c>
      <c r="C564" s="128">
        <v>44421</v>
      </c>
      <c r="D564" s="36" t="s">
        <v>189</v>
      </c>
      <c r="E564" s="36" t="s">
        <v>222</v>
      </c>
      <c r="F564" s="36" t="s">
        <v>191</v>
      </c>
      <c r="G564" s="36" t="s">
        <v>191</v>
      </c>
      <c r="H564" s="36">
        <v>1</v>
      </c>
      <c r="I564" s="36" t="s">
        <v>179</v>
      </c>
      <c r="J564" s="36">
        <f>YEAR(RESER3[[#This Row],[DATA]])</f>
        <v>2021</v>
      </c>
      <c r="K564" s="36">
        <f t="shared" si="11"/>
        <v>8</v>
      </c>
      <c r="L564" s="36">
        <f>DAY(RESER3[[#This Row],[DATA]])</f>
        <v>13</v>
      </c>
      <c r="M564" s="36"/>
    </row>
    <row r="565" spans="1:13" x14ac:dyDescent="0.25">
      <c r="A565" s="36"/>
      <c r="B565" s="129" t="s">
        <v>14</v>
      </c>
      <c r="C565" s="128">
        <v>44421</v>
      </c>
      <c r="D565" s="36" t="s">
        <v>189</v>
      </c>
      <c r="E565" s="36" t="s">
        <v>462</v>
      </c>
      <c r="F565" s="36" t="s">
        <v>228</v>
      </c>
      <c r="G565" s="36" t="s">
        <v>461</v>
      </c>
      <c r="H565" s="36">
        <v>1</v>
      </c>
      <c r="I565" s="36" t="s">
        <v>179</v>
      </c>
      <c r="J565" s="36">
        <f>YEAR(RESER3[[#This Row],[DATA]])</f>
        <v>2021</v>
      </c>
      <c r="K565" s="36">
        <f t="shared" si="11"/>
        <v>8</v>
      </c>
      <c r="L565" s="36">
        <f>DAY(RESER3[[#This Row],[DATA]])</f>
        <v>13</v>
      </c>
      <c r="M565" s="36"/>
    </row>
    <row r="566" spans="1:13" x14ac:dyDescent="0.25">
      <c r="A566" s="36"/>
      <c r="B566" s="129" t="s">
        <v>21</v>
      </c>
      <c r="C566" s="128">
        <v>44421</v>
      </c>
      <c r="D566" s="36" t="s">
        <v>189</v>
      </c>
      <c r="E566" s="36" t="s">
        <v>222</v>
      </c>
      <c r="F566" s="36" t="s">
        <v>245</v>
      </c>
      <c r="G566" s="36" t="s">
        <v>465</v>
      </c>
      <c r="H566" s="36">
        <v>1</v>
      </c>
      <c r="I566" s="36" t="s">
        <v>179</v>
      </c>
      <c r="J566" s="36">
        <f>YEAR(RESER3[[#This Row],[DATA]])</f>
        <v>2021</v>
      </c>
      <c r="K566" s="36">
        <f t="shared" si="11"/>
        <v>8</v>
      </c>
      <c r="L566" s="36">
        <f>DAY(RESER3[[#This Row],[DATA]])</f>
        <v>13</v>
      </c>
      <c r="M566" s="36"/>
    </row>
    <row r="567" spans="1:13" x14ac:dyDescent="0.25">
      <c r="A567" s="36"/>
      <c r="B567" s="129" t="s">
        <v>19</v>
      </c>
      <c r="C567" s="128">
        <v>44421</v>
      </c>
      <c r="D567" s="36" t="s">
        <v>189</v>
      </c>
      <c r="E567" s="36" t="s">
        <v>462</v>
      </c>
      <c r="F567" s="36" t="s">
        <v>194</v>
      </c>
      <c r="G567" s="36" t="s">
        <v>356</v>
      </c>
      <c r="H567" s="36">
        <v>1</v>
      </c>
      <c r="I567" s="36" t="s">
        <v>179</v>
      </c>
      <c r="J567" s="36">
        <f>YEAR(RESER3[[#This Row],[DATA]])</f>
        <v>2021</v>
      </c>
      <c r="K567" s="36">
        <f t="shared" si="11"/>
        <v>8</v>
      </c>
      <c r="L567" s="36">
        <f>DAY(RESER3[[#This Row],[DATA]])</f>
        <v>13</v>
      </c>
      <c r="M567" s="36"/>
    </row>
    <row r="568" spans="1:13" x14ac:dyDescent="0.25">
      <c r="A568" s="36"/>
      <c r="B568" s="129" t="s">
        <v>4</v>
      </c>
      <c r="C568" s="128">
        <v>44421</v>
      </c>
      <c r="D568" s="36" t="s">
        <v>189</v>
      </c>
      <c r="E568" s="36" t="s">
        <v>222</v>
      </c>
      <c r="F568" s="36" t="s">
        <v>245</v>
      </c>
      <c r="G568" s="36" t="s">
        <v>465</v>
      </c>
      <c r="H568" s="36">
        <v>1</v>
      </c>
      <c r="I568" s="36" t="s">
        <v>179</v>
      </c>
      <c r="J568" s="36">
        <f>YEAR(RESER3[[#This Row],[DATA]])</f>
        <v>2021</v>
      </c>
      <c r="K568" s="36">
        <f t="shared" si="11"/>
        <v>8</v>
      </c>
      <c r="L568" s="36">
        <f>DAY(RESER3[[#This Row],[DATA]])</f>
        <v>13</v>
      </c>
      <c r="M568" s="36"/>
    </row>
    <row r="569" spans="1:13" x14ac:dyDescent="0.25">
      <c r="A569" s="36"/>
      <c r="B569" s="129" t="s">
        <v>10</v>
      </c>
      <c r="C569" s="128">
        <v>44421</v>
      </c>
      <c r="D569" s="36" t="s">
        <v>189</v>
      </c>
      <c r="E569" s="36" t="s">
        <v>462</v>
      </c>
      <c r="F569" s="36" t="s">
        <v>463</v>
      </c>
      <c r="G569" s="36" t="s">
        <v>460</v>
      </c>
      <c r="H569" s="36">
        <v>1</v>
      </c>
      <c r="I569" s="36" t="s">
        <v>179</v>
      </c>
      <c r="J569" s="36">
        <f>YEAR(RESER3[[#This Row],[DATA]])</f>
        <v>2021</v>
      </c>
      <c r="K569" s="36">
        <f t="shared" si="11"/>
        <v>8</v>
      </c>
      <c r="L569" s="36">
        <f>DAY(RESER3[[#This Row],[DATA]])</f>
        <v>13</v>
      </c>
      <c r="M569" s="36"/>
    </row>
    <row r="570" spans="1:13" x14ac:dyDescent="0.25">
      <c r="A570" s="36"/>
      <c r="B570" s="129" t="s">
        <v>40</v>
      </c>
      <c r="C570" s="128">
        <v>44421</v>
      </c>
      <c r="D570" s="36" t="s">
        <v>189</v>
      </c>
      <c r="E570" s="36" t="s">
        <v>462</v>
      </c>
      <c r="F570" s="36" t="s">
        <v>196</v>
      </c>
      <c r="G570" s="36" t="s">
        <v>466</v>
      </c>
      <c r="H570" s="36">
        <v>1</v>
      </c>
      <c r="I570" s="36" t="s">
        <v>179</v>
      </c>
      <c r="J570" s="36">
        <f>YEAR(RESER3[[#This Row],[DATA]])</f>
        <v>2021</v>
      </c>
      <c r="K570" s="36">
        <f t="shared" si="11"/>
        <v>8</v>
      </c>
      <c r="L570" s="36">
        <f>DAY(RESER3[[#This Row],[DATA]])</f>
        <v>13</v>
      </c>
      <c r="M570" s="36"/>
    </row>
    <row r="571" spans="1:13" x14ac:dyDescent="0.25">
      <c r="A571" s="36"/>
      <c r="B571" s="129" t="s">
        <v>112</v>
      </c>
      <c r="C571" s="128">
        <v>44421</v>
      </c>
      <c r="D571" s="36" t="s">
        <v>189</v>
      </c>
      <c r="E571" s="36" t="s">
        <v>222</v>
      </c>
      <c r="F571" s="36" t="s">
        <v>196</v>
      </c>
      <c r="G571" s="36" t="s">
        <v>466</v>
      </c>
      <c r="H571" s="36">
        <v>1</v>
      </c>
      <c r="I571" s="36" t="s">
        <v>179</v>
      </c>
      <c r="J571" s="36">
        <f>YEAR(RESER3[[#This Row],[DATA]])</f>
        <v>2021</v>
      </c>
      <c r="K571" s="36">
        <f t="shared" si="11"/>
        <v>8</v>
      </c>
      <c r="L571" s="36">
        <f>DAY(RESER3[[#This Row],[DATA]])</f>
        <v>13</v>
      </c>
      <c r="M571" s="36"/>
    </row>
    <row r="572" spans="1:13" x14ac:dyDescent="0.25">
      <c r="A572" s="36"/>
      <c r="B572" s="129" t="s">
        <v>14</v>
      </c>
      <c r="C572" s="128">
        <v>44421</v>
      </c>
      <c r="D572" s="36" t="s">
        <v>189</v>
      </c>
      <c r="E572" s="36" t="s">
        <v>222</v>
      </c>
      <c r="F572" s="36" t="s">
        <v>228</v>
      </c>
      <c r="G572" s="36" t="s">
        <v>467</v>
      </c>
      <c r="H572" s="36">
        <v>1</v>
      </c>
      <c r="I572" s="36" t="s">
        <v>179</v>
      </c>
      <c r="J572" s="36">
        <f>YEAR(RESER3[[#This Row],[DATA]])</f>
        <v>2021</v>
      </c>
      <c r="K572" s="36">
        <f t="shared" si="11"/>
        <v>8</v>
      </c>
      <c r="L572" s="36">
        <f>DAY(RESER3[[#This Row],[DATA]])</f>
        <v>13</v>
      </c>
      <c r="M572" s="36"/>
    </row>
    <row r="573" spans="1:13" x14ac:dyDescent="0.25">
      <c r="A573" s="36"/>
      <c r="B573" s="129" t="s">
        <v>6</v>
      </c>
      <c r="C573" s="128">
        <v>44421</v>
      </c>
      <c r="D573" s="36" t="s">
        <v>189</v>
      </c>
      <c r="E573" s="36" t="s">
        <v>462</v>
      </c>
      <c r="F573" s="36" t="s">
        <v>228</v>
      </c>
      <c r="G573" s="36" t="s">
        <v>467</v>
      </c>
      <c r="H573" s="36">
        <v>1</v>
      </c>
      <c r="I573" s="36" t="s">
        <v>179</v>
      </c>
      <c r="J573" s="36">
        <f>YEAR(RESER3[[#This Row],[DATA]])</f>
        <v>2021</v>
      </c>
      <c r="K573" s="36">
        <f t="shared" si="11"/>
        <v>8</v>
      </c>
      <c r="L573" s="36">
        <f>DAY(RESER3[[#This Row],[DATA]])</f>
        <v>13</v>
      </c>
      <c r="M573" s="36"/>
    </row>
    <row r="574" spans="1:13" x14ac:dyDescent="0.25">
      <c r="A574" s="36"/>
      <c r="B574" s="129" t="s">
        <v>14</v>
      </c>
      <c r="C574" s="128">
        <v>44421</v>
      </c>
      <c r="D574" s="36" t="s">
        <v>189</v>
      </c>
      <c r="E574" s="36" t="s">
        <v>222</v>
      </c>
      <c r="F574" s="36" t="s">
        <v>228</v>
      </c>
      <c r="G574" s="36" t="s">
        <v>467</v>
      </c>
      <c r="H574" s="36">
        <v>1</v>
      </c>
      <c r="I574" s="36" t="s">
        <v>179</v>
      </c>
      <c r="J574" s="36">
        <f>YEAR(RESER3[[#This Row],[DATA]])</f>
        <v>2021</v>
      </c>
      <c r="K574" s="36">
        <f t="shared" si="11"/>
        <v>8</v>
      </c>
      <c r="L574" s="36">
        <f>DAY(RESER3[[#This Row],[DATA]])</f>
        <v>13</v>
      </c>
      <c r="M574" s="36"/>
    </row>
    <row r="575" spans="1:13" x14ac:dyDescent="0.25">
      <c r="A575" s="36"/>
      <c r="B575" s="129" t="s">
        <v>40</v>
      </c>
      <c r="C575" s="128">
        <v>44424</v>
      </c>
      <c r="D575" s="36" t="s">
        <v>189</v>
      </c>
      <c r="E575" s="36" t="s">
        <v>222</v>
      </c>
      <c r="F575" s="36" t="s">
        <v>245</v>
      </c>
      <c r="G575" s="36" t="s">
        <v>465</v>
      </c>
      <c r="H575" s="36">
        <v>1</v>
      </c>
      <c r="I575" s="36" t="s">
        <v>179</v>
      </c>
      <c r="J575" s="36">
        <f>YEAR(RESER3[[#This Row],[DATA]])</f>
        <v>2021</v>
      </c>
      <c r="K575" s="36">
        <f t="shared" si="11"/>
        <v>8</v>
      </c>
      <c r="L575" s="36">
        <f>DAY(RESER3[[#This Row],[DATA]])</f>
        <v>16</v>
      </c>
      <c r="M575" s="36"/>
    </row>
    <row r="576" spans="1:13" x14ac:dyDescent="0.25">
      <c r="A576" s="36"/>
      <c r="B576" s="129" t="s">
        <v>10</v>
      </c>
      <c r="C576" s="128">
        <v>44424</v>
      </c>
      <c r="D576" s="36" t="s">
        <v>189</v>
      </c>
      <c r="E576" s="36" t="s">
        <v>222</v>
      </c>
      <c r="F576" s="36" t="s">
        <v>245</v>
      </c>
      <c r="G576" s="36" t="s">
        <v>465</v>
      </c>
      <c r="H576" s="36">
        <v>1</v>
      </c>
      <c r="I576" s="36" t="s">
        <v>179</v>
      </c>
      <c r="J576" s="36">
        <f>YEAR(RESER3[[#This Row],[DATA]])</f>
        <v>2021</v>
      </c>
      <c r="K576" s="36">
        <f t="shared" si="11"/>
        <v>8</v>
      </c>
      <c r="L576" s="36">
        <f>DAY(RESER3[[#This Row],[DATA]])</f>
        <v>16</v>
      </c>
      <c r="M576" s="36"/>
    </row>
    <row r="577" spans="1:13" x14ac:dyDescent="0.25">
      <c r="A577" s="36"/>
      <c r="B577" s="129" t="s">
        <v>5</v>
      </c>
      <c r="C577" s="128">
        <v>44424</v>
      </c>
      <c r="D577" s="36" t="s">
        <v>189</v>
      </c>
      <c r="E577" s="36" t="s">
        <v>222</v>
      </c>
      <c r="F577" s="36" t="s">
        <v>245</v>
      </c>
      <c r="G577" s="36" t="s">
        <v>465</v>
      </c>
      <c r="H577" s="36">
        <v>1</v>
      </c>
      <c r="I577" s="36" t="s">
        <v>179</v>
      </c>
      <c r="J577" s="36">
        <f>YEAR(RESER3[[#This Row],[DATA]])</f>
        <v>2021</v>
      </c>
      <c r="K577" s="36">
        <f t="shared" si="11"/>
        <v>8</v>
      </c>
      <c r="L577" s="36">
        <f>DAY(RESER3[[#This Row],[DATA]])</f>
        <v>16</v>
      </c>
      <c r="M577" s="36"/>
    </row>
    <row r="578" spans="1:13" x14ac:dyDescent="0.25">
      <c r="A578" s="36"/>
      <c r="B578" s="129" t="s">
        <v>7</v>
      </c>
      <c r="C578" s="128">
        <v>44424</v>
      </c>
      <c r="D578" s="36" t="s">
        <v>189</v>
      </c>
      <c r="E578" s="36" t="s">
        <v>222</v>
      </c>
      <c r="F578" s="36" t="s">
        <v>245</v>
      </c>
      <c r="G578" s="36" t="s">
        <v>465</v>
      </c>
      <c r="H578" s="36">
        <v>1</v>
      </c>
      <c r="I578" s="36" t="s">
        <v>179</v>
      </c>
      <c r="J578" s="36">
        <f>YEAR(RESER3[[#This Row],[DATA]])</f>
        <v>2021</v>
      </c>
      <c r="K578" s="36">
        <f t="shared" si="11"/>
        <v>8</v>
      </c>
      <c r="L578" s="36">
        <f>DAY(RESER3[[#This Row],[DATA]])</f>
        <v>16</v>
      </c>
      <c r="M578" s="36"/>
    </row>
    <row r="579" spans="1:13" x14ac:dyDescent="0.25">
      <c r="A579" s="36"/>
      <c r="B579" s="129" t="s">
        <v>6</v>
      </c>
      <c r="C579" s="128">
        <v>44424</v>
      </c>
      <c r="D579" s="36" t="s">
        <v>189</v>
      </c>
      <c r="E579" s="36" t="s">
        <v>462</v>
      </c>
      <c r="F579" s="36" t="s">
        <v>194</v>
      </c>
      <c r="G579" s="36" t="s">
        <v>460</v>
      </c>
      <c r="H579" s="36">
        <v>1</v>
      </c>
      <c r="I579" s="36" t="s">
        <v>179</v>
      </c>
      <c r="J579" s="36">
        <f>YEAR(RESER3[[#This Row],[DATA]])</f>
        <v>2021</v>
      </c>
      <c r="K579" s="36">
        <f t="shared" ref="K579:K642" si="12">MONTH(C579)</f>
        <v>8</v>
      </c>
      <c r="L579" s="36">
        <f>DAY(RESER3[[#This Row],[DATA]])</f>
        <v>16</v>
      </c>
      <c r="M579" s="36"/>
    </row>
    <row r="580" spans="1:13" x14ac:dyDescent="0.25">
      <c r="A580" s="36"/>
      <c r="B580" s="129" t="s">
        <v>4</v>
      </c>
      <c r="C580" s="128">
        <v>44425</v>
      </c>
      <c r="D580" s="36" t="s">
        <v>189</v>
      </c>
      <c r="E580" s="36" t="s">
        <v>462</v>
      </c>
      <c r="F580" s="36" t="s">
        <v>194</v>
      </c>
      <c r="G580" s="36" t="s">
        <v>460</v>
      </c>
      <c r="H580" s="36">
        <v>1</v>
      </c>
      <c r="I580" s="36" t="s">
        <v>179</v>
      </c>
      <c r="J580" s="36">
        <f>YEAR(RESER3[[#This Row],[DATA]])</f>
        <v>2021</v>
      </c>
      <c r="K580" s="36">
        <f t="shared" si="12"/>
        <v>8</v>
      </c>
      <c r="L580" s="36">
        <f>DAY(RESER3[[#This Row],[DATA]])</f>
        <v>17</v>
      </c>
      <c r="M580" s="36"/>
    </row>
    <row r="581" spans="1:13" x14ac:dyDescent="0.25">
      <c r="A581" s="36"/>
      <c r="B581" s="129" t="s">
        <v>10</v>
      </c>
      <c r="C581" s="128">
        <v>44425</v>
      </c>
      <c r="D581" s="36" t="s">
        <v>189</v>
      </c>
      <c r="E581" s="36" t="s">
        <v>222</v>
      </c>
      <c r="F581" s="36" t="s">
        <v>194</v>
      </c>
      <c r="G581" s="36" t="s">
        <v>460</v>
      </c>
      <c r="H581" s="36">
        <v>1</v>
      </c>
      <c r="I581" s="36" t="s">
        <v>179</v>
      </c>
      <c r="J581" s="36">
        <f>YEAR(RESER3[[#This Row],[DATA]])</f>
        <v>2021</v>
      </c>
      <c r="K581" s="36">
        <f t="shared" si="12"/>
        <v>8</v>
      </c>
      <c r="L581" s="36">
        <f>DAY(RESER3[[#This Row],[DATA]])</f>
        <v>17</v>
      </c>
      <c r="M581" s="36"/>
    </row>
    <row r="582" spans="1:13" x14ac:dyDescent="0.25">
      <c r="A582" s="36"/>
      <c r="B582" s="129" t="s">
        <v>40</v>
      </c>
      <c r="C582" s="128">
        <v>44425</v>
      </c>
      <c r="D582" s="36" t="s">
        <v>189</v>
      </c>
      <c r="E582" s="36" t="s">
        <v>462</v>
      </c>
      <c r="F582" s="36" t="s">
        <v>228</v>
      </c>
      <c r="G582" s="36" t="s">
        <v>468</v>
      </c>
      <c r="H582" s="36">
        <v>1</v>
      </c>
      <c r="I582" s="36" t="s">
        <v>179</v>
      </c>
      <c r="J582" s="36">
        <f>YEAR(RESER3[[#This Row],[DATA]])</f>
        <v>2021</v>
      </c>
      <c r="K582" s="36">
        <f t="shared" si="12"/>
        <v>8</v>
      </c>
      <c r="L582" s="36">
        <f>DAY(RESER3[[#This Row],[DATA]])</f>
        <v>17</v>
      </c>
      <c r="M582" s="36"/>
    </row>
    <row r="583" spans="1:13" x14ac:dyDescent="0.25">
      <c r="A583" s="36"/>
      <c r="B583" s="129" t="s">
        <v>7</v>
      </c>
      <c r="C583" s="128">
        <v>44425</v>
      </c>
      <c r="D583" s="36" t="s">
        <v>189</v>
      </c>
      <c r="E583" s="36" t="s">
        <v>462</v>
      </c>
      <c r="F583" s="36" t="s">
        <v>194</v>
      </c>
      <c r="G583" s="36" t="s">
        <v>460</v>
      </c>
      <c r="H583" s="36">
        <v>1</v>
      </c>
      <c r="I583" s="36" t="s">
        <v>179</v>
      </c>
      <c r="J583" s="36">
        <f>YEAR(RESER3[[#This Row],[DATA]])</f>
        <v>2021</v>
      </c>
      <c r="K583" s="36">
        <f t="shared" si="12"/>
        <v>8</v>
      </c>
      <c r="L583" s="36">
        <f>DAY(RESER3[[#This Row],[DATA]])</f>
        <v>17</v>
      </c>
      <c r="M583" s="36"/>
    </row>
    <row r="584" spans="1:13" x14ac:dyDescent="0.25">
      <c r="A584" s="36"/>
      <c r="B584" s="129" t="s">
        <v>20</v>
      </c>
      <c r="C584" s="128">
        <v>44425</v>
      </c>
      <c r="D584" s="36" t="s">
        <v>189</v>
      </c>
      <c r="E584" s="36" t="s">
        <v>222</v>
      </c>
      <c r="F584" s="36" t="s">
        <v>194</v>
      </c>
      <c r="G584" s="36" t="s">
        <v>460</v>
      </c>
      <c r="H584" s="36">
        <v>1</v>
      </c>
      <c r="I584" s="36" t="s">
        <v>179</v>
      </c>
      <c r="J584" s="36">
        <f>YEAR(RESER3[[#This Row],[DATA]])</f>
        <v>2021</v>
      </c>
      <c r="K584" s="36">
        <f t="shared" si="12"/>
        <v>8</v>
      </c>
      <c r="L584" s="36">
        <f>DAY(RESER3[[#This Row],[DATA]])</f>
        <v>17</v>
      </c>
      <c r="M584" s="36"/>
    </row>
    <row r="585" spans="1:13" x14ac:dyDescent="0.25">
      <c r="A585" s="36"/>
      <c r="B585" s="129" t="s">
        <v>20</v>
      </c>
      <c r="C585" s="128">
        <v>44425</v>
      </c>
      <c r="D585" s="36" t="s">
        <v>189</v>
      </c>
      <c r="E585" s="36" t="s">
        <v>462</v>
      </c>
      <c r="F585" s="36" t="s">
        <v>191</v>
      </c>
      <c r="G585" s="36" t="s">
        <v>191</v>
      </c>
      <c r="H585" s="36">
        <v>1</v>
      </c>
      <c r="I585" s="36" t="s">
        <v>179</v>
      </c>
      <c r="J585" s="36">
        <f>YEAR(RESER3[[#This Row],[DATA]])</f>
        <v>2021</v>
      </c>
      <c r="K585" s="36">
        <f t="shared" si="12"/>
        <v>8</v>
      </c>
      <c r="L585" s="36">
        <f>DAY(RESER3[[#This Row],[DATA]])</f>
        <v>17</v>
      </c>
      <c r="M585" s="36"/>
    </row>
    <row r="586" spans="1:13" x14ac:dyDescent="0.25">
      <c r="A586" s="36"/>
      <c r="B586" s="129" t="s">
        <v>40</v>
      </c>
      <c r="C586" s="128">
        <v>44426</v>
      </c>
      <c r="D586" s="36" t="s">
        <v>189</v>
      </c>
      <c r="E586" s="36" t="s">
        <v>222</v>
      </c>
      <c r="F586" s="36" t="s">
        <v>228</v>
      </c>
      <c r="G586" s="36" t="s">
        <v>468</v>
      </c>
      <c r="H586" s="36">
        <v>1</v>
      </c>
      <c r="I586" s="36" t="s">
        <v>179</v>
      </c>
      <c r="J586" s="36">
        <f>YEAR(RESER3[[#This Row],[DATA]])</f>
        <v>2021</v>
      </c>
      <c r="K586" s="36">
        <f t="shared" si="12"/>
        <v>8</v>
      </c>
      <c r="L586" s="36">
        <f>DAY(RESER3[[#This Row],[DATA]])</f>
        <v>18</v>
      </c>
      <c r="M586" s="36"/>
    </row>
    <row r="587" spans="1:13" x14ac:dyDescent="0.25">
      <c r="A587" s="36"/>
      <c r="B587" s="129" t="s">
        <v>10</v>
      </c>
      <c r="C587" s="128">
        <v>44426</v>
      </c>
      <c r="D587" s="36" t="s">
        <v>189</v>
      </c>
      <c r="E587" s="36" t="s">
        <v>462</v>
      </c>
      <c r="F587" s="36" t="s">
        <v>194</v>
      </c>
      <c r="G587" s="36" t="s">
        <v>469</v>
      </c>
      <c r="H587" s="36">
        <v>1</v>
      </c>
      <c r="I587" s="36" t="s">
        <v>179</v>
      </c>
      <c r="J587" s="36">
        <f>YEAR(RESER3[[#This Row],[DATA]])</f>
        <v>2021</v>
      </c>
      <c r="K587" s="36">
        <f t="shared" si="12"/>
        <v>8</v>
      </c>
      <c r="L587" s="36">
        <f>DAY(RESER3[[#This Row],[DATA]])</f>
        <v>18</v>
      </c>
      <c r="M587" s="36"/>
    </row>
    <row r="588" spans="1:13" x14ac:dyDescent="0.25">
      <c r="A588" s="36"/>
      <c r="B588" s="129" t="s">
        <v>6</v>
      </c>
      <c r="C588" s="128">
        <v>44426</v>
      </c>
      <c r="D588" s="36" t="s">
        <v>189</v>
      </c>
      <c r="E588" s="36" t="s">
        <v>222</v>
      </c>
      <c r="F588" s="36" t="s">
        <v>191</v>
      </c>
      <c r="G588" s="36" t="s">
        <v>191</v>
      </c>
      <c r="H588" s="36">
        <v>1</v>
      </c>
      <c r="I588" s="36" t="s">
        <v>179</v>
      </c>
      <c r="J588" s="36">
        <f>YEAR(RESER3[[#This Row],[DATA]])</f>
        <v>2021</v>
      </c>
      <c r="K588" s="36">
        <f t="shared" si="12"/>
        <v>8</v>
      </c>
      <c r="L588" s="36">
        <f>DAY(RESER3[[#This Row],[DATA]])</f>
        <v>18</v>
      </c>
      <c r="M588" s="36"/>
    </row>
    <row r="589" spans="1:13" x14ac:dyDescent="0.25">
      <c r="A589" s="36"/>
      <c r="B589" s="129" t="s">
        <v>17</v>
      </c>
      <c r="C589" s="128">
        <v>44426</v>
      </c>
      <c r="D589" s="36" t="s">
        <v>189</v>
      </c>
      <c r="E589" s="36" t="s">
        <v>462</v>
      </c>
      <c r="F589" s="36" t="s">
        <v>228</v>
      </c>
      <c r="G589" s="36" t="s">
        <v>468</v>
      </c>
      <c r="H589" s="36">
        <v>1</v>
      </c>
      <c r="I589" s="36" t="s">
        <v>179</v>
      </c>
      <c r="J589" s="36">
        <f>YEAR(RESER3[[#This Row],[DATA]])</f>
        <v>2021</v>
      </c>
      <c r="K589" s="36">
        <f t="shared" si="12"/>
        <v>8</v>
      </c>
      <c r="L589" s="36">
        <f>DAY(RESER3[[#This Row],[DATA]])</f>
        <v>18</v>
      </c>
      <c r="M589" s="36"/>
    </row>
    <row r="590" spans="1:13" x14ac:dyDescent="0.25">
      <c r="A590" s="36"/>
      <c r="B590" s="129" t="s">
        <v>19</v>
      </c>
      <c r="C590" s="128">
        <v>44426</v>
      </c>
      <c r="D590" s="36" t="s">
        <v>189</v>
      </c>
      <c r="E590" s="36" t="s">
        <v>462</v>
      </c>
      <c r="F590" s="36" t="s">
        <v>191</v>
      </c>
      <c r="G590" s="36" t="s">
        <v>191</v>
      </c>
      <c r="H590" s="36">
        <v>1</v>
      </c>
      <c r="I590" s="36" t="s">
        <v>179</v>
      </c>
      <c r="J590" s="36">
        <f>YEAR(RESER3[[#This Row],[DATA]])</f>
        <v>2021</v>
      </c>
      <c r="K590" s="36">
        <f t="shared" si="12"/>
        <v>8</v>
      </c>
      <c r="L590" s="36">
        <f>DAY(RESER3[[#This Row],[DATA]])</f>
        <v>18</v>
      </c>
      <c r="M590" s="36"/>
    </row>
    <row r="591" spans="1:13" x14ac:dyDescent="0.25">
      <c r="A591" s="36"/>
      <c r="B591" s="129" t="s">
        <v>13</v>
      </c>
      <c r="C591" s="128">
        <v>44426</v>
      </c>
      <c r="D591" s="36" t="s">
        <v>189</v>
      </c>
      <c r="E591" s="36" t="s">
        <v>222</v>
      </c>
      <c r="F591" s="36" t="s">
        <v>191</v>
      </c>
      <c r="G591" s="36" t="s">
        <v>191</v>
      </c>
      <c r="H591" s="36">
        <v>1</v>
      </c>
      <c r="I591" s="36" t="s">
        <v>179</v>
      </c>
      <c r="J591" s="36">
        <f>YEAR(RESER3[[#This Row],[DATA]])</f>
        <v>2021</v>
      </c>
      <c r="K591" s="36">
        <f t="shared" si="12"/>
        <v>8</v>
      </c>
      <c r="L591" s="36">
        <f>DAY(RESER3[[#This Row],[DATA]])</f>
        <v>18</v>
      </c>
      <c r="M591" s="36"/>
    </row>
    <row r="592" spans="1:13" x14ac:dyDescent="0.25">
      <c r="A592" s="36"/>
      <c r="B592" s="129" t="s">
        <v>98</v>
      </c>
      <c r="C592" s="128">
        <v>44427</v>
      </c>
      <c r="D592" s="36" t="s">
        <v>189</v>
      </c>
      <c r="E592" s="36" t="s">
        <v>222</v>
      </c>
      <c r="F592" s="36" t="s">
        <v>191</v>
      </c>
      <c r="G592" s="36" t="s">
        <v>191</v>
      </c>
      <c r="H592" s="36">
        <v>1</v>
      </c>
      <c r="I592" s="36" t="s">
        <v>179</v>
      </c>
      <c r="J592" s="36">
        <f>YEAR(RESER3[[#This Row],[DATA]])</f>
        <v>2021</v>
      </c>
      <c r="K592" s="36">
        <f t="shared" si="12"/>
        <v>8</v>
      </c>
      <c r="L592" s="36">
        <f>DAY(RESER3[[#This Row],[DATA]])</f>
        <v>19</v>
      </c>
      <c r="M592" s="36"/>
    </row>
    <row r="593" spans="1:13" x14ac:dyDescent="0.25">
      <c r="A593" s="36"/>
      <c r="B593" s="129" t="s">
        <v>14</v>
      </c>
      <c r="C593" s="128">
        <v>44427</v>
      </c>
      <c r="D593" s="36" t="s">
        <v>189</v>
      </c>
      <c r="E593" s="36" t="s">
        <v>462</v>
      </c>
      <c r="F593" s="36" t="s">
        <v>228</v>
      </c>
      <c r="G593" s="36" t="s">
        <v>468</v>
      </c>
      <c r="H593" s="36">
        <v>1</v>
      </c>
      <c r="I593" s="36" t="s">
        <v>179</v>
      </c>
      <c r="J593" s="36">
        <f>YEAR(RESER3[[#This Row],[DATA]])</f>
        <v>2021</v>
      </c>
      <c r="K593" s="36">
        <f t="shared" si="12"/>
        <v>8</v>
      </c>
      <c r="L593" s="36">
        <f>DAY(RESER3[[#This Row],[DATA]])</f>
        <v>19</v>
      </c>
      <c r="M593" s="36"/>
    </row>
    <row r="594" spans="1:13" x14ac:dyDescent="0.25">
      <c r="A594" s="36"/>
      <c r="B594" s="129" t="s">
        <v>16</v>
      </c>
      <c r="C594" s="128">
        <v>44427</v>
      </c>
      <c r="D594" s="36" t="s">
        <v>189</v>
      </c>
      <c r="E594" s="36" t="s">
        <v>462</v>
      </c>
      <c r="F594" s="36" t="s">
        <v>228</v>
      </c>
      <c r="G594" s="36" t="s">
        <v>468</v>
      </c>
      <c r="H594" s="36">
        <v>1</v>
      </c>
      <c r="I594" s="36" t="s">
        <v>179</v>
      </c>
      <c r="J594" s="36">
        <f>YEAR(RESER3[[#This Row],[DATA]])</f>
        <v>2021</v>
      </c>
      <c r="K594" s="36">
        <f t="shared" si="12"/>
        <v>8</v>
      </c>
      <c r="L594" s="36">
        <f>DAY(RESER3[[#This Row],[DATA]])</f>
        <v>19</v>
      </c>
      <c r="M594" s="36"/>
    </row>
    <row r="595" spans="1:13" x14ac:dyDescent="0.25">
      <c r="A595" s="36"/>
      <c r="B595" s="129" t="s">
        <v>20</v>
      </c>
      <c r="C595" s="128">
        <v>44427</v>
      </c>
      <c r="D595" s="36" t="s">
        <v>189</v>
      </c>
      <c r="E595" s="36" t="s">
        <v>222</v>
      </c>
      <c r="F595" s="36" t="s">
        <v>470</v>
      </c>
      <c r="G595" s="36" t="s">
        <v>471</v>
      </c>
      <c r="H595" s="36">
        <v>1</v>
      </c>
      <c r="I595" s="36" t="s">
        <v>179</v>
      </c>
      <c r="J595" s="36">
        <f>YEAR(RESER3[[#This Row],[DATA]])</f>
        <v>2021</v>
      </c>
      <c r="K595" s="36">
        <f t="shared" si="12"/>
        <v>8</v>
      </c>
      <c r="L595" s="36">
        <f>DAY(RESER3[[#This Row],[DATA]])</f>
        <v>19</v>
      </c>
      <c r="M595" s="36"/>
    </row>
    <row r="596" spans="1:13" x14ac:dyDescent="0.25">
      <c r="A596" s="36"/>
      <c r="B596" s="129" t="s">
        <v>14</v>
      </c>
      <c r="C596" s="128">
        <v>44427</v>
      </c>
      <c r="D596" s="36" t="s">
        <v>189</v>
      </c>
      <c r="E596" s="36" t="s">
        <v>222</v>
      </c>
      <c r="F596" s="36" t="s">
        <v>228</v>
      </c>
      <c r="G596" s="36" t="s">
        <v>468</v>
      </c>
      <c r="H596" s="36">
        <v>1</v>
      </c>
      <c r="I596" s="36" t="s">
        <v>179</v>
      </c>
      <c r="J596" s="36">
        <f>YEAR(RESER3[[#This Row],[DATA]])</f>
        <v>2021</v>
      </c>
      <c r="K596" s="36">
        <f t="shared" si="12"/>
        <v>8</v>
      </c>
      <c r="L596" s="36">
        <f>DAY(RESER3[[#This Row],[DATA]])</f>
        <v>19</v>
      </c>
      <c r="M596" s="36"/>
    </row>
    <row r="597" spans="1:13" x14ac:dyDescent="0.25">
      <c r="A597" s="36"/>
      <c r="B597" s="129" t="s">
        <v>22</v>
      </c>
      <c r="C597" s="128">
        <v>44427</v>
      </c>
      <c r="D597" s="36" t="s">
        <v>189</v>
      </c>
      <c r="E597" s="36" t="s">
        <v>462</v>
      </c>
      <c r="F597" s="36" t="s">
        <v>191</v>
      </c>
      <c r="G597" s="36" t="s">
        <v>191</v>
      </c>
      <c r="H597" s="36">
        <v>1</v>
      </c>
      <c r="I597" s="36" t="s">
        <v>179</v>
      </c>
      <c r="J597" s="36">
        <f>YEAR(RESER3[[#This Row],[DATA]])</f>
        <v>2021</v>
      </c>
      <c r="K597" s="36">
        <f t="shared" si="12"/>
        <v>8</v>
      </c>
      <c r="L597" s="36">
        <f>DAY(RESER3[[#This Row],[DATA]])</f>
        <v>19</v>
      </c>
      <c r="M597" s="36"/>
    </row>
    <row r="598" spans="1:13" x14ac:dyDescent="0.25">
      <c r="A598" s="36"/>
      <c r="B598" s="129" t="s">
        <v>21</v>
      </c>
      <c r="C598" s="128">
        <v>44428</v>
      </c>
      <c r="D598" s="36" t="s">
        <v>189</v>
      </c>
      <c r="E598" s="36" t="s">
        <v>222</v>
      </c>
      <c r="F598" s="36" t="s">
        <v>472</v>
      </c>
      <c r="G598" s="36" t="s">
        <v>347</v>
      </c>
      <c r="H598" s="36">
        <v>1</v>
      </c>
      <c r="I598" s="36" t="s">
        <v>179</v>
      </c>
      <c r="J598" s="36">
        <f>YEAR(RESER3[[#This Row],[DATA]])</f>
        <v>2021</v>
      </c>
      <c r="K598" s="36">
        <f t="shared" si="12"/>
        <v>8</v>
      </c>
      <c r="L598" s="36">
        <f>DAY(RESER3[[#This Row],[DATA]])</f>
        <v>20</v>
      </c>
      <c r="M598" s="36"/>
    </row>
    <row r="599" spans="1:13" x14ac:dyDescent="0.25">
      <c r="A599" s="36"/>
      <c r="B599" s="129" t="s">
        <v>14</v>
      </c>
      <c r="C599" s="128">
        <v>44428</v>
      </c>
      <c r="D599" s="36" t="s">
        <v>189</v>
      </c>
      <c r="E599" s="36" t="s">
        <v>462</v>
      </c>
      <c r="F599" s="36" t="s">
        <v>228</v>
      </c>
      <c r="G599" s="36" t="s">
        <v>468</v>
      </c>
      <c r="H599" s="36">
        <v>1</v>
      </c>
      <c r="I599" s="36" t="s">
        <v>179</v>
      </c>
      <c r="J599" s="36">
        <f>YEAR(RESER3[[#This Row],[DATA]])</f>
        <v>2021</v>
      </c>
      <c r="K599" s="36">
        <f t="shared" si="12"/>
        <v>8</v>
      </c>
      <c r="L599" s="36">
        <f>DAY(RESER3[[#This Row],[DATA]])</f>
        <v>20</v>
      </c>
      <c r="M599" s="36"/>
    </row>
    <row r="600" spans="1:13" x14ac:dyDescent="0.25">
      <c r="A600" s="36"/>
      <c r="B600" s="129" t="s">
        <v>40</v>
      </c>
      <c r="C600" s="128">
        <v>44428</v>
      </c>
      <c r="D600" s="36" t="s">
        <v>189</v>
      </c>
      <c r="E600" s="36" t="s">
        <v>222</v>
      </c>
      <c r="F600" s="36" t="s">
        <v>194</v>
      </c>
      <c r="G600" s="36" t="s">
        <v>473</v>
      </c>
      <c r="H600" s="36">
        <v>1</v>
      </c>
      <c r="I600" s="36" t="s">
        <v>179</v>
      </c>
      <c r="J600" s="36">
        <f>YEAR(RESER3[[#This Row],[DATA]])</f>
        <v>2021</v>
      </c>
      <c r="K600" s="36">
        <f t="shared" si="12"/>
        <v>8</v>
      </c>
      <c r="L600" s="36">
        <f>DAY(RESER3[[#This Row],[DATA]])</f>
        <v>20</v>
      </c>
      <c r="M600" s="36"/>
    </row>
    <row r="601" spans="1:13" x14ac:dyDescent="0.25">
      <c r="A601" s="36"/>
      <c r="B601" s="129" t="s">
        <v>8</v>
      </c>
      <c r="C601" s="128">
        <v>44431</v>
      </c>
      <c r="D601" s="36" t="s">
        <v>189</v>
      </c>
      <c r="E601" s="36" t="s">
        <v>222</v>
      </c>
      <c r="F601" s="36" t="s">
        <v>245</v>
      </c>
      <c r="G601" s="36" t="s">
        <v>474</v>
      </c>
      <c r="H601" s="36">
        <v>1</v>
      </c>
      <c r="I601" s="36" t="s">
        <v>179</v>
      </c>
      <c r="J601" s="36">
        <f>YEAR(RESER3[[#This Row],[DATA]])</f>
        <v>2021</v>
      </c>
      <c r="K601" s="36">
        <f t="shared" si="12"/>
        <v>8</v>
      </c>
      <c r="L601" s="36">
        <f>DAY(RESER3[[#This Row],[DATA]])</f>
        <v>23</v>
      </c>
      <c r="M601" s="36"/>
    </row>
    <row r="602" spans="1:13" x14ac:dyDescent="0.25">
      <c r="A602" s="36"/>
      <c r="B602" s="129" t="s">
        <v>10</v>
      </c>
      <c r="C602" s="128">
        <v>44431</v>
      </c>
      <c r="D602" s="36" t="s">
        <v>189</v>
      </c>
      <c r="E602" s="36" t="s">
        <v>462</v>
      </c>
      <c r="F602" s="36" t="s">
        <v>194</v>
      </c>
      <c r="G602" s="36" t="s">
        <v>473</v>
      </c>
      <c r="H602" s="36">
        <v>1</v>
      </c>
      <c r="I602" s="36" t="s">
        <v>179</v>
      </c>
      <c r="J602" s="36">
        <f>YEAR(RESER3[[#This Row],[DATA]])</f>
        <v>2021</v>
      </c>
      <c r="K602" s="36">
        <f t="shared" si="12"/>
        <v>8</v>
      </c>
      <c r="L602" s="36">
        <f>DAY(RESER3[[#This Row],[DATA]])</f>
        <v>23</v>
      </c>
      <c r="M602" s="36"/>
    </row>
    <row r="603" spans="1:13" x14ac:dyDescent="0.25">
      <c r="A603" s="36"/>
      <c r="B603" s="129" t="s">
        <v>7</v>
      </c>
      <c r="C603" s="128">
        <v>44431</v>
      </c>
      <c r="D603" s="36" t="s">
        <v>189</v>
      </c>
      <c r="E603" s="36" t="s">
        <v>462</v>
      </c>
      <c r="F603" s="36" t="s">
        <v>194</v>
      </c>
      <c r="G603" s="36" t="s">
        <v>475</v>
      </c>
      <c r="H603" s="36">
        <v>1</v>
      </c>
      <c r="I603" s="36" t="s">
        <v>179</v>
      </c>
      <c r="J603" s="36">
        <f>YEAR(RESER3[[#This Row],[DATA]])</f>
        <v>2021</v>
      </c>
      <c r="K603" s="36">
        <f t="shared" si="12"/>
        <v>8</v>
      </c>
      <c r="L603" s="36">
        <f>DAY(RESER3[[#This Row],[DATA]])</f>
        <v>23</v>
      </c>
      <c r="M603" s="36"/>
    </row>
    <row r="604" spans="1:13" x14ac:dyDescent="0.25">
      <c r="A604" s="36"/>
      <c r="B604" s="129" t="s">
        <v>14</v>
      </c>
      <c r="C604" s="128">
        <v>44431</v>
      </c>
      <c r="D604" s="36" t="s">
        <v>189</v>
      </c>
      <c r="E604" s="36" t="s">
        <v>222</v>
      </c>
      <c r="F604" s="36" t="s">
        <v>228</v>
      </c>
      <c r="G604" s="36" t="s">
        <v>468</v>
      </c>
      <c r="H604" s="36">
        <v>1</v>
      </c>
      <c r="I604" s="36" t="s">
        <v>179</v>
      </c>
      <c r="J604" s="36">
        <f>YEAR(RESER3[[#This Row],[DATA]])</f>
        <v>2021</v>
      </c>
      <c r="K604" s="36">
        <f t="shared" si="12"/>
        <v>8</v>
      </c>
      <c r="L604" s="36">
        <f>DAY(RESER3[[#This Row],[DATA]])</f>
        <v>23</v>
      </c>
      <c r="M604" s="36"/>
    </row>
    <row r="605" spans="1:13" x14ac:dyDescent="0.25">
      <c r="A605" s="36"/>
      <c r="B605" s="129" t="s">
        <v>14</v>
      </c>
      <c r="C605" s="128">
        <v>44431</v>
      </c>
      <c r="D605" s="36" t="s">
        <v>189</v>
      </c>
      <c r="E605" s="36" t="s">
        <v>462</v>
      </c>
      <c r="F605" s="36" t="s">
        <v>194</v>
      </c>
      <c r="G605" s="36" t="s">
        <v>473</v>
      </c>
      <c r="H605" s="36">
        <v>1</v>
      </c>
      <c r="I605" s="36" t="s">
        <v>179</v>
      </c>
      <c r="J605" s="36">
        <f>YEAR(RESER3[[#This Row],[DATA]])</f>
        <v>2021</v>
      </c>
      <c r="K605" s="36">
        <f t="shared" si="12"/>
        <v>8</v>
      </c>
      <c r="L605" s="36">
        <f>DAY(RESER3[[#This Row],[DATA]])</f>
        <v>23</v>
      </c>
      <c r="M605" s="36"/>
    </row>
    <row r="606" spans="1:13" x14ac:dyDescent="0.25">
      <c r="A606" s="36"/>
      <c r="B606" s="129" t="s">
        <v>20</v>
      </c>
      <c r="C606" s="128">
        <v>44431</v>
      </c>
      <c r="D606" s="36" t="s">
        <v>189</v>
      </c>
      <c r="E606" s="36" t="s">
        <v>222</v>
      </c>
      <c r="F606" s="36" t="s">
        <v>228</v>
      </c>
      <c r="G606" s="36" t="s">
        <v>468</v>
      </c>
      <c r="H606" s="36">
        <v>1</v>
      </c>
      <c r="I606" s="36" t="s">
        <v>179</v>
      </c>
      <c r="J606" s="36">
        <f>YEAR(RESER3[[#This Row],[DATA]])</f>
        <v>2021</v>
      </c>
      <c r="K606" s="36">
        <f t="shared" si="12"/>
        <v>8</v>
      </c>
      <c r="L606" s="36">
        <f>DAY(RESER3[[#This Row],[DATA]])</f>
        <v>23</v>
      </c>
      <c r="M606" s="36"/>
    </row>
    <row r="607" spans="1:13" x14ac:dyDescent="0.25">
      <c r="A607" s="36"/>
      <c r="B607" s="129" t="s">
        <v>16</v>
      </c>
      <c r="C607" s="128">
        <v>44432</v>
      </c>
      <c r="D607" s="36" t="s">
        <v>189</v>
      </c>
      <c r="E607" s="36" t="s">
        <v>222</v>
      </c>
      <c r="F607" s="36" t="s">
        <v>228</v>
      </c>
      <c r="G607" s="36" t="s">
        <v>468</v>
      </c>
      <c r="H607" s="36">
        <v>1</v>
      </c>
      <c r="I607" s="36" t="s">
        <v>179</v>
      </c>
      <c r="J607" s="36">
        <f>YEAR(RESER3[[#This Row],[DATA]])</f>
        <v>2021</v>
      </c>
      <c r="K607" s="36">
        <f t="shared" si="12"/>
        <v>8</v>
      </c>
      <c r="L607" s="36">
        <f>DAY(RESER3[[#This Row],[DATA]])</f>
        <v>24</v>
      </c>
      <c r="M607" s="36"/>
    </row>
    <row r="608" spans="1:13" x14ac:dyDescent="0.25">
      <c r="A608" s="36"/>
      <c r="B608" s="129" t="s">
        <v>10</v>
      </c>
      <c r="C608" s="128">
        <v>44432</v>
      </c>
      <c r="D608" s="36" t="s">
        <v>189</v>
      </c>
      <c r="E608" s="36" t="s">
        <v>462</v>
      </c>
      <c r="F608" s="36" t="s">
        <v>194</v>
      </c>
      <c r="G608" s="36" t="s">
        <v>473</v>
      </c>
      <c r="H608" s="36">
        <v>1</v>
      </c>
      <c r="I608" s="36" t="s">
        <v>179</v>
      </c>
      <c r="J608" s="36">
        <f>YEAR(RESER3[[#This Row],[DATA]])</f>
        <v>2021</v>
      </c>
      <c r="K608" s="36">
        <f t="shared" si="12"/>
        <v>8</v>
      </c>
      <c r="L608" s="36">
        <f>DAY(RESER3[[#This Row],[DATA]])</f>
        <v>24</v>
      </c>
      <c r="M608" s="36"/>
    </row>
    <row r="609" spans="1:13" x14ac:dyDescent="0.25">
      <c r="A609" s="36"/>
      <c r="B609" s="129" t="s">
        <v>7</v>
      </c>
      <c r="C609" s="128">
        <v>44432</v>
      </c>
      <c r="D609" s="36" t="s">
        <v>189</v>
      </c>
      <c r="E609" s="36" t="s">
        <v>462</v>
      </c>
      <c r="F609" s="36" t="s">
        <v>194</v>
      </c>
      <c r="G609" s="36" t="s">
        <v>473</v>
      </c>
      <c r="H609" s="36">
        <v>1</v>
      </c>
      <c r="I609" s="36" t="s">
        <v>179</v>
      </c>
      <c r="J609" s="36">
        <f>YEAR(RESER3[[#This Row],[DATA]])</f>
        <v>2021</v>
      </c>
      <c r="K609" s="36">
        <f t="shared" si="12"/>
        <v>8</v>
      </c>
      <c r="L609" s="36">
        <f>DAY(RESER3[[#This Row],[DATA]])</f>
        <v>24</v>
      </c>
      <c r="M609" s="36"/>
    </row>
    <row r="610" spans="1:13" x14ac:dyDescent="0.25">
      <c r="A610" s="36"/>
      <c r="B610" s="129" t="s">
        <v>4</v>
      </c>
      <c r="C610" s="128">
        <v>44432</v>
      </c>
      <c r="D610" s="36" t="s">
        <v>189</v>
      </c>
      <c r="E610" s="36" t="s">
        <v>222</v>
      </c>
      <c r="F610" s="36" t="s">
        <v>196</v>
      </c>
      <c r="G610" s="36" t="s">
        <v>466</v>
      </c>
      <c r="H610" s="36">
        <v>1</v>
      </c>
      <c r="I610" s="36" t="s">
        <v>179</v>
      </c>
      <c r="J610" s="36">
        <f>YEAR(RESER3[[#This Row],[DATA]])</f>
        <v>2021</v>
      </c>
      <c r="K610" s="36">
        <f t="shared" si="12"/>
        <v>8</v>
      </c>
      <c r="L610" s="36">
        <f>DAY(RESER3[[#This Row],[DATA]])</f>
        <v>24</v>
      </c>
      <c r="M610" s="36"/>
    </row>
    <row r="611" spans="1:13" x14ac:dyDescent="0.25">
      <c r="A611" s="36"/>
      <c r="B611" s="129" t="s">
        <v>14</v>
      </c>
      <c r="C611" s="128">
        <v>44433</v>
      </c>
      <c r="D611" s="36" t="s">
        <v>189</v>
      </c>
      <c r="E611" s="36" t="s">
        <v>222</v>
      </c>
      <c r="F611" s="36" t="s">
        <v>196</v>
      </c>
      <c r="G611" s="36" t="s">
        <v>466</v>
      </c>
      <c r="H611" s="36">
        <v>1</v>
      </c>
      <c r="I611" s="36" t="s">
        <v>179</v>
      </c>
      <c r="J611" s="36">
        <f>YEAR(RESER3[[#This Row],[DATA]])</f>
        <v>2021</v>
      </c>
      <c r="K611" s="36">
        <f t="shared" si="12"/>
        <v>8</v>
      </c>
      <c r="L611" s="36">
        <f>DAY(RESER3[[#This Row],[DATA]])</f>
        <v>25</v>
      </c>
      <c r="M611" s="36"/>
    </row>
    <row r="612" spans="1:13" x14ac:dyDescent="0.25">
      <c r="A612" s="36"/>
      <c r="B612" s="129" t="s">
        <v>16</v>
      </c>
      <c r="C612" s="128">
        <v>44433</v>
      </c>
      <c r="D612" s="36" t="s">
        <v>189</v>
      </c>
      <c r="E612" s="36" t="s">
        <v>462</v>
      </c>
      <c r="F612" s="36" t="s">
        <v>191</v>
      </c>
      <c r="G612" s="36" t="s">
        <v>191</v>
      </c>
      <c r="H612" s="36">
        <v>1</v>
      </c>
      <c r="I612" s="36" t="s">
        <v>179</v>
      </c>
      <c r="J612" s="36">
        <f>YEAR(RESER3[[#This Row],[DATA]])</f>
        <v>2021</v>
      </c>
      <c r="K612" s="36">
        <f t="shared" si="12"/>
        <v>8</v>
      </c>
      <c r="L612" s="36">
        <f>DAY(RESER3[[#This Row],[DATA]])</f>
        <v>25</v>
      </c>
      <c r="M612" s="36"/>
    </row>
    <row r="613" spans="1:13" x14ac:dyDescent="0.25">
      <c r="A613" s="36"/>
      <c r="B613" s="129" t="s">
        <v>7</v>
      </c>
      <c r="C613" s="128">
        <v>44433</v>
      </c>
      <c r="D613" s="36" t="s">
        <v>189</v>
      </c>
      <c r="E613" s="36" t="s">
        <v>462</v>
      </c>
      <c r="F613" s="36" t="s">
        <v>194</v>
      </c>
      <c r="G613" s="36" t="s">
        <v>473</v>
      </c>
      <c r="H613" s="36">
        <v>1</v>
      </c>
      <c r="I613" s="36" t="s">
        <v>179</v>
      </c>
      <c r="J613" s="36">
        <f>YEAR(RESER3[[#This Row],[DATA]])</f>
        <v>2021</v>
      </c>
      <c r="K613" s="36">
        <f t="shared" si="12"/>
        <v>8</v>
      </c>
      <c r="L613" s="36">
        <f>DAY(RESER3[[#This Row],[DATA]])</f>
        <v>25</v>
      </c>
      <c r="M613" s="36"/>
    </row>
    <row r="614" spans="1:13" x14ac:dyDescent="0.25">
      <c r="A614" s="36"/>
      <c r="B614" s="129" t="s">
        <v>14</v>
      </c>
      <c r="C614" s="128">
        <v>44434</v>
      </c>
      <c r="D614" s="36" t="s">
        <v>189</v>
      </c>
      <c r="E614" s="36" t="s">
        <v>462</v>
      </c>
      <c r="F614" s="36" t="s">
        <v>228</v>
      </c>
      <c r="G614" s="36" t="s">
        <v>468</v>
      </c>
      <c r="H614" s="36">
        <v>1</v>
      </c>
      <c r="I614" s="36" t="s">
        <v>179</v>
      </c>
      <c r="J614" s="36">
        <f>YEAR(RESER3[[#This Row],[DATA]])</f>
        <v>2021</v>
      </c>
      <c r="K614" s="36">
        <f t="shared" si="12"/>
        <v>8</v>
      </c>
      <c r="L614" s="36">
        <f>DAY(RESER3[[#This Row],[DATA]])</f>
        <v>26</v>
      </c>
      <c r="M614" s="36"/>
    </row>
    <row r="615" spans="1:13" x14ac:dyDescent="0.25">
      <c r="A615" s="36"/>
      <c r="B615" s="129" t="s">
        <v>22</v>
      </c>
      <c r="C615" s="128">
        <v>44434</v>
      </c>
      <c r="D615" s="36" t="s">
        <v>189</v>
      </c>
      <c r="E615" s="36" t="s">
        <v>222</v>
      </c>
      <c r="F615" s="36" t="s">
        <v>245</v>
      </c>
      <c r="G615" s="36" t="s">
        <v>476</v>
      </c>
      <c r="H615" s="36">
        <v>1</v>
      </c>
      <c r="I615" s="36" t="s">
        <v>179</v>
      </c>
      <c r="J615" s="36">
        <f>YEAR(RESER3[[#This Row],[DATA]])</f>
        <v>2021</v>
      </c>
      <c r="K615" s="36">
        <f t="shared" si="12"/>
        <v>8</v>
      </c>
      <c r="L615" s="36">
        <f>DAY(RESER3[[#This Row],[DATA]])</f>
        <v>26</v>
      </c>
      <c r="M615" s="36"/>
    </row>
    <row r="616" spans="1:13" x14ac:dyDescent="0.25">
      <c r="A616" s="36"/>
      <c r="B616" s="129" t="s">
        <v>98</v>
      </c>
      <c r="C616" s="128">
        <v>44434</v>
      </c>
      <c r="D616" s="36" t="s">
        <v>189</v>
      </c>
      <c r="E616" s="36" t="s">
        <v>462</v>
      </c>
      <c r="F616" s="36" t="s">
        <v>191</v>
      </c>
      <c r="G616" s="36" t="s">
        <v>191</v>
      </c>
      <c r="H616" s="36">
        <v>1</v>
      </c>
      <c r="I616" s="36" t="s">
        <v>179</v>
      </c>
      <c r="J616" s="36">
        <f>YEAR(RESER3[[#This Row],[DATA]])</f>
        <v>2021</v>
      </c>
      <c r="K616" s="36">
        <f t="shared" si="12"/>
        <v>8</v>
      </c>
      <c r="L616" s="36">
        <f>DAY(RESER3[[#This Row],[DATA]])</f>
        <v>26</v>
      </c>
      <c r="M616" s="36"/>
    </row>
    <row r="617" spans="1:13" x14ac:dyDescent="0.25">
      <c r="A617" s="36"/>
      <c r="B617" s="129" t="s">
        <v>9</v>
      </c>
      <c r="C617" s="128">
        <v>44435</v>
      </c>
      <c r="D617" s="36" t="s">
        <v>189</v>
      </c>
      <c r="E617" s="36" t="s">
        <v>222</v>
      </c>
      <c r="F617" s="36" t="s">
        <v>194</v>
      </c>
      <c r="G617" s="36" t="s">
        <v>473</v>
      </c>
      <c r="H617" s="36">
        <v>1</v>
      </c>
      <c r="I617" s="36" t="s">
        <v>179</v>
      </c>
      <c r="J617" s="36">
        <f>YEAR(RESER3[[#This Row],[DATA]])</f>
        <v>2021</v>
      </c>
      <c r="K617" s="36">
        <f t="shared" si="12"/>
        <v>8</v>
      </c>
      <c r="L617" s="36">
        <f>DAY(RESER3[[#This Row],[DATA]])</f>
        <v>27</v>
      </c>
      <c r="M617" s="36"/>
    </row>
    <row r="618" spans="1:13" x14ac:dyDescent="0.25">
      <c r="A618" s="36"/>
      <c r="B618" s="129" t="s">
        <v>14</v>
      </c>
      <c r="C618" s="128">
        <v>44438</v>
      </c>
      <c r="D618" s="36" t="s">
        <v>189</v>
      </c>
      <c r="E618" s="36" t="s">
        <v>462</v>
      </c>
      <c r="F618" s="36" t="s">
        <v>228</v>
      </c>
      <c r="G618" s="36" t="s">
        <v>468</v>
      </c>
      <c r="H618" s="36">
        <v>1</v>
      </c>
      <c r="I618" s="36" t="s">
        <v>179</v>
      </c>
      <c r="J618" s="36">
        <f>YEAR(RESER3[[#This Row],[DATA]])</f>
        <v>2021</v>
      </c>
      <c r="K618" s="36">
        <f t="shared" si="12"/>
        <v>8</v>
      </c>
      <c r="L618" s="36">
        <f>DAY(RESER3[[#This Row],[DATA]])</f>
        <v>30</v>
      </c>
      <c r="M618" s="36"/>
    </row>
    <row r="619" spans="1:13" x14ac:dyDescent="0.25">
      <c r="A619" s="36"/>
      <c r="B619" s="129" t="s">
        <v>22</v>
      </c>
      <c r="C619" s="128">
        <v>44438</v>
      </c>
      <c r="D619" s="36" t="s">
        <v>189</v>
      </c>
      <c r="E619" s="36" t="s">
        <v>222</v>
      </c>
      <c r="F619" s="36" t="s">
        <v>191</v>
      </c>
      <c r="G619" s="36" t="s">
        <v>191</v>
      </c>
      <c r="H619" s="36">
        <v>1</v>
      </c>
      <c r="I619" s="36" t="s">
        <v>179</v>
      </c>
      <c r="J619" s="36">
        <f>YEAR(RESER3[[#This Row],[DATA]])</f>
        <v>2021</v>
      </c>
      <c r="K619" s="36">
        <f t="shared" si="12"/>
        <v>8</v>
      </c>
      <c r="L619" s="36">
        <f>DAY(RESER3[[#This Row],[DATA]])</f>
        <v>30</v>
      </c>
      <c r="M619" s="36"/>
    </row>
    <row r="620" spans="1:13" x14ac:dyDescent="0.25">
      <c r="A620" s="36"/>
      <c r="B620" s="129" t="s">
        <v>15</v>
      </c>
      <c r="C620" s="128">
        <v>44438</v>
      </c>
      <c r="D620" s="36" t="s">
        <v>189</v>
      </c>
      <c r="E620" s="36" t="s">
        <v>222</v>
      </c>
      <c r="F620" s="36" t="s">
        <v>265</v>
      </c>
      <c r="G620" s="36" t="s">
        <v>477</v>
      </c>
      <c r="H620" s="36">
        <v>1</v>
      </c>
      <c r="I620" s="36" t="s">
        <v>179</v>
      </c>
      <c r="J620" s="36">
        <f>YEAR(RESER3[[#This Row],[DATA]])</f>
        <v>2021</v>
      </c>
      <c r="K620" s="36">
        <f t="shared" si="12"/>
        <v>8</v>
      </c>
      <c r="L620" s="36">
        <f>DAY(RESER3[[#This Row],[DATA]])</f>
        <v>30</v>
      </c>
      <c r="M620" s="36"/>
    </row>
    <row r="621" spans="1:13" x14ac:dyDescent="0.25">
      <c r="A621" s="36"/>
      <c r="B621" s="129" t="s">
        <v>15</v>
      </c>
      <c r="C621" s="128">
        <v>44438</v>
      </c>
      <c r="D621" s="36" t="s">
        <v>189</v>
      </c>
      <c r="E621" s="36" t="s">
        <v>462</v>
      </c>
      <c r="F621" s="36" t="s">
        <v>194</v>
      </c>
      <c r="G621" s="36" t="s">
        <v>473</v>
      </c>
      <c r="H621" s="36">
        <v>1</v>
      </c>
      <c r="I621" s="36" t="s">
        <v>179</v>
      </c>
      <c r="J621" s="36">
        <f>YEAR(RESER3[[#This Row],[DATA]])</f>
        <v>2021</v>
      </c>
      <c r="K621" s="36">
        <f t="shared" si="12"/>
        <v>8</v>
      </c>
      <c r="L621" s="36">
        <f>DAY(RESER3[[#This Row],[DATA]])</f>
        <v>30</v>
      </c>
      <c r="M621" s="36"/>
    </row>
    <row r="622" spans="1:13" x14ac:dyDescent="0.25">
      <c r="A622" s="36"/>
      <c r="B622" s="129" t="s">
        <v>9</v>
      </c>
      <c r="C622" s="128">
        <v>44438</v>
      </c>
      <c r="D622" s="36" t="s">
        <v>189</v>
      </c>
      <c r="E622" s="36" t="s">
        <v>462</v>
      </c>
      <c r="F622" s="36" t="s">
        <v>194</v>
      </c>
      <c r="G622" s="36" t="s">
        <v>475</v>
      </c>
      <c r="H622" s="36">
        <v>1</v>
      </c>
      <c r="I622" s="36" t="s">
        <v>179</v>
      </c>
      <c r="J622" s="36">
        <f>YEAR(RESER3[[#This Row],[DATA]])</f>
        <v>2021</v>
      </c>
      <c r="K622" s="36">
        <f t="shared" si="12"/>
        <v>8</v>
      </c>
      <c r="L622" s="36">
        <f>DAY(RESER3[[#This Row],[DATA]])</f>
        <v>30</v>
      </c>
      <c r="M622" s="36"/>
    </row>
    <row r="623" spans="1:13" x14ac:dyDescent="0.25">
      <c r="A623" s="36"/>
      <c r="B623" s="129" t="s">
        <v>8</v>
      </c>
      <c r="C623" s="128">
        <v>44438</v>
      </c>
      <c r="D623" s="36" t="s">
        <v>189</v>
      </c>
      <c r="E623" s="36" t="s">
        <v>222</v>
      </c>
      <c r="F623" s="36" t="s">
        <v>194</v>
      </c>
      <c r="G623" s="36" t="s">
        <v>475</v>
      </c>
      <c r="H623" s="36">
        <v>1</v>
      </c>
      <c r="I623" s="36" t="s">
        <v>179</v>
      </c>
      <c r="J623" s="36">
        <f>YEAR(RESER3[[#This Row],[DATA]])</f>
        <v>2021</v>
      </c>
      <c r="K623" s="36">
        <f t="shared" si="12"/>
        <v>8</v>
      </c>
      <c r="L623" s="36">
        <f>DAY(RESER3[[#This Row],[DATA]])</f>
        <v>30</v>
      </c>
      <c r="M623" s="36"/>
    </row>
    <row r="624" spans="1:13" x14ac:dyDescent="0.25">
      <c r="A624" s="36"/>
      <c r="B624" s="129" t="s">
        <v>14</v>
      </c>
      <c r="C624" s="128">
        <v>44439</v>
      </c>
      <c r="D624" s="36" t="s">
        <v>189</v>
      </c>
      <c r="E624" s="36" t="s">
        <v>462</v>
      </c>
      <c r="F624" s="36" t="s">
        <v>265</v>
      </c>
      <c r="G624" s="36" t="s">
        <v>478</v>
      </c>
      <c r="H624" s="36">
        <v>1</v>
      </c>
      <c r="I624" s="36" t="s">
        <v>179</v>
      </c>
      <c r="J624" s="36">
        <f>YEAR(RESER3[[#This Row],[DATA]])</f>
        <v>2021</v>
      </c>
      <c r="K624" s="36">
        <f t="shared" si="12"/>
        <v>8</v>
      </c>
      <c r="L624" s="36">
        <f>DAY(RESER3[[#This Row],[DATA]])</f>
        <v>31</v>
      </c>
      <c r="M624" s="36"/>
    </row>
    <row r="625" spans="1:13" x14ac:dyDescent="0.25">
      <c r="A625" s="36"/>
      <c r="B625" s="129" t="s">
        <v>19</v>
      </c>
      <c r="C625" s="128">
        <v>44439</v>
      </c>
      <c r="D625" s="36" t="s">
        <v>189</v>
      </c>
      <c r="E625" s="36" t="s">
        <v>462</v>
      </c>
      <c r="F625" s="36" t="s">
        <v>191</v>
      </c>
      <c r="G625" s="36" t="s">
        <v>191</v>
      </c>
      <c r="H625" s="36">
        <v>1</v>
      </c>
      <c r="I625" s="36" t="s">
        <v>179</v>
      </c>
      <c r="J625" s="36">
        <f>YEAR(RESER3[[#This Row],[DATA]])</f>
        <v>2021</v>
      </c>
      <c r="K625" s="36">
        <f t="shared" si="12"/>
        <v>8</v>
      </c>
      <c r="L625" s="36">
        <f>DAY(RESER3[[#This Row],[DATA]])</f>
        <v>31</v>
      </c>
      <c r="M625" s="36"/>
    </row>
    <row r="626" spans="1:13" x14ac:dyDescent="0.25">
      <c r="A626" s="36"/>
      <c r="B626" s="129" t="s">
        <v>14</v>
      </c>
      <c r="C626" s="128">
        <v>44439</v>
      </c>
      <c r="D626" s="36" t="s">
        <v>189</v>
      </c>
      <c r="E626" s="36" t="s">
        <v>222</v>
      </c>
      <c r="F626" s="36" t="s">
        <v>228</v>
      </c>
      <c r="G626" s="36" t="s">
        <v>468</v>
      </c>
      <c r="H626" s="36">
        <v>1</v>
      </c>
      <c r="I626" s="36" t="s">
        <v>179</v>
      </c>
      <c r="J626" s="36">
        <f>YEAR(RESER3[[#This Row],[DATA]])</f>
        <v>2021</v>
      </c>
      <c r="K626" s="36">
        <f t="shared" si="12"/>
        <v>8</v>
      </c>
      <c r="L626" s="36">
        <f>DAY(RESER3[[#This Row],[DATA]])</f>
        <v>31</v>
      </c>
      <c r="M626" s="36"/>
    </row>
    <row r="627" spans="1:13" x14ac:dyDescent="0.25">
      <c r="A627" s="36"/>
      <c r="B627" s="129" t="s">
        <v>15</v>
      </c>
      <c r="C627" s="128">
        <v>44439</v>
      </c>
      <c r="D627" s="36" t="s">
        <v>189</v>
      </c>
      <c r="E627" s="36" t="s">
        <v>222</v>
      </c>
      <c r="F627" s="36" t="s">
        <v>228</v>
      </c>
      <c r="G627" s="36" t="s">
        <v>468</v>
      </c>
      <c r="H627" s="36">
        <v>1</v>
      </c>
      <c r="I627" s="36" t="s">
        <v>179</v>
      </c>
      <c r="J627" s="36">
        <f>YEAR(RESER3[[#This Row],[DATA]])</f>
        <v>2021</v>
      </c>
      <c r="K627" s="36">
        <f t="shared" si="12"/>
        <v>8</v>
      </c>
      <c r="L627" s="36">
        <f>DAY(RESER3[[#This Row],[DATA]])</f>
        <v>31</v>
      </c>
      <c r="M627" s="36"/>
    </row>
    <row r="628" spans="1:13" x14ac:dyDescent="0.25">
      <c r="A628" s="36"/>
      <c r="B628" s="129" t="s">
        <v>5</v>
      </c>
      <c r="C628" s="128">
        <v>44439</v>
      </c>
      <c r="D628" s="36" t="s">
        <v>189</v>
      </c>
      <c r="E628" s="36" t="s">
        <v>462</v>
      </c>
      <c r="F628" s="36" t="s">
        <v>196</v>
      </c>
      <c r="G628" s="36" t="s">
        <v>479</v>
      </c>
      <c r="H628" s="36">
        <v>1</v>
      </c>
      <c r="I628" s="36" t="s">
        <v>179</v>
      </c>
      <c r="J628" s="36">
        <f>YEAR(RESER3[[#This Row],[DATA]])</f>
        <v>2021</v>
      </c>
      <c r="K628" s="36">
        <f t="shared" si="12"/>
        <v>8</v>
      </c>
      <c r="L628" s="36">
        <f>DAY(RESER3[[#This Row],[DATA]])</f>
        <v>31</v>
      </c>
      <c r="M628" s="36"/>
    </row>
    <row r="629" spans="1:13" x14ac:dyDescent="0.25">
      <c r="A629" s="36"/>
      <c r="B629" s="129" t="s">
        <v>9</v>
      </c>
      <c r="C629" s="128">
        <v>44439</v>
      </c>
      <c r="D629" s="36" t="s">
        <v>189</v>
      </c>
      <c r="E629" s="36" t="s">
        <v>222</v>
      </c>
      <c r="F629" s="36" t="s">
        <v>202</v>
      </c>
      <c r="G629" s="36" t="s">
        <v>480</v>
      </c>
      <c r="H629" s="36">
        <v>1</v>
      </c>
      <c r="I629" s="36" t="s">
        <v>179</v>
      </c>
      <c r="J629" s="36">
        <f>YEAR(RESER3[[#This Row],[DATA]])</f>
        <v>2021</v>
      </c>
      <c r="K629" s="36">
        <f t="shared" si="12"/>
        <v>8</v>
      </c>
      <c r="L629" s="36">
        <f>DAY(RESER3[[#This Row],[DATA]])</f>
        <v>31</v>
      </c>
      <c r="M629" s="36"/>
    </row>
    <row r="630" spans="1:13" x14ac:dyDescent="0.25">
      <c r="A630" s="36"/>
      <c r="B630" s="129" t="s">
        <v>8</v>
      </c>
      <c r="C630" s="128">
        <v>44439</v>
      </c>
      <c r="D630" s="36" t="s">
        <v>189</v>
      </c>
      <c r="E630" s="36" t="s">
        <v>222</v>
      </c>
      <c r="F630" s="36" t="s">
        <v>194</v>
      </c>
      <c r="G630" s="36" t="s">
        <v>473</v>
      </c>
      <c r="H630" s="36">
        <v>1</v>
      </c>
      <c r="I630" s="36" t="s">
        <v>179</v>
      </c>
      <c r="J630" s="36">
        <f>YEAR(RESER3[[#This Row],[DATA]])</f>
        <v>2021</v>
      </c>
      <c r="K630" s="36">
        <f t="shared" si="12"/>
        <v>8</v>
      </c>
      <c r="L630" s="36">
        <f>DAY(RESER3[[#This Row],[DATA]])</f>
        <v>31</v>
      </c>
      <c r="M630" s="36"/>
    </row>
    <row r="631" spans="1:13" x14ac:dyDescent="0.25">
      <c r="A631" s="36"/>
      <c r="B631" s="129" t="s">
        <v>41</v>
      </c>
      <c r="C631" s="128">
        <v>44439</v>
      </c>
      <c r="D631" s="36" t="s">
        <v>189</v>
      </c>
      <c r="E631" s="36" t="s">
        <v>462</v>
      </c>
      <c r="F631" s="36" t="s">
        <v>228</v>
      </c>
      <c r="G631" s="36" t="s">
        <v>468</v>
      </c>
      <c r="H631" s="36">
        <v>1</v>
      </c>
      <c r="I631" s="36" t="s">
        <v>179</v>
      </c>
      <c r="J631" s="36">
        <f>YEAR(RESER3[[#This Row],[DATA]])</f>
        <v>2021</v>
      </c>
      <c r="K631" s="36">
        <f t="shared" si="12"/>
        <v>8</v>
      </c>
      <c r="L631" s="36">
        <f>DAY(RESER3[[#This Row],[DATA]])</f>
        <v>31</v>
      </c>
      <c r="M631" s="36"/>
    </row>
    <row r="632" spans="1:13" x14ac:dyDescent="0.25">
      <c r="A632" s="36"/>
      <c r="B632" s="129" t="s">
        <v>7</v>
      </c>
      <c r="C632" s="128">
        <v>44439</v>
      </c>
      <c r="D632" s="36" t="s">
        <v>189</v>
      </c>
      <c r="E632" s="36" t="s">
        <v>462</v>
      </c>
      <c r="F632" s="36" t="s">
        <v>194</v>
      </c>
      <c r="G632" s="36" t="s">
        <v>473</v>
      </c>
      <c r="H632" s="36">
        <v>1</v>
      </c>
      <c r="I632" s="36" t="s">
        <v>179</v>
      </c>
      <c r="J632" s="36">
        <f>YEAR(RESER3[[#This Row],[DATA]])</f>
        <v>2021</v>
      </c>
      <c r="K632" s="36">
        <f t="shared" si="12"/>
        <v>8</v>
      </c>
      <c r="L632" s="36">
        <f>DAY(RESER3[[#This Row],[DATA]])</f>
        <v>31</v>
      </c>
      <c r="M632" s="36"/>
    </row>
    <row r="633" spans="1:13" x14ac:dyDescent="0.25">
      <c r="A633" s="36"/>
      <c r="B633" s="129" t="s">
        <v>16</v>
      </c>
      <c r="C633" s="128">
        <v>44440</v>
      </c>
      <c r="D633" s="36" t="s">
        <v>189</v>
      </c>
      <c r="E633" s="36" t="s">
        <v>222</v>
      </c>
      <c r="F633" s="36" t="s">
        <v>191</v>
      </c>
      <c r="G633" s="36" t="s">
        <v>191</v>
      </c>
      <c r="H633" s="36">
        <v>1</v>
      </c>
      <c r="I633" s="36" t="s">
        <v>179</v>
      </c>
      <c r="J633" s="36">
        <f>YEAR(RESER3[[#This Row],[DATA]])</f>
        <v>2021</v>
      </c>
      <c r="K633" s="36">
        <f t="shared" si="12"/>
        <v>9</v>
      </c>
      <c r="L633" s="36">
        <f>DAY(RESER3[[#This Row],[DATA]])</f>
        <v>1</v>
      </c>
      <c r="M633" s="36"/>
    </row>
    <row r="634" spans="1:13" x14ac:dyDescent="0.25">
      <c r="A634" s="36"/>
      <c r="B634" s="129" t="s">
        <v>13</v>
      </c>
      <c r="C634" s="128">
        <v>44440</v>
      </c>
      <c r="D634" s="36" t="s">
        <v>189</v>
      </c>
      <c r="E634" s="36" t="s">
        <v>222</v>
      </c>
      <c r="F634" s="36" t="s">
        <v>194</v>
      </c>
      <c r="G634" s="36" t="s">
        <v>475</v>
      </c>
      <c r="H634" s="36">
        <v>1</v>
      </c>
      <c r="I634" s="36" t="s">
        <v>179</v>
      </c>
      <c r="J634" s="36">
        <f>YEAR(RESER3[[#This Row],[DATA]])</f>
        <v>2021</v>
      </c>
      <c r="K634" s="36">
        <f t="shared" si="12"/>
        <v>9</v>
      </c>
      <c r="L634" s="36">
        <f>DAY(RESER3[[#This Row],[DATA]])</f>
        <v>1</v>
      </c>
      <c r="M634" s="36"/>
    </row>
    <row r="635" spans="1:13" x14ac:dyDescent="0.25">
      <c r="A635" s="36"/>
      <c r="B635" s="129" t="s">
        <v>15</v>
      </c>
      <c r="C635" s="128">
        <v>44445</v>
      </c>
      <c r="D635" s="36" t="s">
        <v>189</v>
      </c>
      <c r="E635" s="36" t="s">
        <v>462</v>
      </c>
      <c r="F635" s="36" t="s">
        <v>194</v>
      </c>
      <c r="G635" s="36" t="s">
        <v>475</v>
      </c>
      <c r="H635" s="36">
        <v>1</v>
      </c>
      <c r="I635" s="36" t="s">
        <v>179</v>
      </c>
      <c r="J635" s="36">
        <f>YEAR(RESER3[[#This Row],[DATA]])</f>
        <v>2021</v>
      </c>
      <c r="K635" s="36">
        <f t="shared" si="12"/>
        <v>9</v>
      </c>
      <c r="L635" s="36">
        <f>DAY(RESER3[[#This Row],[DATA]])</f>
        <v>6</v>
      </c>
      <c r="M635" s="36"/>
    </row>
    <row r="636" spans="1:13" x14ac:dyDescent="0.25">
      <c r="A636" s="36"/>
      <c r="B636" s="129" t="s">
        <v>22</v>
      </c>
      <c r="C636" s="128">
        <v>44445</v>
      </c>
      <c r="D636" s="36" t="s">
        <v>189</v>
      </c>
      <c r="E636" s="36" t="s">
        <v>462</v>
      </c>
      <c r="F636" s="36" t="s">
        <v>191</v>
      </c>
      <c r="G636" s="36" t="s">
        <v>191</v>
      </c>
      <c r="H636" s="36">
        <v>1</v>
      </c>
      <c r="I636" s="36" t="s">
        <v>179</v>
      </c>
      <c r="J636" s="36">
        <f>YEAR(RESER3[[#This Row],[DATA]])</f>
        <v>2021</v>
      </c>
      <c r="K636" s="36">
        <f t="shared" si="12"/>
        <v>9</v>
      </c>
      <c r="L636" s="36">
        <f>DAY(RESER3[[#This Row],[DATA]])</f>
        <v>6</v>
      </c>
      <c r="M636" s="36"/>
    </row>
    <row r="637" spans="1:13" x14ac:dyDescent="0.25">
      <c r="A637" s="36"/>
      <c r="B637" s="129" t="s">
        <v>14</v>
      </c>
      <c r="C637" s="128">
        <v>44447</v>
      </c>
      <c r="D637" s="36" t="s">
        <v>189</v>
      </c>
      <c r="E637" s="36" t="s">
        <v>222</v>
      </c>
      <c r="F637" s="36" t="s">
        <v>191</v>
      </c>
      <c r="G637" s="36" t="s">
        <v>191</v>
      </c>
      <c r="H637" s="36">
        <v>1</v>
      </c>
      <c r="I637" s="36" t="s">
        <v>179</v>
      </c>
      <c r="J637" s="36">
        <f>YEAR(RESER3[[#This Row],[DATA]])</f>
        <v>2021</v>
      </c>
      <c r="K637" s="36">
        <f t="shared" si="12"/>
        <v>9</v>
      </c>
      <c r="L637" s="36">
        <f>DAY(RESER3[[#This Row],[DATA]])</f>
        <v>8</v>
      </c>
      <c r="M637" s="36"/>
    </row>
    <row r="638" spans="1:13" x14ac:dyDescent="0.25">
      <c r="A638" s="36"/>
      <c r="B638" s="129" t="s">
        <v>22</v>
      </c>
      <c r="C638" s="128">
        <v>44447</v>
      </c>
      <c r="D638" s="36" t="s">
        <v>189</v>
      </c>
      <c r="E638" s="36" t="s">
        <v>462</v>
      </c>
      <c r="F638" s="36" t="s">
        <v>191</v>
      </c>
      <c r="G638" s="36" t="s">
        <v>191</v>
      </c>
      <c r="H638" s="36">
        <v>1</v>
      </c>
      <c r="I638" s="36" t="s">
        <v>179</v>
      </c>
      <c r="J638" s="36">
        <f>YEAR(RESER3[[#This Row],[DATA]])</f>
        <v>2021</v>
      </c>
      <c r="K638" s="36">
        <f t="shared" si="12"/>
        <v>9</v>
      </c>
      <c r="L638" s="36">
        <f>DAY(RESER3[[#This Row],[DATA]])</f>
        <v>8</v>
      </c>
      <c r="M638" s="36"/>
    </row>
    <row r="639" spans="1:13" x14ac:dyDescent="0.25">
      <c r="A639" s="36"/>
      <c r="B639" s="129" t="s">
        <v>17</v>
      </c>
      <c r="C639" s="128">
        <v>44447</v>
      </c>
      <c r="D639" s="36" t="s">
        <v>189</v>
      </c>
      <c r="E639" s="36" t="s">
        <v>222</v>
      </c>
      <c r="F639" s="36" t="s">
        <v>228</v>
      </c>
      <c r="G639" s="36" t="s">
        <v>468</v>
      </c>
      <c r="H639" s="36">
        <v>1</v>
      </c>
      <c r="I639" s="36" t="s">
        <v>179</v>
      </c>
      <c r="J639" s="36">
        <f>YEAR(RESER3[[#This Row],[DATA]])</f>
        <v>2021</v>
      </c>
      <c r="K639" s="36">
        <f t="shared" si="12"/>
        <v>9</v>
      </c>
      <c r="L639" s="36">
        <f>DAY(RESER3[[#This Row],[DATA]])</f>
        <v>8</v>
      </c>
      <c r="M639" s="36"/>
    </row>
    <row r="640" spans="1:13" x14ac:dyDescent="0.25">
      <c r="A640" s="36"/>
      <c r="B640" s="129" t="s">
        <v>8</v>
      </c>
      <c r="C640" s="128">
        <v>44447</v>
      </c>
      <c r="D640" s="36" t="s">
        <v>189</v>
      </c>
      <c r="E640" s="36" t="s">
        <v>462</v>
      </c>
      <c r="F640" s="36" t="s">
        <v>231</v>
      </c>
      <c r="G640" s="36" t="s">
        <v>481</v>
      </c>
      <c r="H640" s="36">
        <v>1</v>
      </c>
      <c r="I640" s="36" t="s">
        <v>179</v>
      </c>
      <c r="J640" s="36">
        <f>YEAR(RESER3[[#This Row],[DATA]])</f>
        <v>2021</v>
      </c>
      <c r="K640" s="36">
        <f t="shared" si="12"/>
        <v>9</v>
      </c>
      <c r="L640" s="36">
        <f>DAY(RESER3[[#This Row],[DATA]])</f>
        <v>8</v>
      </c>
      <c r="M640" s="36"/>
    </row>
    <row r="641" spans="1:13" x14ac:dyDescent="0.25">
      <c r="A641" s="36"/>
      <c r="B641" s="129" t="s">
        <v>5</v>
      </c>
      <c r="C641" s="128">
        <v>44447</v>
      </c>
      <c r="D641" s="36" t="s">
        <v>189</v>
      </c>
      <c r="E641" s="36" t="s">
        <v>222</v>
      </c>
      <c r="F641" s="36" t="s">
        <v>228</v>
      </c>
      <c r="G641" s="36" t="s">
        <v>468</v>
      </c>
      <c r="H641" s="36">
        <v>1</v>
      </c>
      <c r="I641" s="36" t="s">
        <v>179</v>
      </c>
      <c r="J641" s="36">
        <f>YEAR(RESER3[[#This Row],[DATA]])</f>
        <v>2021</v>
      </c>
      <c r="K641" s="36">
        <f t="shared" si="12"/>
        <v>9</v>
      </c>
      <c r="L641" s="36">
        <f>DAY(RESER3[[#This Row],[DATA]])</f>
        <v>8</v>
      </c>
      <c r="M641" s="36"/>
    </row>
    <row r="642" spans="1:13" x14ac:dyDescent="0.25">
      <c r="A642" s="36"/>
      <c r="B642" s="129" t="s">
        <v>112</v>
      </c>
      <c r="C642" s="128">
        <v>44447</v>
      </c>
      <c r="D642" s="36" t="s">
        <v>189</v>
      </c>
      <c r="E642" s="36" t="s">
        <v>462</v>
      </c>
      <c r="F642" s="36" t="s">
        <v>194</v>
      </c>
      <c r="G642" s="36" t="s">
        <v>473</v>
      </c>
      <c r="H642" s="36">
        <v>1</v>
      </c>
      <c r="I642" s="36" t="s">
        <v>179</v>
      </c>
      <c r="J642" s="36">
        <f>YEAR(RESER3[[#This Row],[DATA]])</f>
        <v>2021</v>
      </c>
      <c r="K642" s="36">
        <f t="shared" si="12"/>
        <v>9</v>
      </c>
      <c r="L642" s="36">
        <f>DAY(RESER3[[#This Row],[DATA]])</f>
        <v>8</v>
      </c>
      <c r="M642" s="36"/>
    </row>
    <row r="643" spans="1:13" x14ac:dyDescent="0.25">
      <c r="A643" s="36"/>
      <c r="B643" s="129" t="s">
        <v>13</v>
      </c>
      <c r="C643" s="128">
        <v>44448</v>
      </c>
      <c r="D643" s="36" t="s">
        <v>189</v>
      </c>
      <c r="E643" s="36" t="s">
        <v>462</v>
      </c>
      <c r="F643" s="36" t="s">
        <v>191</v>
      </c>
      <c r="G643" s="36" t="s">
        <v>191</v>
      </c>
      <c r="H643" s="36">
        <v>1</v>
      </c>
      <c r="I643" s="36" t="s">
        <v>179</v>
      </c>
      <c r="J643" s="36">
        <f>YEAR(RESER3[[#This Row],[DATA]])</f>
        <v>2021</v>
      </c>
      <c r="K643" s="36">
        <f t="shared" ref="K643:K706" si="13">MONTH(C643)</f>
        <v>9</v>
      </c>
      <c r="L643" s="36">
        <f>DAY(RESER3[[#This Row],[DATA]])</f>
        <v>9</v>
      </c>
      <c r="M643" s="36"/>
    </row>
    <row r="644" spans="1:13" x14ac:dyDescent="0.25">
      <c r="A644" s="36"/>
      <c r="B644" s="129" t="s">
        <v>16</v>
      </c>
      <c r="C644" s="128">
        <v>44448</v>
      </c>
      <c r="D644" s="36" t="s">
        <v>189</v>
      </c>
      <c r="E644" s="36" t="s">
        <v>222</v>
      </c>
      <c r="F644" s="36" t="s">
        <v>228</v>
      </c>
      <c r="G644" s="36" t="s">
        <v>468</v>
      </c>
      <c r="H644" s="36">
        <v>1</v>
      </c>
      <c r="I644" s="36" t="s">
        <v>179</v>
      </c>
      <c r="J644" s="36">
        <f>YEAR(RESER3[[#This Row],[DATA]])</f>
        <v>2021</v>
      </c>
      <c r="K644" s="36">
        <f t="shared" si="13"/>
        <v>9</v>
      </c>
      <c r="L644" s="36">
        <f>DAY(RESER3[[#This Row],[DATA]])</f>
        <v>9</v>
      </c>
      <c r="M644" s="36"/>
    </row>
    <row r="645" spans="1:13" x14ac:dyDescent="0.25">
      <c r="A645" s="36"/>
      <c r="B645" s="129" t="s">
        <v>16</v>
      </c>
      <c r="C645" s="128">
        <v>44448</v>
      </c>
      <c r="D645" s="36" t="s">
        <v>189</v>
      </c>
      <c r="E645" s="36" t="s">
        <v>222</v>
      </c>
      <c r="F645" s="36" t="s">
        <v>191</v>
      </c>
      <c r="G645" s="36" t="s">
        <v>191</v>
      </c>
      <c r="H645" s="36">
        <v>1</v>
      </c>
      <c r="I645" s="36" t="s">
        <v>179</v>
      </c>
      <c r="J645" s="36">
        <f>YEAR(RESER3[[#This Row],[DATA]])</f>
        <v>2021</v>
      </c>
      <c r="K645" s="36">
        <f t="shared" si="13"/>
        <v>9</v>
      </c>
      <c r="L645" s="36">
        <f>DAY(RESER3[[#This Row],[DATA]])</f>
        <v>9</v>
      </c>
      <c r="M645" s="36"/>
    </row>
    <row r="646" spans="1:13" x14ac:dyDescent="0.25">
      <c r="A646" s="36"/>
      <c r="B646" s="129" t="s">
        <v>10</v>
      </c>
      <c r="C646" s="128">
        <v>44448</v>
      </c>
      <c r="D646" s="36" t="s">
        <v>189</v>
      </c>
      <c r="E646" s="36" t="s">
        <v>222</v>
      </c>
      <c r="F646" s="36" t="s">
        <v>245</v>
      </c>
      <c r="G646" s="36" t="s">
        <v>482</v>
      </c>
      <c r="H646" s="36">
        <v>1</v>
      </c>
      <c r="I646" s="36" t="s">
        <v>179</v>
      </c>
      <c r="J646" s="36">
        <f>YEAR(RESER3[[#This Row],[DATA]])</f>
        <v>2021</v>
      </c>
      <c r="K646" s="36">
        <f t="shared" si="13"/>
        <v>9</v>
      </c>
      <c r="L646" s="36">
        <f>DAY(RESER3[[#This Row],[DATA]])</f>
        <v>9</v>
      </c>
      <c r="M646" s="36"/>
    </row>
    <row r="647" spans="1:13" x14ac:dyDescent="0.25">
      <c r="A647" s="36"/>
      <c r="B647" s="129" t="s">
        <v>112</v>
      </c>
      <c r="C647" s="128">
        <v>44448</v>
      </c>
      <c r="D647" s="36" t="s">
        <v>189</v>
      </c>
      <c r="E647" s="36" t="s">
        <v>462</v>
      </c>
      <c r="F647" s="36" t="s">
        <v>191</v>
      </c>
      <c r="G647" s="36" t="s">
        <v>191</v>
      </c>
      <c r="H647" s="36">
        <v>1</v>
      </c>
      <c r="I647" s="36" t="s">
        <v>179</v>
      </c>
      <c r="J647" s="36">
        <f>YEAR(RESER3[[#This Row],[DATA]])</f>
        <v>2021</v>
      </c>
      <c r="K647" s="36">
        <f t="shared" si="13"/>
        <v>9</v>
      </c>
      <c r="L647" s="36">
        <f>DAY(RESER3[[#This Row],[DATA]])</f>
        <v>9</v>
      </c>
      <c r="M647" s="36"/>
    </row>
    <row r="648" spans="1:13" x14ac:dyDescent="0.25">
      <c r="A648" s="36"/>
      <c r="B648" s="129" t="s">
        <v>9</v>
      </c>
      <c r="C648" s="128">
        <v>44448</v>
      </c>
      <c r="D648" s="36" t="s">
        <v>189</v>
      </c>
      <c r="E648" s="36" t="s">
        <v>462</v>
      </c>
      <c r="F648" s="36" t="s">
        <v>194</v>
      </c>
      <c r="G648" s="36" t="s">
        <v>483</v>
      </c>
      <c r="H648" s="36">
        <v>1</v>
      </c>
      <c r="I648" s="36" t="s">
        <v>179</v>
      </c>
      <c r="J648" s="36">
        <f>YEAR(RESER3[[#This Row],[DATA]])</f>
        <v>2021</v>
      </c>
      <c r="K648" s="36">
        <f t="shared" si="13"/>
        <v>9</v>
      </c>
      <c r="L648" s="36">
        <f>DAY(RESER3[[#This Row],[DATA]])</f>
        <v>9</v>
      </c>
      <c r="M648" s="36"/>
    </row>
    <row r="649" spans="1:13" x14ac:dyDescent="0.25">
      <c r="A649" s="36"/>
      <c r="B649" s="129" t="s">
        <v>7</v>
      </c>
      <c r="C649" s="128">
        <v>44448</v>
      </c>
      <c r="D649" s="36" t="s">
        <v>189</v>
      </c>
      <c r="E649" s="36" t="s">
        <v>222</v>
      </c>
      <c r="F649" s="36" t="s">
        <v>196</v>
      </c>
      <c r="G649" s="36" t="s">
        <v>466</v>
      </c>
      <c r="H649" s="36">
        <v>1</v>
      </c>
      <c r="I649" s="36" t="s">
        <v>179</v>
      </c>
      <c r="J649" s="36">
        <f>YEAR(RESER3[[#This Row],[DATA]])</f>
        <v>2021</v>
      </c>
      <c r="K649" s="36">
        <f t="shared" si="13"/>
        <v>9</v>
      </c>
      <c r="L649" s="36">
        <f>DAY(RESER3[[#This Row],[DATA]])</f>
        <v>9</v>
      </c>
      <c r="M649" s="36"/>
    </row>
    <row r="650" spans="1:13" x14ac:dyDescent="0.25">
      <c r="A650" s="36"/>
      <c r="B650" s="129" t="s">
        <v>41</v>
      </c>
      <c r="C650" s="128">
        <v>44448</v>
      </c>
      <c r="D650" s="36" t="s">
        <v>189</v>
      </c>
      <c r="E650" s="36" t="s">
        <v>222</v>
      </c>
      <c r="F650" s="36" t="s">
        <v>265</v>
      </c>
      <c r="G650" s="36" t="s">
        <v>484</v>
      </c>
      <c r="H650" s="36">
        <v>1</v>
      </c>
      <c r="I650" s="36" t="s">
        <v>179</v>
      </c>
      <c r="J650" s="36">
        <f>YEAR(RESER3[[#This Row],[DATA]])</f>
        <v>2021</v>
      </c>
      <c r="K650" s="36">
        <f t="shared" si="13"/>
        <v>9</v>
      </c>
      <c r="L650" s="36">
        <f>DAY(RESER3[[#This Row],[DATA]])</f>
        <v>9</v>
      </c>
      <c r="M650" s="36"/>
    </row>
    <row r="651" spans="1:13" x14ac:dyDescent="0.25">
      <c r="A651" s="36"/>
      <c r="B651" s="129" t="s">
        <v>9</v>
      </c>
      <c r="C651" s="128">
        <v>44449</v>
      </c>
      <c r="D651" s="36" t="s">
        <v>189</v>
      </c>
      <c r="E651" s="36" t="s">
        <v>462</v>
      </c>
      <c r="F651" s="36" t="s">
        <v>202</v>
      </c>
      <c r="G651" s="36" t="s">
        <v>480</v>
      </c>
      <c r="H651" s="36">
        <v>1</v>
      </c>
      <c r="I651" s="36" t="s">
        <v>179</v>
      </c>
      <c r="J651" s="36">
        <f>YEAR(RESER3[[#This Row],[DATA]])</f>
        <v>2021</v>
      </c>
      <c r="K651" s="36">
        <f t="shared" si="13"/>
        <v>9</v>
      </c>
      <c r="L651" s="36">
        <f>DAY(RESER3[[#This Row],[DATA]])</f>
        <v>10</v>
      </c>
      <c r="M651" s="36"/>
    </row>
    <row r="652" spans="1:13" x14ac:dyDescent="0.25">
      <c r="A652" s="36"/>
      <c r="B652" s="129" t="s">
        <v>112</v>
      </c>
      <c r="C652" s="128">
        <v>44449</v>
      </c>
      <c r="D652" s="36" t="s">
        <v>189</v>
      </c>
      <c r="E652" s="36" t="s">
        <v>462</v>
      </c>
      <c r="F652" s="36" t="s">
        <v>194</v>
      </c>
      <c r="G652" s="36" t="s">
        <v>473</v>
      </c>
      <c r="H652" s="36">
        <v>1</v>
      </c>
      <c r="I652" s="36" t="s">
        <v>179</v>
      </c>
      <c r="J652" s="36">
        <f>YEAR(RESER3[[#This Row],[DATA]])</f>
        <v>2021</v>
      </c>
      <c r="K652" s="36">
        <f t="shared" si="13"/>
        <v>9</v>
      </c>
      <c r="L652" s="36">
        <f>DAY(RESER3[[#This Row],[DATA]])</f>
        <v>10</v>
      </c>
      <c r="M652" s="36"/>
    </row>
    <row r="653" spans="1:13" x14ac:dyDescent="0.25">
      <c r="A653" s="36"/>
      <c r="B653" s="129" t="s">
        <v>14</v>
      </c>
      <c r="C653" s="128">
        <v>44449</v>
      </c>
      <c r="D653" s="36" t="s">
        <v>189</v>
      </c>
      <c r="E653" s="36" t="s">
        <v>222</v>
      </c>
      <c r="F653" s="36" t="s">
        <v>228</v>
      </c>
      <c r="G653" s="36" t="s">
        <v>468</v>
      </c>
      <c r="H653" s="36">
        <v>1</v>
      </c>
      <c r="I653" s="36" t="s">
        <v>179</v>
      </c>
      <c r="J653" s="36">
        <f>YEAR(RESER3[[#This Row],[DATA]])</f>
        <v>2021</v>
      </c>
      <c r="K653" s="36">
        <f t="shared" si="13"/>
        <v>9</v>
      </c>
      <c r="L653" s="36">
        <f>DAY(RESER3[[#This Row],[DATA]])</f>
        <v>10</v>
      </c>
      <c r="M653" s="36"/>
    </row>
    <row r="654" spans="1:13" x14ac:dyDescent="0.25">
      <c r="A654" s="36"/>
      <c r="B654" s="129" t="s">
        <v>20</v>
      </c>
      <c r="C654" s="128">
        <v>44452</v>
      </c>
      <c r="D654" s="36" t="s">
        <v>189</v>
      </c>
      <c r="E654" s="36" t="s">
        <v>462</v>
      </c>
      <c r="F654" s="36" t="s">
        <v>191</v>
      </c>
      <c r="G654" s="36" t="s">
        <v>191</v>
      </c>
      <c r="H654" s="36">
        <v>1</v>
      </c>
      <c r="I654" s="36" t="s">
        <v>179</v>
      </c>
      <c r="J654" s="36">
        <f>YEAR(RESER3[[#This Row],[DATA]])</f>
        <v>2021</v>
      </c>
      <c r="K654" s="36">
        <f t="shared" si="13"/>
        <v>9</v>
      </c>
      <c r="L654" s="36">
        <f>DAY(RESER3[[#This Row],[DATA]])</f>
        <v>13</v>
      </c>
      <c r="M654" s="36"/>
    </row>
    <row r="655" spans="1:13" x14ac:dyDescent="0.25">
      <c r="A655" s="36"/>
      <c r="B655" s="129" t="s">
        <v>6</v>
      </c>
      <c r="C655" s="128">
        <v>44452</v>
      </c>
      <c r="D655" s="36" t="s">
        <v>189</v>
      </c>
      <c r="E655" s="36" t="s">
        <v>222</v>
      </c>
      <c r="F655" s="36" t="s">
        <v>194</v>
      </c>
      <c r="G655" s="36" t="s">
        <v>473</v>
      </c>
      <c r="H655" s="36">
        <v>1</v>
      </c>
      <c r="I655" s="36" t="s">
        <v>179</v>
      </c>
      <c r="J655" s="36">
        <f>YEAR(RESER3[[#This Row],[DATA]])</f>
        <v>2021</v>
      </c>
      <c r="K655" s="36">
        <f t="shared" si="13"/>
        <v>9</v>
      </c>
      <c r="L655" s="36">
        <f>DAY(RESER3[[#This Row],[DATA]])</f>
        <v>13</v>
      </c>
      <c r="M655" s="36"/>
    </row>
    <row r="656" spans="1:13" x14ac:dyDescent="0.25">
      <c r="A656" s="36"/>
      <c r="B656" s="129" t="s">
        <v>112</v>
      </c>
      <c r="C656" s="128">
        <v>44452</v>
      </c>
      <c r="D656" s="36" t="s">
        <v>189</v>
      </c>
      <c r="E656" s="36" t="s">
        <v>222</v>
      </c>
      <c r="F656" s="36" t="s">
        <v>194</v>
      </c>
      <c r="G656" s="36" t="s">
        <v>473</v>
      </c>
      <c r="H656" s="36">
        <v>1</v>
      </c>
      <c r="I656" s="36" t="s">
        <v>179</v>
      </c>
      <c r="J656" s="36">
        <f>YEAR(RESER3[[#This Row],[DATA]])</f>
        <v>2021</v>
      </c>
      <c r="K656" s="36">
        <f t="shared" si="13"/>
        <v>9</v>
      </c>
      <c r="L656" s="36">
        <f>DAY(RESER3[[#This Row],[DATA]])</f>
        <v>13</v>
      </c>
      <c r="M656" s="36"/>
    </row>
    <row r="657" spans="1:13" x14ac:dyDescent="0.25">
      <c r="A657" s="36"/>
      <c r="B657" s="129" t="s">
        <v>40</v>
      </c>
      <c r="C657" s="128">
        <v>44452</v>
      </c>
      <c r="D657" s="36" t="s">
        <v>189</v>
      </c>
      <c r="E657" s="36" t="s">
        <v>462</v>
      </c>
      <c r="F657" s="36" t="s">
        <v>228</v>
      </c>
      <c r="G657" s="36" t="s">
        <v>468</v>
      </c>
      <c r="H657" s="36">
        <v>1</v>
      </c>
      <c r="I657" s="36" t="s">
        <v>179</v>
      </c>
      <c r="J657" s="36">
        <f>YEAR(RESER3[[#This Row],[DATA]])</f>
        <v>2021</v>
      </c>
      <c r="K657" s="36">
        <f t="shared" si="13"/>
        <v>9</v>
      </c>
      <c r="L657" s="36">
        <f>DAY(RESER3[[#This Row],[DATA]])</f>
        <v>13</v>
      </c>
      <c r="M657" s="36"/>
    </row>
    <row r="658" spans="1:13" x14ac:dyDescent="0.25">
      <c r="A658" s="36"/>
      <c r="B658" s="129" t="s">
        <v>4</v>
      </c>
      <c r="C658" s="128">
        <v>44452</v>
      </c>
      <c r="D658" s="36" t="s">
        <v>189</v>
      </c>
      <c r="E658" s="36" t="s">
        <v>222</v>
      </c>
      <c r="F658" s="36" t="s">
        <v>194</v>
      </c>
      <c r="G658" s="36" t="s">
        <v>473</v>
      </c>
      <c r="H658" s="36">
        <v>1</v>
      </c>
      <c r="I658" s="36" t="s">
        <v>179</v>
      </c>
      <c r="J658" s="36">
        <f>YEAR(RESER3[[#This Row],[DATA]])</f>
        <v>2021</v>
      </c>
      <c r="K658" s="36">
        <f t="shared" si="13"/>
        <v>9</v>
      </c>
      <c r="L658" s="36">
        <f>DAY(RESER3[[#This Row],[DATA]])</f>
        <v>13</v>
      </c>
      <c r="M658" s="36"/>
    </row>
    <row r="659" spans="1:13" x14ac:dyDescent="0.25">
      <c r="A659" s="36"/>
      <c r="B659" s="129" t="s">
        <v>10</v>
      </c>
      <c r="C659" s="128">
        <v>44452</v>
      </c>
      <c r="D659" s="36" t="s">
        <v>189</v>
      </c>
      <c r="E659" s="36" t="s">
        <v>462</v>
      </c>
      <c r="F659" s="36" t="s">
        <v>196</v>
      </c>
      <c r="G659" s="36" t="s">
        <v>466</v>
      </c>
      <c r="H659" s="36">
        <v>1</v>
      </c>
      <c r="I659" s="36" t="s">
        <v>179</v>
      </c>
      <c r="J659" s="36">
        <f>YEAR(RESER3[[#This Row],[DATA]])</f>
        <v>2021</v>
      </c>
      <c r="K659" s="36">
        <f t="shared" si="13"/>
        <v>9</v>
      </c>
      <c r="L659" s="36">
        <f>DAY(RESER3[[#This Row],[DATA]])</f>
        <v>13</v>
      </c>
      <c r="M659" s="36"/>
    </row>
    <row r="660" spans="1:13" x14ac:dyDescent="0.25">
      <c r="A660" s="36"/>
      <c r="B660" s="129" t="s">
        <v>10</v>
      </c>
      <c r="C660" s="128">
        <v>44453</v>
      </c>
      <c r="D660" s="36" t="s">
        <v>189</v>
      </c>
      <c r="E660" s="36" t="s">
        <v>462</v>
      </c>
      <c r="F660" s="36" t="s">
        <v>228</v>
      </c>
      <c r="G660" s="36" t="s">
        <v>468</v>
      </c>
      <c r="H660" s="36">
        <v>1</v>
      </c>
      <c r="I660" s="36" t="s">
        <v>179</v>
      </c>
      <c r="J660" s="36">
        <f>YEAR(RESER3[[#This Row],[DATA]])</f>
        <v>2021</v>
      </c>
      <c r="K660" s="36">
        <f t="shared" si="13"/>
        <v>9</v>
      </c>
      <c r="L660" s="36">
        <f>DAY(RESER3[[#This Row],[DATA]])</f>
        <v>14</v>
      </c>
      <c r="M660" s="36"/>
    </row>
    <row r="661" spans="1:13" x14ac:dyDescent="0.25">
      <c r="A661" s="36"/>
      <c r="B661" s="129" t="s">
        <v>21</v>
      </c>
      <c r="C661" s="128">
        <v>44453</v>
      </c>
      <c r="D661" s="36" t="s">
        <v>189</v>
      </c>
      <c r="E661" s="36" t="s">
        <v>222</v>
      </c>
      <c r="F661" s="36" t="s">
        <v>265</v>
      </c>
      <c r="G661" s="36" t="s">
        <v>484</v>
      </c>
      <c r="H661" s="36">
        <v>1</v>
      </c>
      <c r="I661" s="36" t="s">
        <v>179</v>
      </c>
      <c r="J661" s="36">
        <f>YEAR(RESER3[[#This Row],[DATA]])</f>
        <v>2021</v>
      </c>
      <c r="K661" s="36">
        <f t="shared" si="13"/>
        <v>9</v>
      </c>
      <c r="L661" s="36">
        <f>DAY(RESER3[[#This Row],[DATA]])</f>
        <v>14</v>
      </c>
      <c r="M661" s="36"/>
    </row>
    <row r="662" spans="1:13" x14ac:dyDescent="0.25">
      <c r="A662" s="36"/>
      <c r="B662" s="129" t="s">
        <v>112</v>
      </c>
      <c r="C662" s="128">
        <v>44453</v>
      </c>
      <c r="D662" s="36" t="s">
        <v>189</v>
      </c>
      <c r="E662" s="36" t="s">
        <v>222</v>
      </c>
      <c r="F662" s="36" t="s">
        <v>194</v>
      </c>
      <c r="G662" s="36" t="s">
        <v>473</v>
      </c>
      <c r="H662" s="36">
        <v>1</v>
      </c>
      <c r="I662" s="36" t="s">
        <v>179</v>
      </c>
      <c r="J662" s="36">
        <f>YEAR(RESER3[[#This Row],[DATA]])</f>
        <v>2021</v>
      </c>
      <c r="K662" s="36">
        <f t="shared" si="13"/>
        <v>9</v>
      </c>
      <c r="L662" s="36">
        <f>DAY(RESER3[[#This Row],[DATA]])</f>
        <v>14</v>
      </c>
      <c r="M662" s="36"/>
    </row>
    <row r="663" spans="1:13" x14ac:dyDescent="0.25">
      <c r="A663" s="36"/>
      <c r="B663" s="129" t="s">
        <v>16</v>
      </c>
      <c r="C663" s="128">
        <v>44453</v>
      </c>
      <c r="D663" s="36" t="s">
        <v>189</v>
      </c>
      <c r="E663" s="36" t="s">
        <v>462</v>
      </c>
      <c r="F663" s="36" t="s">
        <v>194</v>
      </c>
      <c r="G663" s="36" t="s">
        <v>473</v>
      </c>
      <c r="H663" s="36">
        <v>1</v>
      </c>
      <c r="I663" s="36" t="s">
        <v>179</v>
      </c>
      <c r="J663" s="36">
        <f>YEAR(RESER3[[#This Row],[DATA]])</f>
        <v>2021</v>
      </c>
      <c r="K663" s="36">
        <f t="shared" si="13"/>
        <v>9</v>
      </c>
      <c r="L663" s="36">
        <f>DAY(RESER3[[#This Row],[DATA]])</f>
        <v>14</v>
      </c>
      <c r="M663" s="36"/>
    </row>
    <row r="664" spans="1:13" x14ac:dyDescent="0.25">
      <c r="A664" s="36"/>
      <c r="B664" s="129" t="s">
        <v>21</v>
      </c>
      <c r="C664" s="128">
        <v>44453</v>
      </c>
      <c r="D664" s="36" t="s">
        <v>189</v>
      </c>
      <c r="E664" s="36" t="s">
        <v>222</v>
      </c>
      <c r="F664" s="36" t="s">
        <v>245</v>
      </c>
      <c r="G664" s="36" t="s">
        <v>476</v>
      </c>
      <c r="H664" s="36">
        <v>1</v>
      </c>
      <c r="I664" s="36" t="s">
        <v>179</v>
      </c>
      <c r="J664" s="36">
        <f>YEAR(RESER3[[#This Row],[DATA]])</f>
        <v>2021</v>
      </c>
      <c r="K664" s="36">
        <f t="shared" si="13"/>
        <v>9</v>
      </c>
      <c r="L664" s="36">
        <f>DAY(RESER3[[#This Row],[DATA]])</f>
        <v>14</v>
      </c>
      <c r="M664" s="36"/>
    </row>
    <row r="665" spans="1:13" x14ac:dyDescent="0.25">
      <c r="A665" s="36"/>
      <c r="B665" s="129" t="s">
        <v>13</v>
      </c>
      <c r="C665" s="128">
        <v>44453</v>
      </c>
      <c r="D665" s="36" t="s">
        <v>189</v>
      </c>
      <c r="E665" s="36" t="s">
        <v>222</v>
      </c>
      <c r="F665" s="36" t="s">
        <v>228</v>
      </c>
      <c r="G665" s="36" t="s">
        <v>468</v>
      </c>
      <c r="H665" s="36">
        <v>1</v>
      </c>
      <c r="I665" s="36" t="s">
        <v>179</v>
      </c>
      <c r="J665" s="36">
        <f>YEAR(RESER3[[#This Row],[DATA]])</f>
        <v>2021</v>
      </c>
      <c r="K665" s="36">
        <f t="shared" si="13"/>
        <v>9</v>
      </c>
      <c r="L665" s="36">
        <f>DAY(RESER3[[#This Row],[DATA]])</f>
        <v>14</v>
      </c>
      <c r="M665" s="36"/>
    </row>
    <row r="666" spans="1:13" x14ac:dyDescent="0.25">
      <c r="A666" s="36"/>
      <c r="B666" s="129" t="s">
        <v>14</v>
      </c>
      <c r="C666" s="128">
        <v>44453</v>
      </c>
      <c r="D666" s="36" t="s">
        <v>189</v>
      </c>
      <c r="E666" s="36" t="s">
        <v>462</v>
      </c>
      <c r="F666" s="36" t="s">
        <v>265</v>
      </c>
      <c r="G666" s="36" t="s">
        <v>484</v>
      </c>
      <c r="H666" s="36">
        <v>1</v>
      </c>
      <c r="I666" s="36" t="s">
        <v>179</v>
      </c>
      <c r="J666" s="36">
        <f>YEAR(RESER3[[#This Row],[DATA]])</f>
        <v>2021</v>
      </c>
      <c r="K666" s="36">
        <f t="shared" si="13"/>
        <v>9</v>
      </c>
      <c r="L666" s="36">
        <f>DAY(RESER3[[#This Row],[DATA]])</f>
        <v>14</v>
      </c>
      <c r="M666" s="36"/>
    </row>
    <row r="667" spans="1:13" x14ac:dyDescent="0.25">
      <c r="A667" s="36"/>
      <c r="B667" s="129" t="s">
        <v>22</v>
      </c>
      <c r="C667" s="128">
        <v>44453</v>
      </c>
      <c r="D667" s="36" t="s">
        <v>189</v>
      </c>
      <c r="E667" s="36" t="s">
        <v>462</v>
      </c>
      <c r="F667" s="36" t="s">
        <v>191</v>
      </c>
      <c r="G667" s="36" t="s">
        <v>191</v>
      </c>
      <c r="H667" s="36">
        <v>1</v>
      </c>
      <c r="I667" s="36" t="s">
        <v>179</v>
      </c>
      <c r="J667" s="36">
        <f>YEAR(RESER3[[#This Row],[DATA]])</f>
        <v>2021</v>
      </c>
      <c r="K667" s="36">
        <f t="shared" si="13"/>
        <v>9</v>
      </c>
      <c r="L667" s="36">
        <f>DAY(RESER3[[#This Row],[DATA]])</f>
        <v>14</v>
      </c>
      <c r="M667" s="36"/>
    </row>
    <row r="668" spans="1:13" x14ac:dyDescent="0.25">
      <c r="A668" s="36"/>
      <c r="B668" s="129" t="s">
        <v>14</v>
      </c>
      <c r="C668" s="128">
        <v>44453</v>
      </c>
      <c r="D668" s="36" t="s">
        <v>189</v>
      </c>
      <c r="E668" s="36" t="s">
        <v>222</v>
      </c>
      <c r="F668" s="36" t="s">
        <v>265</v>
      </c>
      <c r="G668" s="36" t="s">
        <v>484</v>
      </c>
      <c r="H668" s="36">
        <v>1</v>
      </c>
      <c r="I668" s="36" t="s">
        <v>179</v>
      </c>
      <c r="J668" s="36">
        <f>YEAR(RESER3[[#This Row],[DATA]])</f>
        <v>2021</v>
      </c>
      <c r="K668" s="36">
        <f t="shared" si="13"/>
        <v>9</v>
      </c>
      <c r="L668" s="36">
        <f>DAY(RESER3[[#This Row],[DATA]])</f>
        <v>14</v>
      </c>
      <c r="M668" s="36"/>
    </row>
    <row r="669" spans="1:13" x14ac:dyDescent="0.25">
      <c r="A669" s="36"/>
      <c r="B669" s="129" t="s">
        <v>19</v>
      </c>
      <c r="C669" s="128">
        <v>44454</v>
      </c>
      <c r="D669" s="36" t="s">
        <v>189</v>
      </c>
      <c r="E669" s="36" t="s">
        <v>462</v>
      </c>
      <c r="F669" s="36" t="s">
        <v>191</v>
      </c>
      <c r="G669" s="36" t="s">
        <v>191</v>
      </c>
      <c r="H669" s="36">
        <v>1</v>
      </c>
      <c r="I669" s="36" t="s">
        <v>179</v>
      </c>
      <c r="J669" s="36">
        <f>YEAR(RESER3[[#This Row],[DATA]])</f>
        <v>2021</v>
      </c>
      <c r="K669" s="36">
        <f t="shared" si="13"/>
        <v>9</v>
      </c>
      <c r="L669" s="36">
        <f>DAY(RESER3[[#This Row],[DATA]])</f>
        <v>15</v>
      </c>
      <c r="M669" s="36"/>
    </row>
    <row r="670" spans="1:13" x14ac:dyDescent="0.25">
      <c r="A670" s="36"/>
      <c r="B670" s="129" t="s">
        <v>16</v>
      </c>
      <c r="C670" s="128">
        <v>44454</v>
      </c>
      <c r="D670" s="36" t="s">
        <v>189</v>
      </c>
      <c r="E670" s="36" t="s">
        <v>222</v>
      </c>
      <c r="F670" s="36" t="s">
        <v>245</v>
      </c>
      <c r="G670" s="36" t="s">
        <v>482</v>
      </c>
      <c r="H670" s="36">
        <v>1</v>
      </c>
      <c r="I670" s="36" t="s">
        <v>179</v>
      </c>
      <c r="J670" s="36">
        <f>YEAR(RESER3[[#This Row],[DATA]])</f>
        <v>2021</v>
      </c>
      <c r="K670" s="36">
        <f t="shared" si="13"/>
        <v>9</v>
      </c>
      <c r="L670" s="36">
        <f>DAY(RESER3[[#This Row],[DATA]])</f>
        <v>15</v>
      </c>
      <c r="M670" s="36"/>
    </row>
    <row r="671" spans="1:13" x14ac:dyDescent="0.25">
      <c r="A671" s="36"/>
      <c r="B671" s="129" t="s">
        <v>14</v>
      </c>
      <c r="C671" s="128">
        <v>44454</v>
      </c>
      <c r="D671" s="36" t="s">
        <v>189</v>
      </c>
      <c r="E671" s="36" t="s">
        <v>222</v>
      </c>
      <c r="F671" s="36" t="s">
        <v>265</v>
      </c>
      <c r="G671" s="36" t="s">
        <v>484</v>
      </c>
      <c r="H671" s="36">
        <v>1</v>
      </c>
      <c r="I671" s="36" t="s">
        <v>179</v>
      </c>
      <c r="J671" s="36">
        <f>YEAR(RESER3[[#This Row],[DATA]])</f>
        <v>2021</v>
      </c>
      <c r="K671" s="36">
        <f t="shared" si="13"/>
        <v>9</v>
      </c>
      <c r="L671" s="36">
        <f>DAY(RESER3[[#This Row],[DATA]])</f>
        <v>15</v>
      </c>
      <c r="M671" s="36"/>
    </row>
    <row r="672" spans="1:13" x14ac:dyDescent="0.25">
      <c r="A672" s="36"/>
      <c r="B672" s="129" t="s">
        <v>10</v>
      </c>
      <c r="C672" s="128">
        <v>44454</v>
      </c>
      <c r="D672" s="36" t="s">
        <v>189</v>
      </c>
      <c r="E672" s="36" t="s">
        <v>462</v>
      </c>
      <c r="F672" s="36" t="s">
        <v>228</v>
      </c>
      <c r="G672" s="36" t="s">
        <v>468</v>
      </c>
      <c r="H672" s="36">
        <v>1</v>
      </c>
      <c r="I672" s="36" t="s">
        <v>179</v>
      </c>
      <c r="J672" s="36">
        <f>YEAR(RESER3[[#This Row],[DATA]])</f>
        <v>2021</v>
      </c>
      <c r="K672" s="36">
        <f t="shared" si="13"/>
        <v>9</v>
      </c>
      <c r="L672" s="36">
        <f>DAY(RESER3[[#This Row],[DATA]])</f>
        <v>15</v>
      </c>
      <c r="M672" s="36"/>
    </row>
    <row r="673" spans="1:13" x14ac:dyDescent="0.25">
      <c r="A673" s="36"/>
      <c r="B673" s="129" t="s">
        <v>7</v>
      </c>
      <c r="C673" s="128">
        <v>44454</v>
      </c>
      <c r="D673" s="36" t="s">
        <v>189</v>
      </c>
      <c r="E673" s="36" t="s">
        <v>462</v>
      </c>
      <c r="F673" s="36" t="s">
        <v>194</v>
      </c>
      <c r="G673" s="36" t="s">
        <v>473</v>
      </c>
      <c r="H673" s="36">
        <v>1</v>
      </c>
      <c r="I673" s="36" t="s">
        <v>179</v>
      </c>
      <c r="J673" s="36">
        <f>YEAR(RESER3[[#This Row],[DATA]])</f>
        <v>2021</v>
      </c>
      <c r="K673" s="36">
        <f t="shared" si="13"/>
        <v>9</v>
      </c>
      <c r="L673" s="36">
        <f>DAY(RESER3[[#This Row],[DATA]])</f>
        <v>15</v>
      </c>
      <c r="M673" s="36"/>
    </row>
    <row r="674" spans="1:13" x14ac:dyDescent="0.25">
      <c r="A674" s="36"/>
      <c r="B674" s="129" t="s">
        <v>112</v>
      </c>
      <c r="C674" s="128">
        <v>44455</v>
      </c>
      <c r="D674" s="36" t="s">
        <v>189</v>
      </c>
      <c r="E674" s="36" t="s">
        <v>222</v>
      </c>
      <c r="F674" s="36" t="s">
        <v>194</v>
      </c>
      <c r="G674" s="36" t="s">
        <v>473</v>
      </c>
      <c r="H674" s="36">
        <v>1</v>
      </c>
      <c r="I674" s="36" t="s">
        <v>179</v>
      </c>
      <c r="J674" s="36">
        <f>YEAR(RESER3[[#This Row],[DATA]])</f>
        <v>2021</v>
      </c>
      <c r="K674" s="36">
        <f t="shared" si="13"/>
        <v>9</v>
      </c>
      <c r="L674" s="36">
        <f>DAY(RESER3[[#This Row],[DATA]])</f>
        <v>16</v>
      </c>
      <c r="M674" s="36"/>
    </row>
    <row r="675" spans="1:13" x14ac:dyDescent="0.25">
      <c r="A675" s="36"/>
      <c r="B675" s="129" t="s">
        <v>7</v>
      </c>
      <c r="C675" s="128">
        <v>44455</v>
      </c>
      <c r="D675" s="36" t="s">
        <v>189</v>
      </c>
      <c r="E675" s="36" t="s">
        <v>462</v>
      </c>
      <c r="F675" s="36" t="s">
        <v>194</v>
      </c>
      <c r="G675" s="36" t="s">
        <v>473</v>
      </c>
      <c r="H675" s="36">
        <v>1</v>
      </c>
      <c r="I675" s="36" t="s">
        <v>179</v>
      </c>
      <c r="J675" s="36">
        <f>YEAR(RESER3[[#This Row],[DATA]])</f>
        <v>2021</v>
      </c>
      <c r="K675" s="36">
        <f t="shared" si="13"/>
        <v>9</v>
      </c>
      <c r="L675" s="36">
        <f>DAY(RESER3[[#This Row],[DATA]])</f>
        <v>16</v>
      </c>
      <c r="M675" s="36"/>
    </row>
    <row r="676" spans="1:13" x14ac:dyDescent="0.25">
      <c r="A676" s="36"/>
      <c r="B676" s="129" t="s">
        <v>41</v>
      </c>
      <c r="C676" s="128">
        <v>44455</v>
      </c>
      <c r="D676" s="36" t="s">
        <v>189</v>
      </c>
      <c r="E676" s="36" t="s">
        <v>462</v>
      </c>
      <c r="F676" s="36" t="s">
        <v>228</v>
      </c>
      <c r="G676" s="36" t="s">
        <v>468</v>
      </c>
      <c r="H676" s="36">
        <v>1</v>
      </c>
      <c r="I676" s="36" t="s">
        <v>179</v>
      </c>
      <c r="J676" s="36">
        <f>YEAR(RESER3[[#This Row],[DATA]])</f>
        <v>2021</v>
      </c>
      <c r="K676" s="36">
        <f t="shared" si="13"/>
        <v>9</v>
      </c>
      <c r="L676" s="36">
        <f>DAY(RESER3[[#This Row],[DATA]])</f>
        <v>16</v>
      </c>
      <c r="M676" s="36"/>
    </row>
    <row r="677" spans="1:13" x14ac:dyDescent="0.25">
      <c r="A677" s="36"/>
      <c r="B677" s="129" t="s">
        <v>10</v>
      </c>
      <c r="C677" s="128">
        <v>44456</v>
      </c>
      <c r="D677" s="36" t="s">
        <v>189</v>
      </c>
      <c r="E677" s="36" t="s">
        <v>222</v>
      </c>
      <c r="F677" s="36" t="s">
        <v>228</v>
      </c>
      <c r="G677" s="36" t="s">
        <v>468</v>
      </c>
      <c r="H677" s="36">
        <v>1</v>
      </c>
      <c r="I677" s="36" t="s">
        <v>179</v>
      </c>
      <c r="J677" s="36">
        <f>YEAR(RESER3[[#This Row],[DATA]])</f>
        <v>2021</v>
      </c>
      <c r="K677" s="36">
        <f t="shared" si="13"/>
        <v>9</v>
      </c>
      <c r="L677" s="36">
        <f>DAY(RESER3[[#This Row],[DATA]])</f>
        <v>17</v>
      </c>
      <c r="M677" s="36"/>
    </row>
    <row r="678" spans="1:13" x14ac:dyDescent="0.25">
      <c r="A678" s="36"/>
      <c r="B678" s="129" t="s">
        <v>14</v>
      </c>
      <c r="C678" s="128">
        <v>44459</v>
      </c>
      <c r="D678" s="36" t="s">
        <v>189</v>
      </c>
      <c r="E678" s="36" t="s">
        <v>222</v>
      </c>
      <c r="F678" s="36" t="s">
        <v>228</v>
      </c>
      <c r="G678" s="36" t="s">
        <v>468</v>
      </c>
      <c r="H678" s="36">
        <v>1</v>
      </c>
      <c r="I678" s="36" t="s">
        <v>179</v>
      </c>
      <c r="J678" s="36">
        <f>YEAR(RESER3[[#This Row],[DATA]])</f>
        <v>2021</v>
      </c>
      <c r="K678" s="36">
        <f t="shared" si="13"/>
        <v>9</v>
      </c>
      <c r="L678" s="36">
        <f>DAY(RESER3[[#This Row],[DATA]])</f>
        <v>20</v>
      </c>
      <c r="M678" s="36"/>
    </row>
    <row r="679" spans="1:13" x14ac:dyDescent="0.25">
      <c r="A679" s="36"/>
      <c r="B679" s="129" t="s">
        <v>14</v>
      </c>
      <c r="C679" s="128">
        <v>44459</v>
      </c>
      <c r="D679" s="36" t="s">
        <v>189</v>
      </c>
      <c r="E679" s="36" t="s">
        <v>462</v>
      </c>
      <c r="F679" s="36" t="s">
        <v>191</v>
      </c>
      <c r="G679" s="36" t="s">
        <v>191</v>
      </c>
      <c r="H679" s="36">
        <v>1</v>
      </c>
      <c r="I679" s="36" t="s">
        <v>179</v>
      </c>
      <c r="J679" s="36">
        <f>YEAR(RESER3[[#This Row],[DATA]])</f>
        <v>2021</v>
      </c>
      <c r="K679" s="36">
        <f t="shared" si="13"/>
        <v>9</v>
      </c>
      <c r="L679" s="36">
        <f>DAY(RESER3[[#This Row],[DATA]])</f>
        <v>20</v>
      </c>
      <c r="M679" s="36"/>
    </row>
    <row r="680" spans="1:13" x14ac:dyDescent="0.25">
      <c r="A680" s="36"/>
      <c r="B680" s="129" t="s">
        <v>98</v>
      </c>
      <c r="C680" s="128">
        <v>44459</v>
      </c>
      <c r="D680" s="36" t="s">
        <v>189</v>
      </c>
      <c r="E680" s="36" t="s">
        <v>222</v>
      </c>
      <c r="F680" s="36" t="s">
        <v>194</v>
      </c>
      <c r="G680" s="36" t="s">
        <v>473</v>
      </c>
      <c r="H680" s="36">
        <v>1</v>
      </c>
      <c r="I680" s="36" t="s">
        <v>179</v>
      </c>
      <c r="J680" s="36">
        <f>YEAR(RESER3[[#This Row],[DATA]])</f>
        <v>2021</v>
      </c>
      <c r="K680" s="36">
        <f t="shared" si="13"/>
        <v>9</v>
      </c>
      <c r="L680" s="36">
        <f>DAY(RESER3[[#This Row],[DATA]])</f>
        <v>20</v>
      </c>
      <c r="M680" s="36"/>
    </row>
    <row r="681" spans="1:13" x14ac:dyDescent="0.25">
      <c r="A681" s="36"/>
      <c r="B681" s="129" t="s">
        <v>10</v>
      </c>
      <c r="C681" s="128">
        <v>44459</v>
      </c>
      <c r="D681" s="36" t="s">
        <v>189</v>
      </c>
      <c r="E681" s="36" t="s">
        <v>222</v>
      </c>
      <c r="F681" s="36" t="s">
        <v>194</v>
      </c>
      <c r="G681" s="36" t="s">
        <v>473</v>
      </c>
      <c r="H681" s="36">
        <v>1</v>
      </c>
      <c r="I681" s="36" t="s">
        <v>179</v>
      </c>
      <c r="J681" s="36">
        <f>YEAR(RESER3[[#This Row],[DATA]])</f>
        <v>2021</v>
      </c>
      <c r="K681" s="36">
        <f t="shared" si="13"/>
        <v>9</v>
      </c>
      <c r="L681" s="36">
        <f>DAY(RESER3[[#This Row],[DATA]])</f>
        <v>20</v>
      </c>
      <c r="M681" s="36"/>
    </row>
    <row r="682" spans="1:13" x14ac:dyDescent="0.25">
      <c r="A682" s="36"/>
      <c r="B682" s="129" t="s">
        <v>14</v>
      </c>
      <c r="C682" s="128">
        <v>44460</v>
      </c>
      <c r="D682" s="36" t="s">
        <v>189</v>
      </c>
      <c r="E682" s="36" t="s">
        <v>462</v>
      </c>
      <c r="F682" s="36" t="s">
        <v>228</v>
      </c>
      <c r="G682" s="36" t="s">
        <v>468</v>
      </c>
      <c r="H682" s="36">
        <v>1</v>
      </c>
      <c r="I682" s="36" t="s">
        <v>179</v>
      </c>
      <c r="J682" s="36">
        <f>YEAR(RESER3[[#This Row],[DATA]])</f>
        <v>2021</v>
      </c>
      <c r="K682" s="36">
        <f t="shared" si="13"/>
        <v>9</v>
      </c>
      <c r="L682" s="36">
        <f>DAY(RESER3[[#This Row],[DATA]])</f>
        <v>21</v>
      </c>
      <c r="M682" s="36"/>
    </row>
    <row r="683" spans="1:13" x14ac:dyDescent="0.25">
      <c r="A683" s="36"/>
      <c r="B683" s="129" t="s">
        <v>20</v>
      </c>
      <c r="C683" s="128">
        <v>44460</v>
      </c>
      <c r="D683" s="36" t="s">
        <v>189</v>
      </c>
      <c r="E683" s="36" t="s">
        <v>462</v>
      </c>
      <c r="F683" s="36" t="s">
        <v>228</v>
      </c>
      <c r="G683" s="36" t="s">
        <v>467</v>
      </c>
      <c r="H683" s="36">
        <v>1</v>
      </c>
      <c r="I683" s="36" t="s">
        <v>179</v>
      </c>
      <c r="J683" s="36">
        <f>YEAR(RESER3[[#This Row],[DATA]])</f>
        <v>2021</v>
      </c>
      <c r="K683" s="36">
        <f t="shared" si="13"/>
        <v>9</v>
      </c>
      <c r="L683" s="36">
        <f>DAY(RESER3[[#This Row],[DATA]])</f>
        <v>21</v>
      </c>
      <c r="M683" s="36"/>
    </row>
    <row r="684" spans="1:13" x14ac:dyDescent="0.25">
      <c r="A684" s="36"/>
      <c r="B684" s="129" t="s">
        <v>112</v>
      </c>
      <c r="C684" s="128">
        <v>44460</v>
      </c>
      <c r="D684" s="36" t="s">
        <v>189</v>
      </c>
      <c r="E684" s="36" t="s">
        <v>222</v>
      </c>
      <c r="F684" s="36" t="s">
        <v>191</v>
      </c>
      <c r="G684" s="36" t="s">
        <v>191</v>
      </c>
      <c r="H684" s="36">
        <v>1</v>
      </c>
      <c r="I684" s="36" t="s">
        <v>179</v>
      </c>
      <c r="J684" s="36">
        <f>YEAR(RESER3[[#This Row],[DATA]])</f>
        <v>2021</v>
      </c>
      <c r="K684" s="36">
        <f t="shared" si="13"/>
        <v>9</v>
      </c>
      <c r="L684" s="36">
        <f>DAY(RESER3[[#This Row],[DATA]])</f>
        <v>21</v>
      </c>
      <c r="M684" s="36"/>
    </row>
    <row r="685" spans="1:13" x14ac:dyDescent="0.25">
      <c r="A685" s="36"/>
      <c r="B685" s="129" t="s">
        <v>7</v>
      </c>
      <c r="C685" s="128">
        <v>44460</v>
      </c>
      <c r="D685" s="36" t="s">
        <v>189</v>
      </c>
      <c r="E685" s="36" t="s">
        <v>222</v>
      </c>
      <c r="F685" s="36" t="s">
        <v>191</v>
      </c>
      <c r="G685" s="36" t="s">
        <v>191</v>
      </c>
      <c r="H685" s="36">
        <v>1</v>
      </c>
      <c r="I685" s="36" t="s">
        <v>179</v>
      </c>
      <c r="J685" s="36">
        <f>YEAR(RESER3[[#This Row],[DATA]])</f>
        <v>2021</v>
      </c>
      <c r="K685" s="36">
        <f t="shared" si="13"/>
        <v>9</v>
      </c>
      <c r="L685" s="36">
        <f>DAY(RESER3[[#This Row],[DATA]])</f>
        <v>21</v>
      </c>
      <c r="M685" s="36"/>
    </row>
    <row r="686" spans="1:13" x14ac:dyDescent="0.25">
      <c r="A686" s="36"/>
      <c r="B686" s="129" t="s">
        <v>10</v>
      </c>
      <c r="C686" s="128">
        <v>44460</v>
      </c>
      <c r="D686" s="36" t="s">
        <v>189</v>
      </c>
      <c r="E686" s="36" t="s">
        <v>462</v>
      </c>
      <c r="F686" s="36" t="s">
        <v>194</v>
      </c>
      <c r="G686" s="36" t="s">
        <v>473</v>
      </c>
      <c r="H686" s="36">
        <v>1</v>
      </c>
      <c r="I686" s="36" t="s">
        <v>179</v>
      </c>
      <c r="J686" s="36">
        <f>YEAR(RESER3[[#This Row],[DATA]])</f>
        <v>2021</v>
      </c>
      <c r="K686" s="36">
        <f t="shared" si="13"/>
        <v>9</v>
      </c>
      <c r="L686" s="36">
        <f>DAY(RESER3[[#This Row],[DATA]])</f>
        <v>21</v>
      </c>
      <c r="M686" s="36"/>
    </row>
    <row r="687" spans="1:13" x14ac:dyDescent="0.25">
      <c r="A687" s="36"/>
      <c r="B687" s="129" t="s">
        <v>9</v>
      </c>
      <c r="C687" s="128">
        <v>44461</v>
      </c>
      <c r="D687" s="36" t="s">
        <v>189</v>
      </c>
      <c r="E687" s="36" t="s">
        <v>222</v>
      </c>
      <c r="F687" s="36" t="s">
        <v>194</v>
      </c>
      <c r="G687" s="36" t="s">
        <v>473</v>
      </c>
      <c r="H687" s="36">
        <v>1</v>
      </c>
      <c r="I687" s="36" t="s">
        <v>179</v>
      </c>
      <c r="J687" s="36">
        <f>YEAR(RESER3[[#This Row],[DATA]])</f>
        <v>2021</v>
      </c>
      <c r="K687" s="36">
        <f t="shared" si="13"/>
        <v>9</v>
      </c>
      <c r="L687" s="36">
        <f>DAY(RESER3[[#This Row],[DATA]])</f>
        <v>22</v>
      </c>
      <c r="M687" s="36"/>
    </row>
    <row r="688" spans="1:13" x14ac:dyDescent="0.25">
      <c r="A688" s="36"/>
      <c r="B688" s="129" t="s">
        <v>40</v>
      </c>
      <c r="C688" s="128">
        <v>44461</v>
      </c>
      <c r="D688" s="36" t="s">
        <v>189</v>
      </c>
      <c r="E688" s="36" t="s">
        <v>222</v>
      </c>
      <c r="F688" s="36" t="s">
        <v>228</v>
      </c>
      <c r="G688" s="36" t="s">
        <v>485</v>
      </c>
      <c r="H688" s="36">
        <v>1</v>
      </c>
      <c r="I688" s="36" t="s">
        <v>179</v>
      </c>
      <c r="J688" s="36">
        <f>YEAR(RESER3[[#This Row],[DATA]])</f>
        <v>2021</v>
      </c>
      <c r="K688" s="36">
        <f t="shared" si="13"/>
        <v>9</v>
      </c>
      <c r="L688" s="36">
        <f>DAY(RESER3[[#This Row],[DATA]])</f>
        <v>22</v>
      </c>
      <c r="M688" s="36"/>
    </row>
    <row r="689" spans="1:13" x14ac:dyDescent="0.25">
      <c r="A689" s="36"/>
      <c r="B689" s="129" t="s">
        <v>41</v>
      </c>
      <c r="C689" s="128">
        <v>44461</v>
      </c>
      <c r="D689" s="36" t="s">
        <v>189</v>
      </c>
      <c r="E689" s="36" t="s">
        <v>222</v>
      </c>
      <c r="F689" s="36" t="s">
        <v>228</v>
      </c>
      <c r="G689" s="36" t="s">
        <v>468</v>
      </c>
      <c r="H689" s="36">
        <v>1</v>
      </c>
      <c r="I689" s="36" t="s">
        <v>179</v>
      </c>
      <c r="J689" s="36">
        <f>YEAR(RESER3[[#This Row],[DATA]])</f>
        <v>2021</v>
      </c>
      <c r="K689" s="36">
        <f t="shared" si="13"/>
        <v>9</v>
      </c>
      <c r="L689" s="36">
        <f>DAY(RESER3[[#This Row],[DATA]])</f>
        <v>22</v>
      </c>
      <c r="M689" s="36"/>
    </row>
    <row r="690" spans="1:13" x14ac:dyDescent="0.25">
      <c r="A690" s="36"/>
      <c r="B690" s="129" t="s">
        <v>41</v>
      </c>
      <c r="C690" s="128">
        <v>44461</v>
      </c>
      <c r="D690" s="36" t="s">
        <v>189</v>
      </c>
      <c r="E690" s="36" t="s">
        <v>462</v>
      </c>
      <c r="F690" s="36" t="s">
        <v>196</v>
      </c>
      <c r="G690" s="36" t="s">
        <v>466</v>
      </c>
      <c r="H690" s="36">
        <v>1</v>
      </c>
      <c r="I690" s="36" t="s">
        <v>179</v>
      </c>
      <c r="J690" s="36">
        <f>YEAR(RESER3[[#This Row],[DATA]])</f>
        <v>2021</v>
      </c>
      <c r="K690" s="36">
        <f t="shared" si="13"/>
        <v>9</v>
      </c>
      <c r="L690" s="36">
        <f>DAY(RESER3[[#This Row],[DATA]])</f>
        <v>22</v>
      </c>
      <c r="M690" s="36"/>
    </row>
    <row r="691" spans="1:13" x14ac:dyDescent="0.25">
      <c r="A691" s="36"/>
      <c r="B691" s="129" t="s">
        <v>22</v>
      </c>
      <c r="C691" s="128">
        <v>44461</v>
      </c>
      <c r="D691" s="36" t="s">
        <v>189</v>
      </c>
      <c r="E691" s="36" t="s">
        <v>462</v>
      </c>
      <c r="F691" s="36" t="s">
        <v>194</v>
      </c>
      <c r="G691" s="36" t="s">
        <v>473</v>
      </c>
      <c r="H691" s="36">
        <v>1</v>
      </c>
      <c r="I691" s="36" t="s">
        <v>179</v>
      </c>
      <c r="J691" s="36">
        <f>YEAR(RESER3[[#This Row],[DATA]])</f>
        <v>2021</v>
      </c>
      <c r="K691" s="36">
        <f t="shared" si="13"/>
        <v>9</v>
      </c>
      <c r="L691" s="36">
        <f>DAY(RESER3[[#This Row],[DATA]])</f>
        <v>22</v>
      </c>
      <c r="M691" s="36"/>
    </row>
    <row r="692" spans="1:13" x14ac:dyDescent="0.25">
      <c r="A692" s="36"/>
      <c r="B692" s="129" t="s">
        <v>14</v>
      </c>
      <c r="C692" s="128">
        <v>44462</v>
      </c>
      <c r="D692" s="36" t="s">
        <v>189</v>
      </c>
      <c r="E692" s="36" t="s">
        <v>222</v>
      </c>
      <c r="F692" s="36" t="s">
        <v>228</v>
      </c>
      <c r="G692" s="36" t="s">
        <v>468</v>
      </c>
      <c r="H692" s="36">
        <v>1</v>
      </c>
      <c r="I692" s="36" t="s">
        <v>179</v>
      </c>
      <c r="J692" s="36">
        <f>YEAR(RESER3[[#This Row],[DATA]])</f>
        <v>2021</v>
      </c>
      <c r="K692" s="36">
        <f t="shared" si="13"/>
        <v>9</v>
      </c>
      <c r="L692" s="36">
        <f>DAY(RESER3[[#This Row],[DATA]])</f>
        <v>23</v>
      </c>
      <c r="M692" s="36"/>
    </row>
    <row r="693" spans="1:13" x14ac:dyDescent="0.25">
      <c r="A693" s="36"/>
      <c r="B693" s="129" t="s">
        <v>16</v>
      </c>
      <c r="C693" s="128">
        <v>44462</v>
      </c>
      <c r="D693" s="36" t="s">
        <v>189</v>
      </c>
      <c r="E693" s="36" t="s">
        <v>462</v>
      </c>
      <c r="F693" s="36" t="s">
        <v>191</v>
      </c>
      <c r="G693" s="36" t="s">
        <v>191</v>
      </c>
      <c r="H693" s="36">
        <v>1</v>
      </c>
      <c r="I693" s="36" t="s">
        <v>179</v>
      </c>
      <c r="J693" s="36">
        <f>YEAR(RESER3[[#This Row],[DATA]])</f>
        <v>2021</v>
      </c>
      <c r="K693" s="36">
        <f t="shared" si="13"/>
        <v>9</v>
      </c>
      <c r="L693" s="36">
        <f>DAY(RESER3[[#This Row],[DATA]])</f>
        <v>23</v>
      </c>
      <c r="M693" s="36"/>
    </row>
    <row r="694" spans="1:13" x14ac:dyDescent="0.25">
      <c r="A694" s="36"/>
      <c r="B694" s="129" t="s">
        <v>14</v>
      </c>
      <c r="C694" s="128">
        <v>44462</v>
      </c>
      <c r="D694" s="36" t="s">
        <v>189</v>
      </c>
      <c r="E694" s="36" t="s">
        <v>222</v>
      </c>
      <c r="F694" s="36" t="s">
        <v>228</v>
      </c>
      <c r="G694" s="36" t="s">
        <v>468</v>
      </c>
      <c r="H694" s="36">
        <v>1</v>
      </c>
      <c r="I694" s="36" t="s">
        <v>179</v>
      </c>
      <c r="J694" s="36">
        <f>YEAR(RESER3[[#This Row],[DATA]])</f>
        <v>2021</v>
      </c>
      <c r="K694" s="36">
        <f t="shared" si="13"/>
        <v>9</v>
      </c>
      <c r="L694" s="36">
        <f>DAY(RESER3[[#This Row],[DATA]])</f>
        <v>23</v>
      </c>
      <c r="M694" s="36"/>
    </row>
    <row r="695" spans="1:13" x14ac:dyDescent="0.25">
      <c r="A695" s="36"/>
      <c r="B695" s="129" t="s">
        <v>10</v>
      </c>
      <c r="C695" s="128">
        <v>44462</v>
      </c>
      <c r="D695" s="36" t="s">
        <v>189</v>
      </c>
      <c r="E695" s="36" t="s">
        <v>462</v>
      </c>
      <c r="F695" s="36" t="s">
        <v>191</v>
      </c>
      <c r="G695" s="36" t="s">
        <v>191</v>
      </c>
      <c r="H695" s="36">
        <v>1</v>
      </c>
      <c r="I695" s="36" t="s">
        <v>179</v>
      </c>
      <c r="J695" s="36">
        <f>YEAR(RESER3[[#This Row],[DATA]])</f>
        <v>2021</v>
      </c>
      <c r="K695" s="36">
        <f t="shared" si="13"/>
        <v>9</v>
      </c>
      <c r="L695" s="36">
        <f>DAY(RESER3[[#This Row],[DATA]])</f>
        <v>23</v>
      </c>
      <c r="M695" s="36"/>
    </row>
    <row r="696" spans="1:13" x14ac:dyDescent="0.25">
      <c r="A696" s="36"/>
      <c r="B696" s="129" t="s">
        <v>8</v>
      </c>
      <c r="C696" s="128">
        <v>44462</v>
      </c>
      <c r="D696" s="36" t="s">
        <v>189</v>
      </c>
      <c r="E696" s="36" t="s">
        <v>222</v>
      </c>
      <c r="F696" s="36" t="s">
        <v>191</v>
      </c>
      <c r="G696" s="36" t="s">
        <v>191</v>
      </c>
      <c r="H696" s="36">
        <v>1</v>
      </c>
      <c r="I696" s="36" t="s">
        <v>179</v>
      </c>
      <c r="J696" s="36">
        <f>YEAR(RESER3[[#This Row],[DATA]])</f>
        <v>2021</v>
      </c>
      <c r="K696" s="36">
        <f t="shared" si="13"/>
        <v>9</v>
      </c>
      <c r="L696" s="36">
        <f>DAY(RESER3[[#This Row],[DATA]])</f>
        <v>23</v>
      </c>
      <c r="M696" s="36"/>
    </row>
    <row r="697" spans="1:13" x14ac:dyDescent="0.25">
      <c r="A697" s="36"/>
      <c r="B697" s="129" t="s">
        <v>7</v>
      </c>
      <c r="C697" s="128">
        <v>44462</v>
      </c>
      <c r="D697" s="36" t="s">
        <v>189</v>
      </c>
      <c r="E697" s="36" t="s">
        <v>462</v>
      </c>
      <c r="F697" s="36" t="s">
        <v>191</v>
      </c>
      <c r="G697" s="36" t="s">
        <v>191</v>
      </c>
      <c r="H697" s="36">
        <v>1</v>
      </c>
      <c r="I697" s="36" t="s">
        <v>179</v>
      </c>
      <c r="J697" s="36">
        <f>YEAR(RESER3[[#This Row],[DATA]])</f>
        <v>2021</v>
      </c>
      <c r="K697" s="36">
        <f t="shared" si="13"/>
        <v>9</v>
      </c>
      <c r="L697" s="36">
        <f>DAY(RESER3[[#This Row],[DATA]])</f>
        <v>23</v>
      </c>
      <c r="M697" s="36"/>
    </row>
    <row r="698" spans="1:13" x14ac:dyDescent="0.25">
      <c r="A698" s="36"/>
      <c r="B698" s="129" t="s">
        <v>13</v>
      </c>
      <c r="C698" s="128">
        <v>44463</v>
      </c>
      <c r="D698" s="36" t="s">
        <v>189</v>
      </c>
      <c r="E698" s="36" t="s">
        <v>462</v>
      </c>
      <c r="F698" s="36" t="s">
        <v>191</v>
      </c>
      <c r="G698" s="36" t="s">
        <v>191</v>
      </c>
      <c r="H698" s="36">
        <v>1</v>
      </c>
      <c r="I698" s="36" t="s">
        <v>179</v>
      </c>
      <c r="J698" s="36">
        <f>YEAR(RESER3[[#This Row],[DATA]])</f>
        <v>2021</v>
      </c>
      <c r="K698" s="36">
        <f t="shared" si="13"/>
        <v>9</v>
      </c>
      <c r="L698" s="36">
        <f>DAY(RESER3[[#This Row],[DATA]])</f>
        <v>24</v>
      </c>
      <c r="M698" s="36"/>
    </row>
    <row r="699" spans="1:13" x14ac:dyDescent="0.25">
      <c r="A699" s="36"/>
      <c r="B699" s="129" t="s">
        <v>22</v>
      </c>
      <c r="C699" s="128">
        <v>44463</v>
      </c>
      <c r="D699" s="36" t="s">
        <v>189</v>
      </c>
      <c r="E699" s="36" t="s">
        <v>222</v>
      </c>
      <c r="F699" s="36" t="s">
        <v>191</v>
      </c>
      <c r="G699" s="36" t="s">
        <v>191</v>
      </c>
      <c r="H699" s="36">
        <v>1</v>
      </c>
      <c r="I699" s="36" t="s">
        <v>179</v>
      </c>
      <c r="J699" s="36">
        <f>YEAR(RESER3[[#This Row],[DATA]])</f>
        <v>2021</v>
      </c>
      <c r="K699" s="36">
        <f t="shared" si="13"/>
        <v>9</v>
      </c>
      <c r="L699" s="36">
        <f>DAY(RESER3[[#This Row],[DATA]])</f>
        <v>24</v>
      </c>
      <c r="M699" s="36"/>
    </row>
    <row r="700" spans="1:13" x14ac:dyDescent="0.25">
      <c r="A700" s="36"/>
      <c r="B700" s="129" t="s">
        <v>20</v>
      </c>
      <c r="C700" s="128">
        <v>44463</v>
      </c>
      <c r="D700" s="36" t="s">
        <v>189</v>
      </c>
      <c r="E700" s="36" t="s">
        <v>222</v>
      </c>
      <c r="F700" s="36" t="s">
        <v>194</v>
      </c>
      <c r="G700" s="36" t="s">
        <v>473</v>
      </c>
      <c r="H700" s="36">
        <v>1</v>
      </c>
      <c r="I700" s="36" t="s">
        <v>179</v>
      </c>
      <c r="J700" s="36">
        <f>YEAR(RESER3[[#This Row],[DATA]])</f>
        <v>2021</v>
      </c>
      <c r="K700" s="36">
        <f t="shared" si="13"/>
        <v>9</v>
      </c>
      <c r="L700" s="36">
        <f>DAY(RESER3[[#This Row],[DATA]])</f>
        <v>24</v>
      </c>
      <c r="M700" s="36"/>
    </row>
    <row r="701" spans="1:13" x14ac:dyDescent="0.25">
      <c r="A701" s="36"/>
      <c r="B701" s="129" t="s">
        <v>112</v>
      </c>
      <c r="C701" s="128">
        <v>44463</v>
      </c>
      <c r="D701" s="36" t="s">
        <v>189</v>
      </c>
      <c r="E701" s="36" t="s">
        <v>462</v>
      </c>
      <c r="F701" s="36" t="s">
        <v>194</v>
      </c>
      <c r="G701" s="36" t="s">
        <v>473</v>
      </c>
      <c r="H701" s="36">
        <v>1</v>
      </c>
      <c r="I701" s="36" t="s">
        <v>179</v>
      </c>
      <c r="J701" s="36">
        <f>YEAR(RESER3[[#This Row],[DATA]])</f>
        <v>2021</v>
      </c>
      <c r="K701" s="36">
        <f t="shared" si="13"/>
        <v>9</v>
      </c>
      <c r="L701" s="36">
        <f>DAY(RESER3[[#This Row],[DATA]])</f>
        <v>24</v>
      </c>
      <c r="M701" s="36"/>
    </row>
    <row r="702" spans="1:13" x14ac:dyDescent="0.25">
      <c r="A702" s="36"/>
      <c r="B702" s="129" t="s">
        <v>4</v>
      </c>
      <c r="C702" s="128">
        <v>44463</v>
      </c>
      <c r="D702" s="36" t="s">
        <v>189</v>
      </c>
      <c r="E702" s="36" t="s">
        <v>462</v>
      </c>
      <c r="F702" s="36" t="s">
        <v>194</v>
      </c>
      <c r="G702" s="36" t="s">
        <v>473</v>
      </c>
      <c r="H702" s="36">
        <v>1</v>
      </c>
      <c r="I702" s="36" t="s">
        <v>179</v>
      </c>
      <c r="J702" s="36">
        <f>YEAR(RESER3[[#This Row],[DATA]])</f>
        <v>2021</v>
      </c>
      <c r="K702" s="36">
        <f t="shared" si="13"/>
        <v>9</v>
      </c>
      <c r="L702" s="36">
        <f>DAY(RESER3[[#This Row],[DATA]])</f>
        <v>24</v>
      </c>
      <c r="M702" s="36"/>
    </row>
    <row r="703" spans="1:13" x14ac:dyDescent="0.25">
      <c r="A703" s="36"/>
      <c r="B703" s="129" t="s">
        <v>5</v>
      </c>
      <c r="C703" s="128">
        <v>44466</v>
      </c>
      <c r="D703" s="36" t="s">
        <v>189</v>
      </c>
      <c r="E703" s="36" t="s">
        <v>222</v>
      </c>
      <c r="F703" s="36" t="s">
        <v>196</v>
      </c>
      <c r="G703" s="36" t="s">
        <v>466</v>
      </c>
      <c r="H703" s="36">
        <v>1</v>
      </c>
      <c r="I703" s="36" t="s">
        <v>179</v>
      </c>
      <c r="J703" s="36">
        <f>YEAR(RESER3[[#This Row],[DATA]])</f>
        <v>2021</v>
      </c>
      <c r="K703" s="36">
        <f t="shared" si="13"/>
        <v>9</v>
      </c>
      <c r="L703" s="36">
        <f>DAY(RESER3[[#This Row],[DATA]])</f>
        <v>27</v>
      </c>
      <c r="M703" s="36"/>
    </row>
    <row r="704" spans="1:13" x14ac:dyDescent="0.25">
      <c r="A704" s="36"/>
      <c r="B704" s="129" t="s">
        <v>41</v>
      </c>
      <c r="C704" s="128">
        <v>44466</v>
      </c>
      <c r="D704" s="36" t="s">
        <v>189</v>
      </c>
      <c r="E704" s="36" t="s">
        <v>222</v>
      </c>
      <c r="F704" s="36" t="s">
        <v>196</v>
      </c>
      <c r="G704" s="36" t="s">
        <v>466</v>
      </c>
      <c r="H704" s="36">
        <v>1</v>
      </c>
      <c r="I704" s="36" t="s">
        <v>179</v>
      </c>
      <c r="J704" s="36">
        <f>YEAR(RESER3[[#This Row],[DATA]])</f>
        <v>2021</v>
      </c>
      <c r="K704" s="36">
        <f t="shared" si="13"/>
        <v>9</v>
      </c>
      <c r="L704" s="36">
        <f>DAY(RESER3[[#This Row],[DATA]])</f>
        <v>27</v>
      </c>
      <c r="M704" s="36"/>
    </row>
    <row r="705" spans="1:13" x14ac:dyDescent="0.25">
      <c r="A705" s="36"/>
      <c r="B705" s="129" t="s">
        <v>112</v>
      </c>
      <c r="C705" s="128">
        <v>44466</v>
      </c>
      <c r="D705" s="36" t="s">
        <v>189</v>
      </c>
      <c r="E705" s="36" t="s">
        <v>462</v>
      </c>
      <c r="F705" s="36" t="s">
        <v>194</v>
      </c>
      <c r="G705" s="36" t="s">
        <v>473</v>
      </c>
      <c r="H705" s="36">
        <v>1</v>
      </c>
      <c r="I705" s="36" t="s">
        <v>179</v>
      </c>
      <c r="J705" s="36">
        <f>YEAR(RESER3[[#This Row],[DATA]])</f>
        <v>2021</v>
      </c>
      <c r="K705" s="36">
        <f t="shared" si="13"/>
        <v>9</v>
      </c>
      <c r="L705" s="36">
        <f>DAY(RESER3[[#This Row],[DATA]])</f>
        <v>27</v>
      </c>
      <c r="M705" s="36"/>
    </row>
    <row r="706" spans="1:13" x14ac:dyDescent="0.25">
      <c r="A706" s="36"/>
      <c r="B706" s="129" t="s">
        <v>17</v>
      </c>
      <c r="C706" s="128">
        <v>44466</v>
      </c>
      <c r="D706" s="36" t="s">
        <v>189</v>
      </c>
      <c r="E706" s="36" t="s">
        <v>462</v>
      </c>
      <c r="F706" s="36" t="s">
        <v>228</v>
      </c>
      <c r="G706" s="36" t="s">
        <v>486</v>
      </c>
      <c r="H706" s="36">
        <v>1</v>
      </c>
      <c r="I706" s="36" t="s">
        <v>179</v>
      </c>
      <c r="J706" s="36">
        <f>YEAR(RESER3[[#This Row],[DATA]])</f>
        <v>2021</v>
      </c>
      <c r="K706" s="36">
        <f t="shared" si="13"/>
        <v>9</v>
      </c>
      <c r="L706" s="36">
        <f>DAY(RESER3[[#This Row],[DATA]])</f>
        <v>27</v>
      </c>
      <c r="M706" s="36"/>
    </row>
    <row r="707" spans="1:13" x14ac:dyDescent="0.25">
      <c r="A707" s="36"/>
      <c r="B707" s="129" t="s">
        <v>13</v>
      </c>
      <c r="C707" s="128">
        <v>44466</v>
      </c>
      <c r="D707" s="36" t="s">
        <v>189</v>
      </c>
      <c r="E707" s="36" t="s">
        <v>222</v>
      </c>
      <c r="F707" s="36" t="s">
        <v>191</v>
      </c>
      <c r="G707" s="36" t="s">
        <v>191</v>
      </c>
      <c r="H707" s="36">
        <v>1</v>
      </c>
      <c r="I707" s="36" t="s">
        <v>179</v>
      </c>
      <c r="J707" s="36">
        <f>YEAR(RESER3[[#This Row],[DATA]])</f>
        <v>2021</v>
      </c>
      <c r="K707" s="36">
        <f t="shared" ref="K707:K770" si="14">MONTH(C707)</f>
        <v>9</v>
      </c>
      <c r="L707" s="36">
        <f>DAY(RESER3[[#This Row],[DATA]])</f>
        <v>27</v>
      </c>
      <c r="M707" s="36"/>
    </row>
    <row r="708" spans="1:13" x14ac:dyDescent="0.25">
      <c r="A708" s="36"/>
      <c r="B708" s="129" t="s">
        <v>14</v>
      </c>
      <c r="C708" s="128">
        <v>44467</v>
      </c>
      <c r="D708" s="36" t="s">
        <v>189</v>
      </c>
      <c r="E708" s="36" t="s">
        <v>462</v>
      </c>
      <c r="F708" s="36" t="s">
        <v>191</v>
      </c>
      <c r="G708" s="36" t="s">
        <v>191</v>
      </c>
      <c r="H708" s="36">
        <v>1</v>
      </c>
      <c r="I708" s="36" t="s">
        <v>179</v>
      </c>
      <c r="J708" s="36">
        <f>YEAR(RESER3[[#This Row],[DATA]])</f>
        <v>2021</v>
      </c>
      <c r="K708" s="36">
        <f t="shared" si="14"/>
        <v>9</v>
      </c>
      <c r="L708" s="36">
        <f>DAY(RESER3[[#This Row],[DATA]])</f>
        <v>28</v>
      </c>
      <c r="M708" s="36"/>
    </row>
    <row r="709" spans="1:13" x14ac:dyDescent="0.25">
      <c r="A709" s="36"/>
      <c r="B709" s="129" t="s">
        <v>14</v>
      </c>
      <c r="C709" s="128">
        <v>44467</v>
      </c>
      <c r="D709" s="36" t="s">
        <v>189</v>
      </c>
      <c r="E709" s="36" t="s">
        <v>222</v>
      </c>
      <c r="F709" s="36" t="s">
        <v>228</v>
      </c>
      <c r="G709" s="36" t="s">
        <v>486</v>
      </c>
      <c r="H709" s="36">
        <v>1</v>
      </c>
      <c r="I709" s="36" t="s">
        <v>179</v>
      </c>
      <c r="J709" s="36">
        <f>YEAR(RESER3[[#This Row],[DATA]])</f>
        <v>2021</v>
      </c>
      <c r="K709" s="36">
        <f t="shared" si="14"/>
        <v>9</v>
      </c>
      <c r="L709" s="36">
        <f>DAY(RESER3[[#This Row],[DATA]])</f>
        <v>28</v>
      </c>
      <c r="M709" s="36"/>
    </row>
    <row r="710" spans="1:13" x14ac:dyDescent="0.25">
      <c r="A710" s="36"/>
      <c r="B710" s="129" t="s">
        <v>21</v>
      </c>
      <c r="C710" s="128">
        <v>44467</v>
      </c>
      <c r="D710" s="36" t="s">
        <v>189</v>
      </c>
      <c r="E710" s="36" t="s">
        <v>462</v>
      </c>
      <c r="F710" s="36" t="s">
        <v>194</v>
      </c>
      <c r="G710" s="36" t="s">
        <v>473</v>
      </c>
      <c r="H710" s="36">
        <v>1</v>
      </c>
      <c r="I710" s="36" t="s">
        <v>179</v>
      </c>
      <c r="J710" s="36">
        <f>YEAR(RESER3[[#This Row],[DATA]])</f>
        <v>2021</v>
      </c>
      <c r="K710" s="36">
        <f t="shared" si="14"/>
        <v>9</v>
      </c>
      <c r="L710" s="36">
        <f>DAY(RESER3[[#This Row],[DATA]])</f>
        <v>28</v>
      </c>
      <c r="M710" s="36"/>
    </row>
    <row r="711" spans="1:13" x14ac:dyDescent="0.25">
      <c r="A711" s="36"/>
      <c r="B711" s="129" t="s">
        <v>9</v>
      </c>
      <c r="C711" s="128">
        <v>44467</v>
      </c>
      <c r="D711" s="36" t="s">
        <v>189</v>
      </c>
      <c r="E711" s="36" t="s">
        <v>462</v>
      </c>
      <c r="F711" s="36" t="s">
        <v>196</v>
      </c>
      <c r="G711" s="36" t="s">
        <v>481</v>
      </c>
      <c r="H711" s="36">
        <v>1</v>
      </c>
      <c r="I711" s="36" t="s">
        <v>179</v>
      </c>
      <c r="J711" s="36">
        <f>YEAR(RESER3[[#This Row],[DATA]])</f>
        <v>2021</v>
      </c>
      <c r="K711" s="36">
        <f t="shared" si="14"/>
        <v>9</v>
      </c>
      <c r="L711" s="36">
        <f>DAY(RESER3[[#This Row],[DATA]])</f>
        <v>28</v>
      </c>
      <c r="M711" s="36"/>
    </row>
    <row r="712" spans="1:13" x14ac:dyDescent="0.25">
      <c r="A712" s="36"/>
      <c r="B712" s="129" t="s">
        <v>9</v>
      </c>
      <c r="C712" s="128">
        <v>44467</v>
      </c>
      <c r="D712" s="36" t="s">
        <v>189</v>
      </c>
      <c r="E712" s="36" t="s">
        <v>462</v>
      </c>
      <c r="F712" s="36" t="s">
        <v>194</v>
      </c>
      <c r="G712" s="36" t="s">
        <v>473</v>
      </c>
      <c r="H712" s="36">
        <v>1</v>
      </c>
      <c r="I712" s="36" t="s">
        <v>179</v>
      </c>
      <c r="J712" s="36">
        <f>YEAR(RESER3[[#This Row],[DATA]])</f>
        <v>2021</v>
      </c>
      <c r="K712" s="36">
        <f t="shared" si="14"/>
        <v>9</v>
      </c>
      <c r="L712" s="36">
        <f>DAY(RESER3[[#This Row],[DATA]])</f>
        <v>28</v>
      </c>
      <c r="M712" s="36"/>
    </row>
    <row r="713" spans="1:13" x14ac:dyDescent="0.25">
      <c r="A713" s="36"/>
      <c r="B713" s="129" t="s">
        <v>40</v>
      </c>
      <c r="C713" s="128">
        <v>44467</v>
      </c>
      <c r="D713" s="36" t="s">
        <v>189</v>
      </c>
      <c r="E713" s="36" t="s">
        <v>222</v>
      </c>
      <c r="F713" s="36" t="s">
        <v>196</v>
      </c>
      <c r="G713" s="36" t="s">
        <v>466</v>
      </c>
      <c r="H713" s="36">
        <v>1</v>
      </c>
      <c r="I713" s="36" t="s">
        <v>179</v>
      </c>
      <c r="J713" s="36">
        <f>YEAR(RESER3[[#This Row],[DATA]])</f>
        <v>2021</v>
      </c>
      <c r="K713" s="36">
        <f t="shared" si="14"/>
        <v>9</v>
      </c>
      <c r="L713" s="36">
        <f>DAY(RESER3[[#This Row],[DATA]])</f>
        <v>28</v>
      </c>
      <c r="M713" s="36"/>
    </row>
    <row r="714" spans="1:13" x14ac:dyDescent="0.25">
      <c r="A714" s="36"/>
      <c r="B714" s="129" t="s">
        <v>16</v>
      </c>
      <c r="C714" s="128">
        <v>44468</v>
      </c>
      <c r="D714" s="36" t="s">
        <v>189</v>
      </c>
      <c r="E714" s="36" t="s">
        <v>222</v>
      </c>
      <c r="F714" s="36" t="s">
        <v>191</v>
      </c>
      <c r="G714" s="36" t="s">
        <v>191</v>
      </c>
      <c r="H714" s="36">
        <v>1</v>
      </c>
      <c r="I714" s="36" t="s">
        <v>179</v>
      </c>
      <c r="J714" s="36">
        <f>YEAR(RESER3[[#This Row],[DATA]])</f>
        <v>2021</v>
      </c>
      <c r="K714" s="36">
        <f t="shared" si="14"/>
        <v>9</v>
      </c>
      <c r="L714" s="36">
        <f>DAY(RESER3[[#This Row],[DATA]])</f>
        <v>29</v>
      </c>
      <c r="M714" s="36"/>
    </row>
    <row r="715" spans="1:13" x14ac:dyDescent="0.25">
      <c r="A715" s="36"/>
      <c r="B715" s="129" t="s">
        <v>112</v>
      </c>
      <c r="C715" s="128">
        <v>44469</v>
      </c>
      <c r="D715" s="36" t="s">
        <v>189</v>
      </c>
      <c r="E715" s="36" t="s">
        <v>222</v>
      </c>
      <c r="F715" s="36" t="s">
        <v>196</v>
      </c>
      <c r="G715" s="36" t="s">
        <v>466</v>
      </c>
      <c r="H715" s="36">
        <v>1</v>
      </c>
      <c r="I715" s="36" t="s">
        <v>179</v>
      </c>
      <c r="J715" s="36">
        <f>YEAR(RESER3[[#This Row],[DATA]])</f>
        <v>2021</v>
      </c>
      <c r="K715" s="36">
        <f t="shared" si="14"/>
        <v>9</v>
      </c>
      <c r="L715" s="36">
        <f>DAY(RESER3[[#This Row],[DATA]])</f>
        <v>30</v>
      </c>
      <c r="M715" s="36"/>
    </row>
    <row r="716" spans="1:13" x14ac:dyDescent="0.25">
      <c r="A716" s="36"/>
      <c r="B716" s="129" t="s">
        <v>9</v>
      </c>
      <c r="C716" s="128">
        <v>44469</v>
      </c>
      <c r="D716" s="36" t="s">
        <v>189</v>
      </c>
      <c r="E716" s="36" t="s">
        <v>462</v>
      </c>
      <c r="F716" s="36" t="s">
        <v>191</v>
      </c>
      <c r="G716" s="36" t="s">
        <v>191</v>
      </c>
      <c r="H716" s="36">
        <v>1</v>
      </c>
      <c r="I716" s="36" t="s">
        <v>179</v>
      </c>
      <c r="J716" s="36">
        <f>YEAR(RESER3[[#This Row],[DATA]])</f>
        <v>2021</v>
      </c>
      <c r="K716" s="36">
        <f t="shared" si="14"/>
        <v>9</v>
      </c>
      <c r="L716" s="36">
        <f>DAY(RESER3[[#This Row],[DATA]])</f>
        <v>30</v>
      </c>
      <c r="M716" s="36"/>
    </row>
    <row r="717" spans="1:13" x14ac:dyDescent="0.25">
      <c r="A717" s="36"/>
      <c r="B717" s="129" t="s">
        <v>41</v>
      </c>
      <c r="C717" s="128">
        <v>44469</v>
      </c>
      <c r="D717" s="36" t="s">
        <v>189</v>
      </c>
      <c r="E717" s="36" t="s">
        <v>222</v>
      </c>
      <c r="F717" s="36" t="s">
        <v>196</v>
      </c>
      <c r="G717" s="36" t="s">
        <v>466</v>
      </c>
      <c r="H717" s="36">
        <v>1</v>
      </c>
      <c r="I717" s="36" t="s">
        <v>179</v>
      </c>
      <c r="J717" s="36">
        <f>YEAR(RESER3[[#This Row],[DATA]])</f>
        <v>2021</v>
      </c>
      <c r="K717" s="36">
        <f t="shared" si="14"/>
        <v>9</v>
      </c>
      <c r="L717" s="36">
        <f>DAY(RESER3[[#This Row],[DATA]])</f>
        <v>30</v>
      </c>
      <c r="M717" s="36"/>
    </row>
    <row r="718" spans="1:13" x14ac:dyDescent="0.25">
      <c r="A718" s="36"/>
      <c r="B718" s="129" t="s">
        <v>10</v>
      </c>
      <c r="C718" s="128">
        <v>44469</v>
      </c>
      <c r="D718" s="36" t="s">
        <v>189</v>
      </c>
      <c r="E718" s="36" t="s">
        <v>462</v>
      </c>
      <c r="F718" s="36" t="s">
        <v>191</v>
      </c>
      <c r="G718" s="36" t="s">
        <v>191</v>
      </c>
      <c r="H718" s="36">
        <v>1</v>
      </c>
      <c r="I718" s="36" t="s">
        <v>179</v>
      </c>
      <c r="J718" s="36">
        <f>YEAR(RESER3[[#This Row],[DATA]])</f>
        <v>2021</v>
      </c>
      <c r="K718" s="36">
        <f t="shared" si="14"/>
        <v>9</v>
      </c>
      <c r="L718" s="36">
        <f>DAY(RESER3[[#This Row],[DATA]])</f>
        <v>30</v>
      </c>
      <c r="M718" s="36"/>
    </row>
    <row r="719" spans="1:13" x14ac:dyDescent="0.25">
      <c r="A719" s="36"/>
      <c r="B719" s="129" t="s">
        <v>4</v>
      </c>
      <c r="C719" s="128">
        <v>44469</v>
      </c>
      <c r="D719" s="36" t="s">
        <v>189</v>
      </c>
      <c r="E719" s="36" t="s">
        <v>222</v>
      </c>
      <c r="F719" s="36" t="s">
        <v>463</v>
      </c>
      <c r="G719" s="36" t="s">
        <v>473</v>
      </c>
      <c r="H719" s="36">
        <v>1</v>
      </c>
      <c r="I719" s="36" t="s">
        <v>179</v>
      </c>
      <c r="J719" s="36">
        <f>YEAR(RESER3[[#This Row],[DATA]])</f>
        <v>2021</v>
      </c>
      <c r="K719" s="36">
        <f t="shared" si="14"/>
        <v>9</v>
      </c>
      <c r="L719" s="36">
        <f>DAY(RESER3[[#This Row],[DATA]])</f>
        <v>30</v>
      </c>
      <c r="M719" s="36"/>
    </row>
    <row r="720" spans="1:13" x14ac:dyDescent="0.25">
      <c r="A720" s="36"/>
      <c r="B720" s="129" t="s">
        <v>8</v>
      </c>
      <c r="C720" s="128">
        <v>44469</v>
      </c>
      <c r="D720" s="36" t="s">
        <v>189</v>
      </c>
      <c r="E720" s="36" t="s">
        <v>462</v>
      </c>
      <c r="F720" s="36" t="s">
        <v>228</v>
      </c>
      <c r="G720" s="36" t="s">
        <v>486</v>
      </c>
      <c r="H720" s="36">
        <v>1</v>
      </c>
      <c r="I720" s="36" t="s">
        <v>179</v>
      </c>
      <c r="J720" s="36">
        <f>YEAR(RESER3[[#This Row],[DATA]])</f>
        <v>2021</v>
      </c>
      <c r="K720" s="36">
        <f t="shared" si="14"/>
        <v>9</v>
      </c>
      <c r="L720" s="36">
        <f>DAY(RESER3[[#This Row],[DATA]])</f>
        <v>30</v>
      </c>
      <c r="M720" s="36"/>
    </row>
    <row r="721" spans="1:13" x14ac:dyDescent="0.25">
      <c r="A721" s="36"/>
      <c r="B721" s="129" t="s">
        <v>10</v>
      </c>
      <c r="C721" s="128">
        <v>44470</v>
      </c>
      <c r="D721" s="36" t="s">
        <v>189</v>
      </c>
      <c r="E721" s="36" t="s">
        <v>222</v>
      </c>
      <c r="F721" s="36" t="s">
        <v>228</v>
      </c>
      <c r="G721" s="36" t="s">
        <v>486</v>
      </c>
      <c r="H721" s="36">
        <v>1</v>
      </c>
      <c r="I721" s="36" t="s">
        <v>179</v>
      </c>
      <c r="J721" s="36">
        <f>YEAR(RESER3[[#This Row],[DATA]])</f>
        <v>2021</v>
      </c>
      <c r="K721" s="36">
        <f t="shared" si="14"/>
        <v>10</v>
      </c>
      <c r="L721" s="36">
        <f>DAY(RESER3[[#This Row],[DATA]])</f>
        <v>1</v>
      </c>
      <c r="M721" s="36"/>
    </row>
    <row r="722" spans="1:13" x14ac:dyDescent="0.25">
      <c r="A722" s="36"/>
      <c r="B722" s="129" t="s">
        <v>9</v>
      </c>
      <c r="C722" s="128">
        <v>44470</v>
      </c>
      <c r="D722" s="36" t="s">
        <v>189</v>
      </c>
      <c r="E722" s="36" t="s">
        <v>222</v>
      </c>
      <c r="F722" s="36" t="s">
        <v>463</v>
      </c>
      <c r="G722" s="36" t="s">
        <v>487</v>
      </c>
      <c r="H722" s="36">
        <v>1</v>
      </c>
      <c r="I722" s="36" t="s">
        <v>179</v>
      </c>
      <c r="J722" s="36">
        <f>YEAR(RESER3[[#This Row],[DATA]])</f>
        <v>2021</v>
      </c>
      <c r="K722" s="36">
        <f t="shared" si="14"/>
        <v>10</v>
      </c>
      <c r="L722" s="36">
        <f>DAY(RESER3[[#This Row],[DATA]])</f>
        <v>1</v>
      </c>
      <c r="M722" s="36"/>
    </row>
    <row r="723" spans="1:13" x14ac:dyDescent="0.25">
      <c r="A723" s="36"/>
      <c r="B723" s="129" t="s">
        <v>16</v>
      </c>
      <c r="C723" s="128">
        <v>44470</v>
      </c>
      <c r="D723" s="36" t="s">
        <v>189</v>
      </c>
      <c r="E723" s="36" t="s">
        <v>462</v>
      </c>
      <c r="F723" s="36" t="s">
        <v>228</v>
      </c>
      <c r="G723" s="36" t="s">
        <v>486</v>
      </c>
      <c r="H723" s="36">
        <v>1</v>
      </c>
      <c r="I723" s="36" t="s">
        <v>179</v>
      </c>
      <c r="J723" s="36">
        <f>YEAR(RESER3[[#This Row],[DATA]])</f>
        <v>2021</v>
      </c>
      <c r="K723" s="36">
        <f t="shared" si="14"/>
        <v>10</v>
      </c>
      <c r="L723" s="36">
        <f>DAY(RESER3[[#This Row],[DATA]])</f>
        <v>1</v>
      </c>
      <c r="M723" s="36"/>
    </row>
    <row r="724" spans="1:13" x14ac:dyDescent="0.25">
      <c r="A724" s="36"/>
      <c r="B724" s="129" t="s">
        <v>19</v>
      </c>
      <c r="C724" s="128">
        <v>44470</v>
      </c>
      <c r="D724" s="36" t="s">
        <v>189</v>
      </c>
      <c r="E724" s="36" t="s">
        <v>462</v>
      </c>
      <c r="F724" s="36" t="s">
        <v>191</v>
      </c>
      <c r="G724" s="36" t="s">
        <v>191</v>
      </c>
      <c r="H724" s="36">
        <v>1</v>
      </c>
      <c r="I724" s="36" t="s">
        <v>179</v>
      </c>
      <c r="J724" s="36">
        <f>YEAR(RESER3[[#This Row],[DATA]])</f>
        <v>2021</v>
      </c>
      <c r="K724" s="36">
        <f t="shared" si="14"/>
        <v>10</v>
      </c>
      <c r="L724" s="36">
        <f>DAY(RESER3[[#This Row],[DATA]])</f>
        <v>1</v>
      </c>
      <c r="M724" s="36"/>
    </row>
    <row r="725" spans="1:13" x14ac:dyDescent="0.25">
      <c r="A725" s="36"/>
      <c r="B725" s="129" t="s">
        <v>40</v>
      </c>
      <c r="C725" s="128">
        <v>44473</v>
      </c>
      <c r="D725" s="36" t="s">
        <v>189</v>
      </c>
      <c r="E725" s="36" t="s">
        <v>222</v>
      </c>
      <c r="F725" s="36" t="s">
        <v>191</v>
      </c>
      <c r="G725" s="36" t="s">
        <v>191</v>
      </c>
      <c r="H725" s="36">
        <v>1</v>
      </c>
      <c r="I725" s="36" t="s">
        <v>179</v>
      </c>
      <c r="J725" s="36">
        <f>YEAR(RESER3[[#This Row],[DATA]])</f>
        <v>2021</v>
      </c>
      <c r="K725" s="36">
        <f t="shared" si="14"/>
        <v>10</v>
      </c>
      <c r="L725" s="36">
        <f>DAY(RESER3[[#This Row],[DATA]])</f>
        <v>4</v>
      </c>
      <c r="M725" s="36"/>
    </row>
    <row r="726" spans="1:13" x14ac:dyDescent="0.25">
      <c r="A726" s="36"/>
      <c r="B726" s="129" t="s">
        <v>22</v>
      </c>
      <c r="C726" s="128">
        <v>44473</v>
      </c>
      <c r="D726" s="36" t="s">
        <v>189</v>
      </c>
      <c r="E726" s="36" t="s">
        <v>222</v>
      </c>
      <c r="F726" s="36" t="s">
        <v>191</v>
      </c>
      <c r="G726" s="36" t="s">
        <v>191</v>
      </c>
      <c r="H726" s="36">
        <v>1</v>
      </c>
      <c r="I726" s="36" t="s">
        <v>179</v>
      </c>
      <c r="J726" s="36">
        <f>YEAR(RESER3[[#This Row],[DATA]])</f>
        <v>2021</v>
      </c>
      <c r="K726" s="36">
        <f t="shared" si="14"/>
        <v>10</v>
      </c>
      <c r="L726" s="36">
        <f>DAY(RESER3[[#This Row],[DATA]])</f>
        <v>4</v>
      </c>
      <c r="M726" s="36"/>
    </row>
    <row r="727" spans="1:13" x14ac:dyDescent="0.25">
      <c r="A727" s="36"/>
      <c r="B727" s="129" t="s">
        <v>13</v>
      </c>
      <c r="C727" s="128">
        <v>44473</v>
      </c>
      <c r="D727" s="36" t="s">
        <v>189</v>
      </c>
      <c r="E727" s="36" t="s">
        <v>222</v>
      </c>
      <c r="F727" s="36" t="s">
        <v>245</v>
      </c>
      <c r="G727" s="36" t="s">
        <v>482</v>
      </c>
      <c r="H727" s="36">
        <v>1</v>
      </c>
      <c r="I727" s="36" t="s">
        <v>179</v>
      </c>
      <c r="J727" s="36">
        <f>YEAR(RESER3[[#This Row],[DATA]])</f>
        <v>2021</v>
      </c>
      <c r="K727" s="36">
        <f t="shared" si="14"/>
        <v>10</v>
      </c>
      <c r="L727" s="36">
        <f>DAY(RESER3[[#This Row],[DATA]])</f>
        <v>4</v>
      </c>
      <c r="M727" s="36"/>
    </row>
    <row r="728" spans="1:13" x14ac:dyDescent="0.25">
      <c r="A728" s="36"/>
      <c r="B728" s="129" t="s">
        <v>5</v>
      </c>
      <c r="C728" s="128">
        <v>44474</v>
      </c>
      <c r="D728" s="36" t="s">
        <v>189</v>
      </c>
      <c r="E728" s="36" t="s">
        <v>462</v>
      </c>
      <c r="F728" s="36" t="s">
        <v>228</v>
      </c>
      <c r="G728" s="36" t="s">
        <v>486</v>
      </c>
      <c r="H728" s="36">
        <v>1</v>
      </c>
      <c r="I728" s="36" t="s">
        <v>179</v>
      </c>
      <c r="J728" s="36">
        <f>YEAR(RESER3[[#This Row],[DATA]])</f>
        <v>2021</v>
      </c>
      <c r="K728" s="36">
        <f t="shared" si="14"/>
        <v>10</v>
      </c>
      <c r="L728" s="36">
        <f>DAY(RESER3[[#This Row],[DATA]])</f>
        <v>5</v>
      </c>
      <c r="M728" s="36"/>
    </row>
    <row r="729" spans="1:13" x14ac:dyDescent="0.25">
      <c r="A729" s="36"/>
      <c r="B729" s="129" t="s">
        <v>4</v>
      </c>
      <c r="C729" s="128">
        <v>44474</v>
      </c>
      <c r="D729" s="36" t="s">
        <v>189</v>
      </c>
      <c r="E729" s="36" t="s">
        <v>222</v>
      </c>
      <c r="F729" s="36" t="s">
        <v>196</v>
      </c>
      <c r="G729" s="36" t="s">
        <v>466</v>
      </c>
      <c r="H729" s="36">
        <v>1</v>
      </c>
      <c r="I729" s="36" t="s">
        <v>179</v>
      </c>
      <c r="J729" s="36">
        <f>YEAR(RESER3[[#This Row],[DATA]])</f>
        <v>2021</v>
      </c>
      <c r="K729" s="36">
        <f t="shared" si="14"/>
        <v>10</v>
      </c>
      <c r="L729" s="36">
        <f>DAY(RESER3[[#This Row],[DATA]])</f>
        <v>5</v>
      </c>
      <c r="M729" s="36"/>
    </row>
    <row r="730" spans="1:13" x14ac:dyDescent="0.25">
      <c r="A730" s="36"/>
      <c r="B730" s="129" t="s">
        <v>9</v>
      </c>
      <c r="C730" s="128">
        <v>44474</v>
      </c>
      <c r="D730" s="36" t="s">
        <v>189</v>
      </c>
      <c r="E730" s="36" t="s">
        <v>222</v>
      </c>
      <c r="F730" s="36" t="s">
        <v>245</v>
      </c>
      <c r="G730" s="36" t="s">
        <v>482</v>
      </c>
      <c r="H730" s="36">
        <v>1</v>
      </c>
      <c r="I730" s="36" t="s">
        <v>179</v>
      </c>
      <c r="J730" s="36">
        <f>YEAR(RESER3[[#This Row],[DATA]])</f>
        <v>2021</v>
      </c>
      <c r="K730" s="36">
        <f t="shared" si="14"/>
        <v>10</v>
      </c>
      <c r="L730" s="36">
        <f>DAY(RESER3[[#This Row],[DATA]])</f>
        <v>5</v>
      </c>
      <c r="M730" s="36"/>
    </row>
    <row r="731" spans="1:13" x14ac:dyDescent="0.25">
      <c r="A731" s="36"/>
      <c r="B731" s="129" t="s">
        <v>6</v>
      </c>
      <c r="C731" s="128">
        <v>44474</v>
      </c>
      <c r="D731" s="36" t="s">
        <v>189</v>
      </c>
      <c r="E731" s="36" t="s">
        <v>462</v>
      </c>
      <c r="F731" s="36" t="s">
        <v>196</v>
      </c>
      <c r="G731" s="36" t="s">
        <v>466</v>
      </c>
      <c r="H731" s="36">
        <v>1</v>
      </c>
      <c r="I731" s="36" t="s">
        <v>179</v>
      </c>
      <c r="J731" s="36">
        <f>YEAR(RESER3[[#This Row],[DATA]])</f>
        <v>2021</v>
      </c>
      <c r="K731" s="36">
        <f t="shared" si="14"/>
        <v>10</v>
      </c>
      <c r="L731" s="36">
        <f>DAY(RESER3[[#This Row],[DATA]])</f>
        <v>5</v>
      </c>
      <c r="M731" s="36"/>
    </row>
    <row r="732" spans="1:13" x14ac:dyDescent="0.25">
      <c r="A732" s="36"/>
      <c r="B732" s="129" t="s">
        <v>20</v>
      </c>
      <c r="C732" s="128">
        <v>44474</v>
      </c>
      <c r="D732" s="36" t="s">
        <v>189</v>
      </c>
      <c r="E732" s="36" t="s">
        <v>222</v>
      </c>
      <c r="F732" s="36" t="s">
        <v>228</v>
      </c>
      <c r="G732" s="36" t="s">
        <v>486</v>
      </c>
      <c r="H732" s="36">
        <v>1</v>
      </c>
      <c r="I732" s="36" t="s">
        <v>179</v>
      </c>
      <c r="J732" s="36">
        <f>YEAR(RESER3[[#This Row],[DATA]])</f>
        <v>2021</v>
      </c>
      <c r="K732" s="36">
        <f t="shared" si="14"/>
        <v>10</v>
      </c>
      <c r="L732" s="36">
        <f>DAY(RESER3[[#This Row],[DATA]])</f>
        <v>5</v>
      </c>
      <c r="M732" s="36"/>
    </row>
    <row r="733" spans="1:13" x14ac:dyDescent="0.25">
      <c r="A733" s="36"/>
      <c r="B733" s="129" t="s">
        <v>16</v>
      </c>
      <c r="C733" s="128">
        <v>44474</v>
      </c>
      <c r="D733" s="36" t="s">
        <v>189</v>
      </c>
      <c r="E733" s="36" t="s">
        <v>462</v>
      </c>
      <c r="F733" s="36" t="s">
        <v>463</v>
      </c>
      <c r="G733" s="36" t="s">
        <v>473</v>
      </c>
      <c r="H733" s="36">
        <v>1</v>
      </c>
      <c r="I733" s="36" t="s">
        <v>179</v>
      </c>
      <c r="J733" s="36">
        <f>YEAR(RESER3[[#This Row],[DATA]])</f>
        <v>2021</v>
      </c>
      <c r="K733" s="36">
        <f t="shared" si="14"/>
        <v>10</v>
      </c>
      <c r="L733" s="36">
        <f>DAY(RESER3[[#This Row],[DATA]])</f>
        <v>5</v>
      </c>
      <c r="M733" s="36"/>
    </row>
    <row r="734" spans="1:13" x14ac:dyDescent="0.25">
      <c r="A734" s="36"/>
      <c r="B734" s="129" t="s">
        <v>13</v>
      </c>
      <c r="C734" s="128">
        <v>44475</v>
      </c>
      <c r="D734" s="36" t="s">
        <v>189</v>
      </c>
      <c r="E734" s="36" t="s">
        <v>222</v>
      </c>
      <c r="F734" s="36" t="s">
        <v>191</v>
      </c>
      <c r="G734" s="36" t="s">
        <v>191</v>
      </c>
      <c r="H734" s="36">
        <v>1</v>
      </c>
      <c r="I734" s="36" t="s">
        <v>179</v>
      </c>
      <c r="J734" s="36">
        <f>YEAR(RESER3[[#This Row],[DATA]])</f>
        <v>2021</v>
      </c>
      <c r="K734" s="36">
        <f t="shared" si="14"/>
        <v>10</v>
      </c>
      <c r="L734" s="36">
        <f>DAY(RESER3[[#This Row],[DATA]])</f>
        <v>6</v>
      </c>
      <c r="M734" s="36"/>
    </row>
    <row r="735" spans="1:13" x14ac:dyDescent="0.25">
      <c r="A735" s="36"/>
      <c r="B735" s="129" t="s">
        <v>5</v>
      </c>
      <c r="C735" s="128">
        <v>44475</v>
      </c>
      <c r="D735" s="36" t="s">
        <v>189</v>
      </c>
      <c r="E735" s="36" t="s">
        <v>222</v>
      </c>
      <c r="F735" s="36" t="s">
        <v>191</v>
      </c>
      <c r="G735" s="36" t="s">
        <v>191</v>
      </c>
      <c r="H735" s="36">
        <v>1</v>
      </c>
      <c r="I735" s="36" t="s">
        <v>179</v>
      </c>
      <c r="J735" s="36">
        <f>YEAR(RESER3[[#This Row],[DATA]])</f>
        <v>2021</v>
      </c>
      <c r="K735" s="36">
        <f t="shared" si="14"/>
        <v>10</v>
      </c>
      <c r="L735" s="36">
        <f>DAY(RESER3[[#This Row],[DATA]])</f>
        <v>6</v>
      </c>
      <c r="M735" s="36"/>
    </row>
    <row r="736" spans="1:13" x14ac:dyDescent="0.25">
      <c r="A736" s="36"/>
      <c r="B736" s="129" t="s">
        <v>14</v>
      </c>
      <c r="C736" s="128">
        <v>44475</v>
      </c>
      <c r="D736" s="36" t="s">
        <v>189</v>
      </c>
      <c r="E736" s="36" t="s">
        <v>462</v>
      </c>
      <c r="F736" s="36" t="s">
        <v>191</v>
      </c>
      <c r="G736" s="36" t="s">
        <v>191</v>
      </c>
      <c r="H736" s="36">
        <v>1</v>
      </c>
      <c r="I736" s="36" t="s">
        <v>179</v>
      </c>
      <c r="J736" s="36">
        <f>YEAR(RESER3[[#This Row],[DATA]])</f>
        <v>2021</v>
      </c>
      <c r="K736" s="36">
        <f t="shared" si="14"/>
        <v>10</v>
      </c>
      <c r="L736" s="36">
        <f>DAY(RESER3[[#This Row],[DATA]])</f>
        <v>6</v>
      </c>
      <c r="M736" s="36"/>
    </row>
    <row r="737" spans="1:13" x14ac:dyDescent="0.25">
      <c r="A737" s="36"/>
      <c r="B737" s="129" t="s">
        <v>9</v>
      </c>
      <c r="C737" s="128">
        <v>44476</v>
      </c>
      <c r="D737" s="36" t="s">
        <v>189</v>
      </c>
      <c r="E737" s="36" t="s">
        <v>462</v>
      </c>
      <c r="F737" s="36" t="s">
        <v>191</v>
      </c>
      <c r="G737" s="36" t="s">
        <v>191</v>
      </c>
      <c r="H737" s="36">
        <v>1</v>
      </c>
      <c r="I737" s="36" t="s">
        <v>179</v>
      </c>
      <c r="J737" s="36">
        <f>YEAR(RESER3[[#This Row],[DATA]])</f>
        <v>2021</v>
      </c>
      <c r="K737" s="36">
        <f t="shared" si="14"/>
        <v>10</v>
      </c>
      <c r="L737" s="36">
        <f>DAY(RESER3[[#This Row],[DATA]])</f>
        <v>7</v>
      </c>
      <c r="M737" s="36"/>
    </row>
    <row r="738" spans="1:13" x14ac:dyDescent="0.25">
      <c r="A738" s="36"/>
      <c r="B738" s="129" t="s">
        <v>19</v>
      </c>
      <c r="C738" s="128">
        <v>44476</v>
      </c>
      <c r="D738" s="36" t="s">
        <v>189</v>
      </c>
      <c r="E738" s="36" t="s">
        <v>462</v>
      </c>
      <c r="F738" s="36" t="s">
        <v>191</v>
      </c>
      <c r="G738" s="36" t="s">
        <v>191</v>
      </c>
      <c r="H738" s="36">
        <v>1</v>
      </c>
      <c r="I738" s="36" t="s">
        <v>179</v>
      </c>
      <c r="J738" s="36">
        <f>YEAR(RESER3[[#This Row],[DATA]])</f>
        <v>2021</v>
      </c>
      <c r="K738" s="36">
        <f t="shared" si="14"/>
        <v>10</v>
      </c>
      <c r="L738" s="36">
        <f>DAY(RESER3[[#This Row],[DATA]])</f>
        <v>7</v>
      </c>
      <c r="M738" s="36"/>
    </row>
    <row r="739" spans="1:13" x14ac:dyDescent="0.25">
      <c r="A739" s="36"/>
      <c r="B739" s="129" t="s">
        <v>17</v>
      </c>
      <c r="C739" s="128">
        <v>44476</v>
      </c>
      <c r="D739" s="36" t="s">
        <v>189</v>
      </c>
      <c r="E739" s="36" t="s">
        <v>222</v>
      </c>
      <c r="F739" s="36" t="s">
        <v>463</v>
      </c>
      <c r="G739" s="36" t="s">
        <v>473</v>
      </c>
      <c r="H739" s="36">
        <v>1</v>
      </c>
      <c r="I739" s="36" t="s">
        <v>179</v>
      </c>
      <c r="J739" s="36">
        <f>YEAR(RESER3[[#This Row],[DATA]])</f>
        <v>2021</v>
      </c>
      <c r="K739" s="36">
        <f t="shared" si="14"/>
        <v>10</v>
      </c>
      <c r="L739" s="36">
        <f>DAY(RESER3[[#This Row],[DATA]])</f>
        <v>7</v>
      </c>
      <c r="M739" s="36"/>
    </row>
    <row r="740" spans="1:13" x14ac:dyDescent="0.25">
      <c r="A740" s="36"/>
      <c r="B740" s="129" t="s">
        <v>22</v>
      </c>
      <c r="C740" s="128">
        <v>44476</v>
      </c>
      <c r="D740" s="36" t="s">
        <v>189</v>
      </c>
      <c r="E740" s="36" t="s">
        <v>222</v>
      </c>
      <c r="F740" s="36" t="s">
        <v>228</v>
      </c>
      <c r="G740" s="36" t="s">
        <v>486</v>
      </c>
      <c r="H740" s="36">
        <v>1</v>
      </c>
      <c r="I740" s="36" t="s">
        <v>179</v>
      </c>
      <c r="J740" s="36">
        <f>YEAR(RESER3[[#This Row],[DATA]])</f>
        <v>2021</v>
      </c>
      <c r="K740" s="36">
        <f t="shared" si="14"/>
        <v>10</v>
      </c>
      <c r="L740" s="36">
        <f>DAY(RESER3[[#This Row],[DATA]])</f>
        <v>7</v>
      </c>
      <c r="M740" s="36"/>
    </row>
    <row r="741" spans="1:13" x14ac:dyDescent="0.25">
      <c r="A741" s="36"/>
      <c r="B741" s="129" t="s">
        <v>6</v>
      </c>
      <c r="C741" s="128">
        <v>44476</v>
      </c>
      <c r="D741" s="36" t="s">
        <v>189</v>
      </c>
      <c r="E741" s="36" t="s">
        <v>462</v>
      </c>
      <c r="F741" s="36" t="s">
        <v>463</v>
      </c>
      <c r="G741" s="36" t="s">
        <v>483</v>
      </c>
      <c r="H741" s="36">
        <v>1</v>
      </c>
      <c r="I741" s="36" t="s">
        <v>179</v>
      </c>
      <c r="J741" s="36">
        <f>YEAR(RESER3[[#This Row],[DATA]])</f>
        <v>2021</v>
      </c>
      <c r="K741" s="36">
        <f t="shared" si="14"/>
        <v>10</v>
      </c>
      <c r="L741" s="36">
        <f>DAY(RESER3[[#This Row],[DATA]])</f>
        <v>7</v>
      </c>
      <c r="M741" s="36"/>
    </row>
    <row r="742" spans="1:13" x14ac:dyDescent="0.25">
      <c r="A742" s="36"/>
      <c r="B742" s="129" t="s">
        <v>16</v>
      </c>
      <c r="C742" s="128">
        <v>44479</v>
      </c>
      <c r="D742" s="36" t="s">
        <v>189</v>
      </c>
      <c r="E742" s="36" t="s">
        <v>222</v>
      </c>
      <c r="F742" s="36" t="s">
        <v>228</v>
      </c>
      <c r="G742" s="36" t="s">
        <v>486</v>
      </c>
      <c r="H742" s="36">
        <v>1</v>
      </c>
      <c r="I742" s="36" t="s">
        <v>179</v>
      </c>
      <c r="J742" s="36">
        <f>YEAR(RESER3[[#This Row],[DATA]])</f>
        <v>2021</v>
      </c>
      <c r="K742" s="36">
        <f t="shared" si="14"/>
        <v>10</v>
      </c>
      <c r="L742" s="36">
        <f>DAY(RESER3[[#This Row],[DATA]])</f>
        <v>10</v>
      </c>
      <c r="M742" s="36"/>
    </row>
    <row r="743" spans="1:13" x14ac:dyDescent="0.25">
      <c r="A743" s="36"/>
      <c r="B743" s="129" t="s">
        <v>16</v>
      </c>
      <c r="C743" s="128">
        <v>44479</v>
      </c>
      <c r="D743" s="36" t="s">
        <v>189</v>
      </c>
      <c r="E743" s="36" t="s">
        <v>462</v>
      </c>
      <c r="F743" s="36" t="s">
        <v>191</v>
      </c>
      <c r="G743" s="36" t="s">
        <v>191</v>
      </c>
      <c r="H743" s="36">
        <v>1</v>
      </c>
      <c r="I743" s="36" t="s">
        <v>179</v>
      </c>
      <c r="J743" s="36">
        <f>YEAR(RESER3[[#This Row],[DATA]])</f>
        <v>2021</v>
      </c>
      <c r="K743" s="36">
        <f t="shared" si="14"/>
        <v>10</v>
      </c>
      <c r="L743" s="36">
        <f>DAY(RESER3[[#This Row],[DATA]])</f>
        <v>10</v>
      </c>
      <c r="M743" s="36"/>
    </row>
    <row r="744" spans="1:13" x14ac:dyDescent="0.25">
      <c r="A744" s="36"/>
      <c r="B744" s="129" t="s">
        <v>5</v>
      </c>
      <c r="C744" s="128">
        <v>44482</v>
      </c>
      <c r="D744" s="36" t="s">
        <v>189</v>
      </c>
      <c r="E744" s="36" t="s">
        <v>222</v>
      </c>
      <c r="F744" s="36" t="s">
        <v>196</v>
      </c>
      <c r="G744" s="36" t="s">
        <v>466</v>
      </c>
      <c r="H744" s="36">
        <v>1</v>
      </c>
      <c r="I744" s="36" t="s">
        <v>179</v>
      </c>
      <c r="J744" s="36">
        <f>YEAR(RESER3[[#This Row],[DATA]])</f>
        <v>2021</v>
      </c>
      <c r="K744" s="36">
        <f t="shared" si="14"/>
        <v>10</v>
      </c>
      <c r="L744" s="36">
        <f>DAY(RESER3[[#This Row],[DATA]])</f>
        <v>13</v>
      </c>
      <c r="M744" s="36"/>
    </row>
    <row r="745" spans="1:13" x14ac:dyDescent="0.25">
      <c r="A745" s="36"/>
      <c r="B745" s="129" t="s">
        <v>22</v>
      </c>
      <c r="C745" s="128">
        <v>44482</v>
      </c>
      <c r="D745" s="36" t="s">
        <v>189</v>
      </c>
      <c r="E745" s="36" t="s">
        <v>462</v>
      </c>
      <c r="F745" s="36" t="s">
        <v>191</v>
      </c>
      <c r="G745" s="36" t="s">
        <v>191</v>
      </c>
      <c r="H745" s="36">
        <v>1</v>
      </c>
      <c r="I745" s="36" t="s">
        <v>179</v>
      </c>
      <c r="J745" s="36">
        <f>YEAR(RESER3[[#This Row],[DATA]])</f>
        <v>2021</v>
      </c>
      <c r="K745" s="36">
        <f t="shared" si="14"/>
        <v>10</v>
      </c>
      <c r="L745" s="36">
        <f>DAY(RESER3[[#This Row],[DATA]])</f>
        <v>13</v>
      </c>
      <c r="M745" s="36"/>
    </row>
    <row r="746" spans="1:13" x14ac:dyDescent="0.25">
      <c r="A746" s="36"/>
      <c r="B746" s="129" t="s">
        <v>16</v>
      </c>
      <c r="C746" s="128">
        <v>44482</v>
      </c>
      <c r="D746" s="36" t="s">
        <v>189</v>
      </c>
      <c r="E746" s="36" t="s">
        <v>462</v>
      </c>
      <c r="F746" s="36" t="s">
        <v>191</v>
      </c>
      <c r="G746" s="36" t="s">
        <v>191</v>
      </c>
      <c r="H746" s="36">
        <v>1</v>
      </c>
      <c r="I746" s="36" t="s">
        <v>179</v>
      </c>
      <c r="J746" s="36">
        <f>YEAR(RESER3[[#This Row],[DATA]])</f>
        <v>2021</v>
      </c>
      <c r="K746" s="36">
        <f t="shared" si="14"/>
        <v>10</v>
      </c>
      <c r="L746" s="36">
        <f>DAY(RESER3[[#This Row],[DATA]])</f>
        <v>13</v>
      </c>
      <c r="M746" s="36"/>
    </row>
    <row r="747" spans="1:13" x14ac:dyDescent="0.25">
      <c r="A747" s="36"/>
      <c r="B747" s="129" t="s">
        <v>19</v>
      </c>
      <c r="C747" s="128">
        <v>44482</v>
      </c>
      <c r="D747" s="36" t="s">
        <v>189</v>
      </c>
      <c r="E747" s="36" t="s">
        <v>462</v>
      </c>
      <c r="F747" s="36" t="s">
        <v>191</v>
      </c>
      <c r="G747" s="36" t="s">
        <v>191</v>
      </c>
      <c r="H747" s="36">
        <v>1</v>
      </c>
      <c r="I747" s="36" t="s">
        <v>179</v>
      </c>
      <c r="J747" s="36">
        <f>YEAR(RESER3[[#This Row],[DATA]])</f>
        <v>2021</v>
      </c>
      <c r="K747" s="36">
        <f t="shared" si="14"/>
        <v>10</v>
      </c>
      <c r="L747" s="36">
        <f>DAY(RESER3[[#This Row],[DATA]])</f>
        <v>13</v>
      </c>
      <c r="M747" s="36"/>
    </row>
    <row r="748" spans="1:13" x14ac:dyDescent="0.25">
      <c r="A748" s="36"/>
      <c r="B748" s="129" t="s">
        <v>17</v>
      </c>
      <c r="C748" s="128">
        <v>44482</v>
      </c>
      <c r="D748" s="36" t="s">
        <v>189</v>
      </c>
      <c r="E748" s="36" t="s">
        <v>462</v>
      </c>
      <c r="F748" s="36" t="s">
        <v>191</v>
      </c>
      <c r="G748" s="36" t="s">
        <v>191</v>
      </c>
      <c r="H748" s="36">
        <v>1</v>
      </c>
      <c r="I748" s="36" t="s">
        <v>179</v>
      </c>
      <c r="J748" s="36">
        <f>YEAR(RESER3[[#This Row],[DATA]])</f>
        <v>2021</v>
      </c>
      <c r="K748" s="36">
        <f t="shared" si="14"/>
        <v>10</v>
      </c>
      <c r="L748" s="36">
        <f>DAY(RESER3[[#This Row],[DATA]])</f>
        <v>13</v>
      </c>
      <c r="M748" s="36"/>
    </row>
    <row r="749" spans="1:13" x14ac:dyDescent="0.25">
      <c r="A749" s="36"/>
      <c r="B749" s="129" t="s">
        <v>5</v>
      </c>
      <c r="C749" s="128">
        <v>44482</v>
      </c>
      <c r="D749" s="36" t="s">
        <v>189</v>
      </c>
      <c r="E749" s="36" t="s">
        <v>462</v>
      </c>
      <c r="F749" s="36" t="s">
        <v>228</v>
      </c>
      <c r="G749" s="36" t="s">
        <v>486</v>
      </c>
      <c r="H749" s="36">
        <v>1</v>
      </c>
      <c r="I749" s="36" t="s">
        <v>179</v>
      </c>
      <c r="J749" s="36">
        <f>YEAR(RESER3[[#This Row],[DATA]])</f>
        <v>2021</v>
      </c>
      <c r="K749" s="36">
        <f t="shared" si="14"/>
        <v>10</v>
      </c>
      <c r="L749" s="36">
        <f>DAY(RESER3[[#This Row],[DATA]])</f>
        <v>13</v>
      </c>
      <c r="M749" s="36"/>
    </row>
    <row r="750" spans="1:13" x14ac:dyDescent="0.25">
      <c r="A750" s="36"/>
      <c r="B750" s="129" t="s">
        <v>8</v>
      </c>
      <c r="C750" s="128">
        <v>44483</v>
      </c>
      <c r="D750" s="36" t="s">
        <v>189</v>
      </c>
      <c r="E750" s="36" t="s">
        <v>222</v>
      </c>
      <c r="F750" s="36" t="s">
        <v>196</v>
      </c>
      <c r="G750" s="36" t="s">
        <v>466</v>
      </c>
      <c r="H750" s="36">
        <v>1</v>
      </c>
      <c r="I750" s="36" t="s">
        <v>179</v>
      </c>
      <c r="J750" s="36">
        <f>YEAR(RESER3[[#This Row],[DATA]])</f>
        <v>2021</v>
      </c>
      <c r="K750" s="36">
        <f t="shared" si="14"/>
        <v>10</v>
      </c>
      <c r="L750" s="36">
        <f>DAY(RESER3[[#This Row],[DATA]])</f>
        <v>14</v>
      </c>
      <c r="M750" s="36"/>
    </row>
    <row r="751" spans="1:13" x14ac:dyDescent="0.25">
      <c r="A751" s="36"/>
      <c r="B751" s="129" t="s">
        <v>10</v>
      </c>
      <c r="C751" s="128">
        <v>44483</v>
      </c>
      <c r="D751" s="36" t="s">
        <v>189</v>
      </c>
      <c r="E751" s="36" t="s">
        <v>222</v>
      </c>
      <c r="F751" s="36" t="s">
        <v>191</v>
      </c>
      <c r="G751" s="36" t="s">
        <v>191</v>
      </c>
      <c r="H751" s="36">
        <v>1</v>
      </c>
      <c r="I751" s="36" t="s">
        <v>179</v>
      </c>
      <c r="J751" s="36">
        <f>YEAR(RESER3[[#This Row],[DATA]])</f>
        <v>2021</v>
      </c>
      <c r="K751" s="36">
        <f t="shared" si="14"/>
        <v>10</v>
      </c>
      <c r="L751" s="36">
        <f>DAY(RESER3[[#This Row],[DATA]])</f>
        <v>14</v>
      </c>
      <c r="M751" s="36"/>
    </row>
    <row r="752" spans="1:13" x14ac:dyDescent="0.25">
      <c r="A752" s="36"/>
      <c r="B752" s="129" t="s">
        <v>22</v>
      </c>
      <c r="C752" s="128">
        <v>44483</v>
      </c>
      <c r="D752" s="36" t="s">
        <v>189</v>
      </c>
      <c r="E752" s="36" t="s">
        <v>462</v>
      </c>
      <c r="F752" s="36" t="s">
        <v>228</v>
      </c>
      <c r="G752" s="36" t="s">
        <v>486</v>
      </c>
      <c r="H752" s="36">
        <v>1</v>
      </c>
      <c r="I752" s="36" t="s">
        <v>179</v>
      </c>
      <c r="J752" s="36">
        <f>YEAR(RESER3[[#This Row],[DATA]])</f>
        <v>2021</v>
      </c>
      <c r="K752" s="36">
        <f t="shared" si="14"/>
        <v>10</v>
      </c>
      <c r="L752" s="36">
        <f>DAY(RESER3[[#This Row],[DATA]])</f>
        <v>14</v>
      </c>
      <c r="M752" s="36"/>
    </row>
    <row r="753" spans="1:13" x14ac:dyDescent="0.25">
      <c r="A753" s="36"/>
      <c r="B753" s="129" t="s">
        <v>40</v>
      </c>
      <c r="C753" s="128">
        <v>44484</v>
      </c>
      <c r="D753" s="36" t="s">
        <v>189</v>
      </c>
      <c r="E753" s="36" t="s">
        <v>222</v>
      </c>
      <c r="F753" s="36" t="s">
        <v>196</v>
      </c>
      <c r="G753" s="36" t="s">
        <v>466</v>
      </c>
      <c r="H753" s="36">
        <v>1</v>
      </c>
      <c r="I753" s="36" t="s">
        <v>179</v>
      </c>
      <c r="J753" s="36">
        <f>YEAR(RESER3[[#This Row],[DATA]])</f>
        <v>2021</v>
      </c>
      <c r="K753" s="36">
        <f t="shared" si="14"/>
        <v>10</v>
      </c>
      <c r="L753" s="36">
        <f>DAY(RESER3[[#This Row],[DATA]])</f>
        <v>15</v>
      </c>
      <c r="M753" s="36"/>
    </row>
    <row r="754" spans="1:13" x14ac:dyDescent="0.25">
      <c r="A754" s="36"/>
      <c r="B754" s="129" t="s">
        <v>14</v>
      </c>
      <c r="C754" s="128">
        <v>44484</v>
      </c>
      <c r="D754" s="36" t="s">
        <v>189</v>
      </c>
      <c r="E754" s="36" t="s">
        <v>222</v>
      </c>
      <c r="F754" s="36" t="s">
        <v>191</v>
      </c>
      <c r="G754" s="36" t="s">
        <v>191</v>
      </c>
      <c r="H754" s="36">
        <v>1</v>
      </c>
      <c r="I754" s="36" t="s">
        <v>179</v>
      </c>
      <c r="J754" s="36">
        <f>YEAR(RESER3[[#This Row],[DATA]])</f>
        <v>2021</v>
      </c>
      <c r="K754" s="36">
        <f t="shared" si="14"/>
        <v>10</v>
      </c>
      <c r="L754" s="36">
        <f>DAY(RESER3[[#This Row],[DATA]])</f>
        <v>15</v>
      </c>
      <c r="M754" s="36"/>
    </row>
    <row r="755" spans="1:13" x14ac:dyDescent="0.25">
      <c r="A755" s="36"/>
      <c r="B755" s="129" t="s">
        <v>98</v>
      </c>
      <c r="C755" s="128">
        <v>44484</v>
      </c>
      <c r="D755" s="36" t="s">
        <v>189</v>
      </c>
      <c r="E755" s="36" t="s">
        <v>462</v>
      </c>
      <c r="F755" s="36" t="s">
        <v>191</v>
      </c>
      <c r="G755" s="36" t="s">
        <v>191</v>
      </c>
      <c r="H755" s="36">
        <v>1</v>
      </c>
      <c r="I755" s="36" t="s">
        <v>179</v>
      </c>
      <c r="J755" s="36">
        <f>YEAR(RESER3[[#This Row],[DATA]])</f>
        <v>2021</v>
      </c>
      <c r="K755" s="36">
        <f t="shared" si="14"/>
        <v>10</v>
      </c>
      <c r="L755" s="36">
        <f>DAY(RESER3[[#This Row],[DATA]])</f>
        <v>15</v>
      </c>
      <c r="M755" s="36"/>
    </row>
    <row r="756" spans="1:13" x14ac:dyDescent="0.25">
      <c r="A756" s="36"/>
      <c r="B756" s="129" t="s">
        <v>17</v>
      </c>
      <c r="C756" s="128">
        <v>44484</v>
      </c>
      <c r="D756" s="36" t="s">
        <v>189</v>
      </c>
      <c r="E756" s="36" t="s">
        <v>462</v>
      </c>
      <c r="F756" s="36" t="s">
        <v>463</v>
      </c>
      <c r="G756" s="36" t="s">
        <v>473</v>
      </c>
      <c r="H756" s="36">
        <v>1</v>
      </c>
      <c r="I756" s="36" t="s">
        <v>179</v>
      </c>
      <c r="J756" s="36">
        <f>YEAR(RESER3[[#This Row],[DATA]])</f>
        <v>2021</v>
      </c>
      <c r="K756" s="36">
        <f t="shared" si="14"/>
        <v>10</v>
      </c>
      <c r="L756" s="36">
        <f>DAY(RESER3[[#This Row],[DATA]])</f>
        <v>15</v>
      </c>
      <c r="M756" s="36"/>
    </row>
    <row r="757" spans="1:13" x14ac:dyDescent="0.25">
      <c r="A757" s="36"/>
      <c r="B757" s="129" t="s">
        <v>40</v>
      </c>
      <c r="C757" s="128">
        <v>44484</v>
      </c>
      <c r="D757" s="36" t="s">
        <v>189</v>
      </c>
      <c r="E757" s="36" t="s">
        <v>222</v>
      </c>
      <c r="F757" s="36" t="s">
        <v>196</v>
      </c>
      <c r="G757" s="36" t="s">
        <v>466</v>
      </c>
      <c r="H757" s="36">
        <v>1</v>
      </c>
      <c r="I757" s="36" t="s">
        <v>179</v>
      </c>
      <c r="J757" s="36">
        <f>YEAR(RESER3[[#This Row],[DATA]])</f>
        <v>2021</v>
      </c>
      <c r="K757" s="36">
        <f t="shared" si="14"/>
        <v>10</v>
      </c>
      <c r="L757" s="36">
        <f>DAY(RESER3[[#This Row],[DATA]])</f>
        <v>15</v>
      </c>
      <c r="M757" s="36"/>
    </row>
    <row r="758" spans="1:13" x14ac:dyDescent="0.25">
      <c r="A758" s="36"/>
      <c r="B758" s="129" t="s">
        <v>19</v>
      </c>
      <c r="C758" s="128">
        <v>44484</v>
      </c>
      <c r="D758" s="36" t="s">
        <v>189</v>
      </c>
      <c r="E758" s="36" t="s">
        <v>462</v>
      </c>
      <c r="F758" s="36" t="s">
        <v>228</v>
      </c>
      <c r="G758" s="36" t="s">
        <v>486</v>
      </c>
      <c r="H758" s="36">
        <v>1</v>
      </c>
      <c r="I758" s="36" t="s">
        <v>179</v>
      </c>
      <c r="J758" s="36">
        <f>YEAR(RESER3[[#This Row],[DATA]])</f>
        <v>2021</v>
      </c>
      <c r="K758" s="36">
        <f t="shared" si="14"/>
        <v>10</v>
      </c>
      <c r="L758" s="36">
        <f>DAY(RESER3[[#This Row],[DATA]])</f>
        <v>15</v>
      </c>
      <c r="M758" s="36"/>
    </row>
    <row r="759" spans="1:13" x14ac:dyDescent="0.25">
      <c r="A759" s="36"/>
      <c r="B759" s="129" t="s">
        <v>14</v>
      </c>
      <c r="C759" s="128">
        <v>44484</v>
      </c>
      <c r="D759" s="36" t="s">
        <v>189</v>
      </c>
      <c r="E759" s="36" t="s">
        <v>222</v>
      </c>
      <c r="F759" s="36" t="s">
        <v>191</v>
      </c>
      <c r="G759" s="36" t="s">
        <v>191</v>
      </c>
      <c r="H759" s="36">
        <v>1</v>
      </c>
      <c r="I759" s="36" t="s">
        <v>179</v>
      </c>
      <c r="J759" s="36">
        <f>YEAR(RESER3[[#This Row],[DATA]])</f>
        <v>2021</v>
      </c>
      <c r="K759" s="36">
        <f t="shared" si="14"/>
        <v>10</v>
      </c>
      <c r="L759" s="36">
        <f>DAY(RESER3[[#This Row],[DATA]])</f>
        <v>15</v>
      </c>
      <c r="M759" s="36"/>
    </row>
    <row r="760" spans="1:13" x14ac:dyDescent="0.25">
      <c r="A760" s="36"/>
      <c r="B760" s="129" t="s">
        <v>17</v>
      </c>
      <c r="C760" s="128">
        <v>44484</v>
      </c>
      <c r="D760" s="36" t="s">
        <v>189</v>
      </c>
      <c r="E760" s="36" t="s">
        <v>462</v>
      </c>
      <c r="F760" s="36" t="s">
        <v>463</v>
      </c>
      <c r="G760" s="36" t="s">
        <v>473</v>
      </c>
      <c r="H760" s="36">
        <v>1</v>
      </c>
      <c r="I760" s="36" t="s">
        <v>179</v>
      </c>
      <c r="J760" s="36">
        <f>YEAR(RESER3[[#This Row],[DATA]])</f>
        <v>2021</v>
      </c>
      <c r="K760" s="36">
        <f t="shared" si="14"/>
        <v>10</v>
      </c>
      <c r="L760" s="36">
        <f>DAY(RESER3[[#This Row],[DATA]])</f>
        <v>15</v>
      </c>
      <c r="M760" s="36"/>
    </row>
    <row r="761" spans="1:13" x14ac:dyDescent="0.25">
      <c r="A761" s="36"/>
      <c r="B761" s="129" t="s">
        <v>40</v>
      </c>
      <c r="C761" s="128" t="s">
        <v>787</v>
      </c>
      <c r="D761" s="36" t="s">
        <v>189</v>
      </c>
      <c r="E761" s="36" t="s">
        <v>462</v>
      </c>
      <c r="F761" s="36" t="s">
        <v>196</v>
      </c>
      <c r="G761" s="36" t="s">
        <v>466</v>
      </c>
      <c r="H761" s="36">
        <v>1</v>
      </c>
      <c r="I761" s="36" t="s">
        <v>179</v>
      </c>
      <c r="J761" s="36">
        <f>YEAR(RESER3[[#This Row],[DATA]])</f>
        <v>2021</v>
      </c>
      <c r="K761" s="36">
        <f t="shared" si="14"/>
        <v>10</v>
      </c>
      <c r="L761" s="36">
        <f>DAY(RESER3[[#This Row],[DATA]])</f>
        <v>15</v>
      </c>
      <c r="M761" s="36"/>
    </row>
    <row r="762" spans="1:13" x14ac:dyDescent="0.25">
      <c r="A762" s="36"/>
      <c r="B762" s="129" t="s">
        <v>14</v>
      </c>
      <c r="C762" s="128">
        <v>44487</v>
      </c>
      <c r="D762" s="36" t="s">
        <v>189</v>
      </c>
      <c r="E762" s="36" t="s">
        <v>222</v>
      </c>
      <c r="F762" s="36" t="s">
        <v>228</v>
      </c>
      <c r="G762" s="36" t="s">
        <v>486</v>
      </c>
      <c r="H762" s="36">
        <v>1</v>
      </c>
      <c r="I762" s="36" t="s">
        <v>179</v>
      </c>
      <c r="J762" s="36">
        <f>YEAR(RESER3[[#This Row],[DATA]])</f>
        <v>2021</v>
      </c>
      <c r="K762" s="36">
        <f t="shared" si="14"/>
        <v>10</v>
      </c>
      <c r="L762" s="36">
        <f>DAY(RESER3[[#This Row],[DATA]])</f>
        <v>18</v>
      </c>
      <c r="M762" s="36"/>
    </row>
    <row r="763" spans="1:13" x14ac:dyDescent="0.25">
      <c r="A763" s="36"/>
      <c r="B763" s="129" t="s">
        <v>16</v>
      </c>
      <c r="C763" s="128">
        <v>44487</v>
      </c>
      <c r="D763" s="36" t="s">
        <v>189</v>
      </c>
      <c r="E763" s="36" t="s">
        <v>222</v>
      </c>
      <c r="F763" s="36" t="s">
        <v>228</v>
      </c>
      <c r="G763" s="36" t="s">
        <v>486</v>
      </c>
      <c r="H763" s="36">
        <v>1</v>
      </c>
      <c r="I763" s="36" t="s">
        <v>179</v>
      </c>
      <c r="J763" s="36">
        <f>YEAR(RESER3[[#This Row],[DATA]])</f>
        <v>2021</v>
      </c>
      <c r="K763" s="36">
        <f t="shared" si="14"/>
        <v>10</v>
      </c>
      <c r="L763" s="36">
        <f>DAY(RESER3[[#This Row],[DATA]])</f>
        <v>18</v>
      </c>
      <c r="M763" s="36"/>
    </row>
    <row r="764" spans="1:13" x14ac:dyDescent="0.25">
      <c r="A764" s="36"/>
      <c r="B764" s="129" t="s">
        <v>6</v>
      </c>
      <c r="C764" s="128" t="s">
        <v>788</v>
      </c>
      <c r="D764" s="36" t="s">
        <v>189</v>
      </c>
      <c r="E764" s="36" t="s">
        <v>462</v>
      </c>
      <c r="F764" s="36" t="s">
        <v>194</v>
      </c>
      <c r="G764" s="36" t="s">
        <v>473</v>
      </c>
      <c r="H764" s="36">
        <v>1</v>
      </c>
      <c r="I764" s="36" t="s">
        <v>179</v>
      </c>
      <c r="J764" s="36">
        <f>YEAR(RESER3[[#This Row],[DATA]])</f>
        <v>2021</v>
      </c>
      <c r="K764" s="36">
        <f t="shared" si="14"/>
        <v>10</v>
      </c>
      <c r="L764" s="36">
        <f>DAY(RESER3[[#This Row],[DATA]])</f>
        <v>18</v>
      </c>
      <c r="M764" s="36"/>
    </row>
    <row r="765" spans="1:13" x14ac:dyDescent="0.25">
      <c r="A765" s="36"/>
      <c r="B765" s="129" t="s">
        <v>10</v>
      </c>
      <c r="C765" s="128" t="s">
        <v>788</v>
      </c>
      <c r="D765" s="36" t="s">
        <v>189</v>
      </c>
      <c r="E765" s="36" t="s">
        <v>462</v>
      </c>
      <c r="F765" s="36" t="s">
        <v>191</v>
      </c>
      <c r="G765" s="36" t="s">
        <v>191</v>
      </c>
      <c r="H765" s="36">
        <v>1</v>
      </c>
      <c r="I765" s="36" t="s">
        <v>179</v>
      </c>
      <c r="J765" s="36">
        <f>YEAR(RESER3[[#This Row],[DATA]])</f>
        <v>2021</v>
      </c>
      <c r="K765" s="36">
        <f t="shared" si="14"/>
        <v>10</v>
      </c>
      <c r="L765" s="36">
        <f>DAY(RESER3[[#This Row],[DATA]])</f>
        <v>18</v>
      </c>
      <c r="M765" s="36"/>
    </row>
    <row r="766" spans="1:13" x14ac:dyDescent="0.25">
      <c r="A766" s="36"/>
      <c r="B766" s="129" t="s">
        <v>9</v>
      </c>
      <c r="C766" s="128">
        <v>44488</v>
      </c>
      <c r="D766" s="36" t="s">
        <v>189</v>
      </c>
      <c r="E766" s="36" t="s">
        <v>462</v>
      </c>
      <c r="F766" s="36" t="s">
        <v>191</v>
      </c>
      <c r="G766" s="36" t="s">
        <v>191</v>
      </c>
      <c r="H766" s="36">
        <v>1</v>
      </c>
      <c r="I766" s="36" t="s">
        <v>179</v>
      </c>
      <c r="J766" s="36">
        <f>YEAR(RESER3[[#This Row],[DATA]])</f>
        <v>2021</v>
      </c>
      <c r="K766" s="36">
        <f t="shared" si="14"/>
        <v>10</v>
      </c>
      <c r="L766" s="36">
        <f>DAY(RESER3[[#This Row],[DATA]])</f>
        <v>19</v>
      </c>
      <c r="M766" s="36"/>
    </row>
    <row r="767" spans="1:13" x14ac:dyDescent="0.25">
      <c r="A767" s="36"/>
      <c r="B767" s="129" t="s">
        <v>17</v>
      </c>
      <c r="C767" s="128">
        <v>44489</v>
      </c>
      <c r="D767" s="36" t="s">
        <v>189</v>
      </c>
      <c r="E767" s="36" t="s">
        <v>222</v>
      </c>
      <c r="F767" s="36" t="s">
        <v>789</v>
      </c>
      <c r="G767" s="36" t="s">
        <v>789</v>
      </c>
      <c r="H767" s="36">
        <v>1</v>
      </c>
      <c r="I767" s="36" t="s">
        <v>179</v>
      </c>
      <c r="J767" s="36">
        <f>YEAR(RESER3[[#This Row],[DATA]])</f>
        <v>2021</v>
      </c>
      <c r="K767" s="36">
        <f t="shared" si="14"/>
        <v>10</v>
      </c>
      <c r="L767" s="36">
        <f>DAY(RESER3[[#This Row],[DATA]])</f>
        <v>20</v>
      </c>
      <c r="M767" s="36"/>
    </row>
    <row r="768" spans="1:13" x14ac:dyDescent="0.25">
      <c r="A768" s="36"/>
      <c r="B768" s="129" t="s">
        <v>21</v>
      </c>
      <c r="C768" s="128">
        <v>44489</v>
      </c>
      <c r="D768" s="36" t="s">
        <v>189</v>
      </c>
      <c r="E768" s="36" t="s">
        <v>222</v>
      </c>
      <c r="F768" s="36" t="s">
        <v>228</v>
      </c>
      <c r="G768" s="36" t="s">
        <v>486</v>
      </c>
      <c r="H768" s="36">
        <v>1</v>
      </c>
      <c r="I768" s="36" t="s">
        <v>179</v>
      </c>
      <c r="J768" s="36">
        <f>YEAR(RESER3[[#This Row],[DATA]])</f>
        <v>2021</v>
      </c>
      <c r="K768" s="36">
        <f t="shared" si="14"/>
        <v>10</v>
      </c>
      <c r="L768" s="36">
        <f>DAY(RESER3[[#This Row],[DATA]])</f>
        <v>20</v>
      </c>
      <c r="M768" s="36"/>
    </row>
    <row r="769" spans="1:13" x14ac:dyDescent="0.25">
      <c r="A769" s="36"/>
      <c r="B769" s="129" t="s">
        <v>16</v>
      </c>
      <c r="C769" s="128">
        <v>44489</v>
      </c>
      <c r="D769" s="36" t="s">
        <v>189</v>
      </c>
      <c r="E769" s="36" t="s">
        <v>462</v>
      </c>
      <c r="F769" s="36" t="s">
        <v>793</v>
      </c>
      <c r="G769" s="36" t="s">
        <v>191</v>
      </c>
      <c r="H769" s="36">
        <v>1</v>
      </c>
      <c r="I769" s="36" t="s">
        <v>179</v>
      </c>
      <c r="J769" s="36">
        <f>YEAR(RESER3[[#This Row],[DATA]])</f>
        <v>2021</v>
      </c>
      <c r="K769" s="36">
        <f t="shared" si="14"/>
        <v>10</v>
      </c>
      <c r="L769" s="36">
        <f>DAY(RESER3[[#This Row],[DATA]])</f>
        <v>20</v>
      </c>
      <c r="M769" s="36"/>
    </row>
    <row r="770" spans="1:13" x14ac:dyDescent="0.25">
      <c r="A770" s="36"/>
      <c r="B770" s="129" t="s">
        <v>8</v>
      </c>
      <c r="C770" s="128">
        <v>44489</v>
      </c>
      <c r="D770" s="36" t="s">
        <v>189</v>
      </c>
      <c r="E770" s="36" t="s">
        <v>222</v>
      </c>
      <c r="F770" s="36" t="s">
        <v>228</v>
      </c>
      <c r="G770" s="36" t="s">
        <v>486</v>
      </c>
      <c r="H770" s="36">
        <v>1</v>
      </c>
      <c r="I770" s="36" t="s">
        <v>179</v>
      </c>
      <c r="J770" s="36">
        <f>YEAR(RESER3[[#This Row],[DATA]])</f>
        <v>2021</v>
      </c>
      <c r="K770" s="36">
        <f t="shared" si="14"/>
        <v>10</v>
      </c>
      <c r="L770" s="36">
        <f>DAY(RESER3[[#This Row],[DATA]])</f>
        <v>20</v>
      </c>
      <c r="M770" s="36"/>
    </row>
    <row r="771" spans="1:13" x14ac:dyDescent="0.25">
      <c r="A771" s="36"/>
      <c r="B771" s="129" t="s">
        <v>21</v>
      </c>
      <c r="C771" s="128">
        <v>44490</v>
      </c>
      <c r="D771" s="36" t="s">
        <v>189</v>
      </c>
      <c r="E771" s="36" t="s">
        <v>462</v>
      </c>
      <c r="F771" s="36" t="s">
        <v>228</v>
      </c>
      <c r="G771" s="36" t="s">
        <v>486</v>
      </c>
      <c r="H771" s="36">
        <v>1</v>
      </c>
      <c r="I771" s="36" t="s">
        <v>179</v>
      </c>
      <c r="J771" s="36">
        <f>YEAR(RESER3[[#This Row],[DATA]])</f>
        <v>2021</v>
      </c>
      <c r="K771" s="36">
        <f t="shared" ref="K771:K821" si="15">MONTH(C771)</f>
        <v>10</v>
      </c>
      <c r="L771" s="36">
        <f>DAY(RESER3[[#This Row],[DATA]])</f>
        <v>21</v>
      </c>
      <c r="M771" s="36"/>
    </row>
    <row r="772" spans="1:13" x14ac:dyDescent="0.25">
      <c r="A772" s="36"/>
      <c r="B772" s="129" t="s">
        <v>22</v>
      </c>
      <c r="C772" s="128">
        <v>44490</v>
      </c>
      <c r="D772" s="36" t="s">
        <v>189</v>
      </c>
      <c r="E772" s="36" t="s">
        <v>222</v>
      </c>
      <c r="F772" s="36" t="s">
        <v>191</v>
      </c>
      <c r="G772" s="36" t="s">
        <v>191</v>
      </c>
      <c r="H772" s="36">
        <v>1</v>
      </c>
      <c r="I772" s="36" t="s">
        <v>179</v>
      </c>
      <c r="J772" s="36">
        <f>YEAR(RESER3[[#This Row],[DATA]])</f>
        <v>2021</v>
      </c>
      <c r="K772" s="36">
        <f t="shared" si="15"/>
        <v>10</v>
      </c>
      <c r="L772" s="36">
        <f>DAY(RESER3[[#This Row],[DATA]])</f>
        <v>21</v>
      </c>
      <c r="M772" s="36"/>
    </row>
    <row r="773" spans="1:13" x14ac:dyDescent="0.25">
      <c r="A773" s="36"/>
      <c r="B773" s="129" t="s">
        <v>4</v>
      </c>
      <c r="C773" s="128">
        <v>44490</v>
      </c>
      <c r="D773" s="36" t="s">
        <v>189</v>
      </c>
      <c r="E773" s="36" t="s">
        <v>462</v>
      </c>
      <c r="F773" s="36" t="s">
        <v>191</v>
      </c>
      <c r="G773" s="36" t="s">
        <v>191</v>
      </c>
      <c r="H773" s="36">
        <v>1</v>
      </c>
      <c r="I773" s="36" t="s">
        <v>179</v>
      </c>
      <c r="J773" s="36">
        <f>YEAR(RESER3[[#This Row],[DATA]])</f>
        <v>2021</v>
      </c>
      <c r="K773" s="36">
        <f t="shared" si="15"/>
        <v>10</v>
      </c>
      <c r="L773" s="36">
        <f>DAY(RESER3[[#This Row],[DATA]])</f>
        <v>21</v>
      </c>
      <c r="M773" s="36"/>
    </row>
    <row r="774" spans="1:13" x14ac:dyDescent="0.25">
      <c r="A774" s="36"/>
      <c r="B774" s="129" t="s">
        <v>7</v>
      </c>
      <c r="C774" s="128">
        <v>44490</v>
      </c>
      <c r="D774" s="36" t="s">
        <v>189</v>
      </c>
      <c r="E774" s="36" t="s">
        <v>462</v>
      </c>
      <c r="F774" s="36" t="s">
        <v>191</v>
      </c>
      <c r="G774" s="36" t="s">
        <v>191</v>
      </c>
      <c r="H774" s="36">
        <v>1</v>
      </c>
      <c r="I774" s="36" t="s">
        <v>179</v>
      </c>
      <c r="J774" s="36">
        <f>YEAR(RESER3[[#This Row],[DATA]])</f>
        <v>2021</v>
      </c>
      <c r="K774" s="36">
        <f t="shared" si="15"/>
        <v>10</v>
      </c>
      <c r="L774" s="36">
        <f>DAY(RESER3[[#This Row],[DATA]])</f>
        <v>21</v>
      </c>
      <c r="M774" s="36"/>
    </row>
    <row r="775" spans="1:13" x14ac:dyDescent="0.25">
      <c r="A775" s="36"/>
      <c r="B775" s="129" t="s">
        <v>8</v>
      </c>
      <c r="C775" s="128">
        <v>44490</v>
      </c>
      <c r="D775" s="36" t="s">
        <v>189</v>
      </c>
      <c r="E775" s="36" t="s">
        <v>222</v>
      </c>
      <c r="F775" s="36" t="s">
        <v>194</v>
      </c>
      <c r="G775" s="36" t="s">
        <v>473</v>
      </c>
      <c r="H775" s="36">
        <v>1</v>
      </c>
      <c r="I775" s="36" t="s">
        <v>179</v>
      </c>
      <c r="J775" s="36">
        <f>YEAR(RESER3[[#This Row],[DATA]])</f>
        <v>2021</v>
      </c>
      <c r="K775" s="36">
        <f t="shared" si="15"/>
        <v>10</v>
      </c>
      <c r="L775" s="36">
        <f>DAY(RESER3[[#This Row],[DATA]])</f>
        <v>21</v>
      </c>
      <c r="M775" s="36"/>
    </row>
    <row r="776" spans="1:13" x14ac:dyDescent="0.25">
      <c r="A776" s="36"/>
      <c r="B776" s="129" t="s">
        <v>9</v>
      </c>
      <c r="C776" s="128">
        <v>44491</v>
      </c>
      <c r="D776" s="36" t="s">
        <v>189</v>
      </c>
      <c r="E776" s="36" t="s">
        <v>462</v>
      </c>
      <c r="F776" s="36" t="s">
        <v>228</v>
      </c>
      <c r="G776" s="36" t="s">
        <v>486</v>
      </c>
      <c r="H776" s="36">
        <v>1</v>
      </c>
      <c r="I776" s="36" t="s">
        <v>179</v>
      </c>
      <c r="J776" s="36">
        <f>YEAR(RESER3[[#This Row],[DATA]])</f>
        <v>2021</v>
      </c>
      <c r="K776" s="36">
        <f t="shared" si="15"/>
        <v>10</v>
      </c>
      <c r="L776" s="36">
        <f>DAY(RESER3[[#This Row],[DATA]])</f>
        <v>22</v>
      </c>
      <c r="M776" s="36"/>
    </row>
    <row r="777" spans="1:13" x14ac:dyDescent="0.25">
      <c r="A777" s="36"/>
      <c r="B777" s="129" t="s">
        <v>10</v>
      </c>
      <c r="C777" s="128">
        <v>44491</v>
      </c>
      <c r="D777" s="36" t="s">
        <v>189</v>
      </c>
      <c r="E777" s="36" t="s">
        <v>222</v>
      </c>
      <c r="F777" s="36" t="s">
        <v>228</v>
      </c>
      <c r="G777" s="36" t="s">
        <v>486</v>
      </c>
      <c r="H777" s="36">
        <v>1</v>
      </c>
      <c r="I777" s="36" t="s">
        <v>179</v>
      </c>
      <c r="J777" s="36">
        <f>YEAR(RESER3[[#This Row],[DATA]])</f>
        <v>2021</v>
      </c>
      <c r="K777" s="36">
        <f t="shared" si="15"/>
        <v>10</v>
      </c>
      <c r="L777" s="36">
        <f>DAY(RESER3[[#This Row],[DATA]])</f>
        <v>22</v>
      </c>
      <c r="M777" s="36"/>
    </row>
    <row r="778" spans="1:13" x14ac:dyDescent="0.25">
      <c r="A778" s="36"/>
      <c r="B778" s="129" t="s">
        <v>6</v>
      </c>
      <c r="C778" s="128">
        <v>44491</v>
      </c>
      <c r="D778" s="36" t="s">
        <v>189</v>
      </c>
      <c r="E778" s="36" t="s">
        <v>462</v>
      </c>
      <c r="F778" s="36" t="s">
        <v>228</v>
      </c>
      <c r="G778" s="36" t="s">
        <v>486</v>
      </c>
      <c r="H778" s="36">
        <v>1</v>
      </c>
      <c r="I778" s="36" t="s">
        <v>179</v>
      </c>
      <c r="J778" s="36">
        <f>YEAR(RESER3[[#This Row],[DATA]])</f>
        <v>2021</v>
      </c>
      <c r="K778" s="36">
        <f t="shared" si="15"/>
        <v>10</v>
      </c>
      <c r="L778" s="36">
        <f>DAY(RESER3[[#This Row],[DATA]])</f>
        <v>22</v>
      </c>
      <c r="M778" s="36"/>
    </row>
    <row r="779" spans="1:13" x14ac:dyDescent="0.25">
      <c r="A779" s="36"/>
      <c r="B779" s="129" t="s">
        <v>16</v>
      </c>
      <c r="C779" s="128">
        <v>44494</v>
      </c>
      <c r="D779" s="36" t="s">
        <v>189</v>
      </c>
      <c r="E779" s="36" t="s">
        <v>462</v>
      </c>
      <c r="F779" s="36" t="s">
        <v>196</v>
      </c>
      <c r="G779" s="36" t="s">
        <v>466</v>
      </c>
      <c r="H779" s="36">
        <v>1</v>
      </c>
      <c r="I779" s="36" t="s">
        <v>179</v>
      </c>
      <c r="J779" s="36">
        <f>YEAR(RESER3[[#This Row],[DATA]])</f>
        <v>2021</v>
      </c>
      <c r="K779" s="36">
        <f t="shared" si="15"/>
        <v>10</v>
      </c>
      <c r="L779" s="36">
        <f>DAY(RESER3[[#This Row],[DATA]])</f>
        <v>25</v>
      </c>
      <c r="M779" s="36"/>
    </row>
    <row r="780" spans="1:13" x14ac:dyDescent="0.25">
      <c r="A780" s="36"/>
      <c r="B780" s="129" t="s">
        <v>14</v>
      </c>
      <c r="C780" s="128">
        <v>44494</v>
      </c>
      <c r="D780" s="36" t="s">
        <v>189</v>
      </c>
      <c r="E780" s="36" t="s">
        <v>222</v>
      </c>
      <c r="F780" s="36" t="s">
        <v>191</v>
      </c>
      <c r="G780" s="36" t="s">
        <v>191</v>
      </c>
      <c r="H780" s="36">
        <v>1</v>
      </c>
      <c r="I780" s="36" t="s">
        <v>179</v>
      </c>
      <c r="J780" s="36">
        <f>YEAR(RESER3[[#This Row],[DATA]])</f>
        <v>2021</v>
      </c>
      <c r="K780" s="36">
        <f t="shared" si="15"/>
        <v>10</v>
      </c>
      <c r="L780" s="36">
        <f>DAY(RESER3[[#This Row],[DATA]])</f>
        <v>25</v>
      </c>
      <c r="M780" s="36"/>
    </row>
    <row r="781" spans="1:13" x14ac:dyDescent="0.25">
      <c r="A781" s="36"/>
      <c r="B781" s="129" t="s">
        <v>13</v>
      </c>
      <c r="C781" s="128">
        <v>44494</v>
      </c>
      <c r="D781" s="36" t="s">
        <v>189</v>
      </c>
      <c r="E781" s="36" t="s">
        <v>462</v>
      </c>
      <c r="F781" s="36" t="s">
        <v>191</v>
      </c>
      <c r="G781" s="36" t="s">
        <v>191</v>
      </c>
      <c r="H781" s="36">
        <v>1</v>
      </c>
      <c r="I781" s="36" t="s">
        <v>179</v>
      </c>
      <c r="J781" s="36">
        <f>YEAR(RESER3[[#This Row],[DATA]])</f>
        <v>2021</v>
      </c>
      <c r="K781" s="36">
        <f t="shared" si="15"/>
        <v>10</v>
      </c>
      <c r="L781" s="36">
        <f>DAY(RESER3[[#This Row],[DATA]])</f>
        <v>25</v>
      </c>
      <c r="M781" s="36"/>
    </row>
    <row r="782" spans="1:13" x14ac:dyDescent="0.25">
      <c r="A782" s="36"/>
      <c r="B782" s="129" t="s">
        <v>22</v>
      </c>
      <c r="C782" s="128">
        <v>44494</v>
      </c>
      <c r="D782" s="36" t="s">
        <v>189</v>
      </c>
      <c r="E782" s="36" t="s">
        <v>222</v>
      </c>
      <c r="F782" s="36" t="s">
        <v>191</v>
      </c>
      <c r="G782" s="36" t="s">
        <v>191</v>
      </c>
      <c r="H782" s="36">
        <v>1</v>
      </c>
      <c r="I782" s="36" t="s">
        <v>179</v>
      </c>
      <c r="J782" s="36">
        <f>YEAR(RESER3[[#This Row],[DATA]])</f>
        <v>2021</v>
      </c>
      <c r="K782" s="36">
        <f t="shared" si="15"/>
        <v>10</v>
      </c>
      <c r="L782" s="36">
        <f>DAY(RESER3[[#This Row],[DATA]])</f>
        <v>25</v>
      </c>
      <c r="M782" s="36"/>
    </row>
    <row r="783" spans="1:13" x14ac:dyDescent="0.25">
      <c r="A783" s="36"/>
      <c r="B783" s="129" t="s">
        <v>16</v>
      </c>
      <c r="C783" s="128">
        <v>44494</v>
      </c>
      <c r="D783" s="36" t="s">
        <v>189</v>
      </c>
      <c r="E783" s="36" t="s">
        <v>222</v>
      </c>
      <c r="F783" s="36" t="s">
        <v>228</v>
      </c>
      <c r="G783" s="36" t="s">
        <v>486</v>
      </c>
      <c r="H783" s="36">
        <v>1</v>
      </c>
      <c r="I783" s="36" t="s">
        <v>179</v>
      </c>
      <c r="J783" s="36">
        <f>YEAR(RESER3[[#This Row],[DATA]])</f>
        <v>2021</v>
      </c>
      <c r="K783" s="36">
        <f t="shared" si="15"/>
        <v>10</v>
      </c>
      <c r="L783" s="36">
        <f>DAY(RESER3[[#This Row],[DATA]])</f>
        <v>25</v>
      </c>
      <c r="M783" s="36"/>
    </row>
    <row r="784" spans="1:13" x14ac:dyDescent="0.25">
      <c r="A784" s="36"/>
      <c r="B784" s="129" t="s">
        <v>20</v>
      </c>
      <c r="C784" s="128">
        <v>44494</v>
      </c>
      <c r="D784" s="36" t="s">
        <v>189</v>
      </c>
      <c r="E784" s="36" t="s">
        <v>462</v>
      </c>
      <c r="F784" s="36" t="s">
        <v>228</v>
      </c>
      <c r="G784" s="36" t="s">
        <v>486</v>
      </c>
      <c r="H784" s="36">
        <v>1</v>
      </c>
      <c r="I784" s="36" t="s">
        <v>179</v>
      </c>
      <c r="J784" s="36">
        <f>YEAR(RESER3[[#This Row],[DATA]])</f>
        <v>2021</v>
      </c>
      <c r="K784" s="36">
        <f t="shared" si="15"/>
        <v>10</v>
      </c>
      <c r="L784" s="36">
        <f>DAY(RESER3[[#This Row],[DATA]])</f>
        <v>25</v>
      </c>
      <c r="M784" s="36"/>
    </row>
    <row r="785" spans="1:13" x14ac:dyDescent="0.25">
      <c r="A785" s="36"/>
      <c r="B785" s="129" t="s">
        <v>98</v>
      </c>
      <c r="C785" s="128">
        <v>44495</v>
      </c>
      <c r="D785" s="36" t="s">
        <v>189</v>
      </c>
      <c r="E785" s="36" t="s">
        <v>462</v>
      </c>
      <c r="F785" s="36" t="s">
        <v>191</v>
      </c>
      <c r="G785" s="36" t="s">
        <v>191</v>
      </c>
      <c r="H785" s="36">
        <v>1</v>
      </c>
      <c r="I785" s="36" t="s">
        <v>179</v>
      </c>
      <c r="J785" s="36">
        <f>YEAR(RESER3[[#This Row],[DATA]])</f>
        <v>2021</v>
      </c>
      <c r="K785" s="36">
        <f t="shared" si="15"/>
        <v>10</v>
      </c>
      <c r="L785" s="36">
        <f>DAY(RESER3[[#This Row],[DATA]])</f>
        <v>26</v>
      </c>
      <c r="M785" s="36"/>
    </row>
    <row r="786" spans="1:13" x14ac:dyDescent="0.25">
      <c r="A786" s="36"/>
      <c r="B786" s="129" t="s">
        <v>19</v>
      </c>
      <c r="C786" s="128">
        <v>44495</v>
      </c>
      <c r="D786" s="36" t="s">
        <v>189</v>
      </c>
      <c r="E786" s="36" t="s">
        <v>222</v>
      </c>
      <c r="F786" s="36" t="s">
        <v>191</v>
      </c>
      <c r="G786" s="36" t="s">
        <v>191</v>
      </c>
      <c r="H786" s="36">
        <v>1</v>
      </c>
      <c r="I786" s="36" t="s">
        <v>179</v>
      </c>
      <c r="J786" s="36">
        <f>YEAR(RESER3[[#This Row],[DATA]])</f>
        <v>2021</v>
      </c>
      <c r="K786" s="36">
        <f t="shared" si="15"/>
        <v>10</v>
      </c>
      <c r="L786" s="36">
        <f>DAY(RESER3[[#This Row],[DATA]])</f>
        <v>26</v>
      </c>
      <c r="M786" s="36"/>
    </row>
    <row r="787" spans="1:13" x14ac:dyDescent="0.25">
      <c r="A787" s="36"/>
      <c r="B787" s="129" t="s">
        <v>17</v>
      </c>
      <c r="C787" s="128">
        <v>44495</v>
      </c>
      <c r="D787" s="36" t="s">
        <v>189</v>
      </c>
      <c r="E787" s="36" t="s">
        <v>222</v>
      </c>
      <c r="F787" s="36" t="s">
        <v>191</v>
      </c>
      <c r="G787" s="36" t="s">
        <v>191</v>
      </c>
      <c r="H787" s="36">
        <v>1</v>
      </c>
      <c r="I787" s="36" t="s">
        <v>179</v>
      </c>
      <c r="J787" s="36">
        <f>YEAR(RESER3[[#This Row],[DATA]])</f>
        <v>2021</v>
      </c>
      <c r="K787" s="36">
        <f t="shared" si="15"/>
        <v>10</v>
      </c>
      <c r="L787" s="36">
        <f>DAY(RESER3[[#This Row],[DATA]])</f>
        <v>26</v>
      </c>
      <c r="M787" s="36"/>
    </row>
    <row r="788" spans="1:13" x14ac:dyDescent="0.25">
      <c r="A788" s="36"/>
      <c r="B788" s="129" t="s">
        <v>20</v>
      </c>
      <c r="C788" s="128">
        <v>44495</v>
      </c>
      <c r="D788" s="36" t="s">
        <v>189</v>
      </c>
      <c r="E788" s="36" t="s">
        <v>222</v>
      </c>
      <c r="F788" s="36" t="s">
        <v>196</v>
      </c>
      <c r="G788" s="36" t="s">
        <v>790</v>
      </c>
      <c r="H788" s="36">
        <v>1</v>
      </c>
      <c r="I788" s="36" t="s">
        <v>179</v>
      </c>
      <c r="J788" s="36">
        <f>YEAR(RESER3[[#This Row],[DATA]])</f>
        <v>2021</v>
      </c>
      <c r="K788" s="36">
        <f t="shared" si="15"/>
        <v>10</v>
      </c>
      <c r="L788" s="36">
        <f>DAY(RESER3[[#This Row],[DATA]])</f>
        <v>26</v>
      </c>
      <c r="M788" s="36"/>
    </row>
    <row r="789" spans="1:13" x14ac:dyDescent="0.25">
      <c r="A789" s="36"/>
      <c r="B789" s="129" t="s">
        <v>4</v>
      </c>
      <c r="C789" s="128" t="s">
        <v>791</v>
      </c>
      <c r="D789" s="36" t="s">
        <v>189</v>
      </c>
      <c r="E789" s="36" t="s">
        <v>222</v>
      </c>
      <c r="F789" s="36" t="s">
        <v>196</v>
      </c>
      <c r="G789" s="36" t="s">
        <v>466</v>
      </c>
      <c r="H789" s="36">
        <v>1</v>
      </c>
      <c r="I789" s="36" t="s">
        <v>179</v>
      </c>
      <c r="J789" s="36">
        <f>YEAR(RESER3[[#This Row],[DATA]])</f>
        <v>2021</v>
      </c>
      <c r="K789" s="36">
        <f t="shared" si="15"/>
        <v>10</v>
      </c>
      <c r="L789" s="36">
        <f>DAY(RESER3[[#This Row],[DATA]])</f>
        <v>26</v>
      </c>
      <c r="M789" s="36"/>
    </row>
    <row r="790" spans="1:13" x14ac:dyDescent="0.25">
      <c r="A790" s="36"/>
      <c r="B790" s="129" t="s">
        <v>7</v>
      </c>
      <c r="C790" s="128">
        <v>44496</v>
      </c>
      <c r="D790" s="36" t="s">
        <v>189</v>
      </c>
      <c r="E790" s="36" t="s">
        <v>462</v>
      </c>
      <c r="F790" s="36" t="s">
        <v>191</v>
      </c>
      <c r="G790" s="36" t="s">
        <v>191</v>
      </c>
      <c r="H790" s="36">
        <v>1</v>
      </c>
      <c r="I790" s="36" t="s">
        <v>179</v>
      </c>
      <c r="J790" s="36">
        <f>YEAR(RESER3[[#This Row],[DATA]])</f>
        <v>2021</v>
      </c>
      <c r="K790" s="36">
        <f t="shared" si="15"/>
        <v>10</v>
      </c>
      <c r="L790" s="36">
        <f>DAY(RESER3[[#This Row],[DATA]])</f>
        <v>27</v>
      </c>
      <c r="M790" s="36"/>
    </row>
    <row r="791" spans="1:13" x14ac:dyDescent="0.25">
      <c r="A791" s="36"/>
      <c r="B791" s="129" t="s">
        <v>16</v>
      </c>
      <c r="C791" s="128" t="s">
        <v>792</v>
      </c>
      <c r="D791" s="36" t="s">
        <v>189</v>
      </c>
      <c r="E791" s="36" t="s">
        <v>462</v>
      </c>
      <c r="F791" s="36" t="s">
        <v>793</v>
      </c>
      <c r="G791" s="36" t="s">
        <v>191</v>
      </c>
      <c r="H791" s="36">
        <v>1</v>
      </c>
      <c r="I791" s="36" t="s">
        <v>179</v>
      </c>
      <c r="J791" s="36">
        <f>YEAR(RESER3[[#This Row],[DATA]])</f>
        <v>2021</v>
      </c>
      <c r="K791" s="36">
        <f t="shared" si="15"/>
        <v>10</v>
      </c>
      <c r="L791" s="36">
        <f>DAY(RESER3[[#This Row],[DATA]])</f>
        <v>27</v>
      </c>
      <c r="M791" s="36"/>
    </row>
    <row r="792" spans="1:13" x14ac:dyDescent="0.25">
      <c r="A792" s="36"/>
      <c r="B792" s="129" t="s">
        <v>5</v>
      </c>
      <c r="C792" s="128" t="s">
        <v>792</v>
      </c>
      <c r="D792" s="36" t="s">
        <v>189</v>
      </c>
      <c r="E792" s="36" t="s">
        <v>222</v>
      </c>
      <c r="F792" s="36" t="s">
        <v>196</v>
      </c>
      <c r="G792" s="36" t="s">
        <v>466</v>
      </c>
      <c r="H792" s="36">
        <v>1</v>
      </c>
      <c r="I792" s="36" t="s">
        <v>179</v>
      </c>
      <c r="J792" s="36">
        <f>YEAR(RESER3[[#This Row],[DATA]])</f>
        <v>2021</v>
      </c>
      <c r="K792" s="36">
        <f t="shared" si="15"/>
        <v>10</v>
      </c>
      <c r="L792" s="36">
        <f>DAY(RESER3[[#This Row],[DATA]])</f>
        <v>27</v>
      </c>
      <c r="M792" s="36"/>
    </row>
    <row r="793" spans="1:13" x14ac:dyDescent="0.25">
      <c r="A793" s="36"/>
      <c r="B793" s="129" t="s">
        <v>10</v>
      </c>
      <c r="C793" s="128" t="s">
        <v>794</v>
      </c>
      <c r="D793" s="36" t="s">
        <v>189</v>
      </c>
      <c r="E793" s="36" t="s">
        <v>462</v>
      </c>
      <c r="F793" s="36" t="s">
        <v>202</v>
      </c>
      <c r="G793" s="36" t="s">
        <v>480</v>
      </c>
      <c r="H793" s="36">
        <v>1</v>
      </c>
      <c r="I793" s="36" t="s">
        <v>179</v>
      </c>
      <c r="J793" s="36">
        <f>YEAR(RESER3[[#This Row],[DATA]])</f>
        <v>2021</v>
      </c>
      <c r="K793" s="36">
        <f t="shared" si="15"/>
        <v>10</v>
      </c>
      <c r="L793" s="36">
        <f>DAY(RESER3[[#This Row],[DATA]])</f>
        <v>28</v>
      </c>
      <c r="M793" s="36"/>
    </row>
    <row r="794" spans="1:13" x14ac:dyDescent="0.25">
      <c r="A794" s="36"/>
      <c r="B794" s="129" t="s">
        <v>21</v>
      </c>
      <c r="C794" s="128" t="s">
        <v>794</v>
      </c>
      <c r="D794" s="36" t="s">
        <v>189</v>
      </c>
      <c r="E794" s="36" t="s">
        <v>462</v>
      </c>
      <c r="F794" s="36" t="s">
        <v>191</v>
      </c>
      <c r="G794" s="36" t="s">
        <v>191</v>
      </c>
      <c r="H794" s="36">
        <v>1</v>
      </c>
      <c r="I794" s="36" t="s">
        <v>179</v>
      </c>
      <c r="J794" s="36">
        <f>YEAR(RESER3[[#This Row],[DATA]])</f>
        <v>2021</v>
      </c>
      <c r="K794" s="36">
        <f t="shared" si="15"/>
        <v>10</v>
      </c>
      <c r="L794" s="36">
        <f>DAY(RESER3[[#This Row],[DATA]])</f>
        <v>28</v>
      </c>
      <c r="M794" s="36"/>
    </row>
    <row r="795" spans="1:13" x14ac:dyDescent="0.25">
      <c r="A795" s="36"/>
      <c r="B795" s="129" t="s">
        <v>4</v>
      </c>
      <c r="C795" s="128" t="s">
        <v>794</v>
      </c>
      <c r="D795" s="36" t="s">
        <v>189</v>
      </c>
      <c r="E795" s="36" t="s">
        <v>462</v>
      </c>
      <c r="F795" s="36" t="s">
        <v>191</v>
      </c>
      <c r="G795" s="36" t="s">
        <v>191</v>
      </c>
      <c r="H795" s="36">
        <v>1</v>
      </c>
      <c r="I795" s="36" t="s">
        <v>179</v>
      </c>
      <c r="J795" s="36">
        <f>YEAR(RESER3[[#This Row],[DATA]])</f>
        <v>2021</v>
      </c>
      <c r="K795" s="36">
        <f t="shared" si="15"/>
        <v>10</v>
      </c>
      <c r="L795" s="36">
        <f>DAY(RESER3[[#This Row],[DATA]])</f>
        <v>28</v>
      </c>
      <c r="M795" s="36"/>
    </row>
    <row r="796" spans="1:13" x14ac:dyDescent="0.25">
      <c r="A796" s="36"/>
      <c r="B796" s="129" t="s">
        <v>10</v>
      </c>
      <c r="C796" s="128" t="s">
        <v>794</v>
      </c>
      <c r="D796" s="36" t="s">
        <v>189</v>
      </c>
      <c r="E796" s="36" t="s">
        <v>462</v>
      </c>
      <c r="F796" s="36" t="s">
        <v>191</v>
      </c>
      <c r="G796" s="36" t="s">
        <v>191</v>
      </c>
      <c r="H796" s="36">
        <v>1</v>
      </c>
      <c r="I796" s="36" t="s">
        <v>179</v>
      </c>
      <c r="J796" s="36">
        <f>YEAR(RESER3[[#This Row],[DATA]])</f>
        <v>2021</v>
      </c>
      <c r="K796" s="36">
        <f t="shared" si="15"/>
        <v>10</v>
      </c>
      <c r="L796" s="36">
        <f>DAY(RESER3[[#This Row],[DATA]])</f>
        <v>28</v>
      </c>
      <c r="M796" s="36"/>
    </row>
    <row r="797" spans="1:13" x14ac:dyDescent="0.25">
      <c r="A797" s="36"/>
      <c r="B797" s="129" t="s">
        <v>20</v>
      </c>
      <c r="C797" s="128" t="s">
        <v>794</v>
      </c>
      <c r="D797" s="36" t="s">
        <v>189</v>
      </c>
      <c r="E797" s="36" t="s">
        <v>462</v>
      </c>
      <c r="F797" s="36" t="s">
        <v>191</v>
      </c>
      <c r="G797" s="36" t="s">
        <v>191</v>
      </c>
      <c r="H797" s="36">
        <v>1</v>
      </c>
      <c r="I797" s="36" t="s">
        <v>179</v>
      </c>
      <c r="J797" s="36">
        <f>YEAR(RESER3[[#This Row],[DATA]])</f>
        <v>2021</v>
      </c>
      <c r="K797" s="36">
        <f t="shared" si="15"/>
        <v>10</v>
      </c>
      <c r="L797" s="36">
        <f>DAY(RESER3[[#This Row],[DATA]])</f>
        <v>28</v>
      </c>
      <c r="M797" s="36"/>
    </row>
    <row r="798" spans="1:13" x14ac:dyDescent="0.25">
      <c r="A798" s="36"/>
      <c r="B798" s="129" t="s">
        <v>16</v>
      </c>
      <c r="C798" s="128">
        <v>44498</v>
      </c>
      <c r="D798" s="36" t="s">
        <v>189</v>
      </c>
      <c r="E798" s="36" t="s">
        <v>222</v>
      </c>
      <c r="F798" s="36" t="s">
        <v>191</v>
      </c>
      <c r="G798" s="36" t="s">
        <v>191</v>
      </c>
      <c r="H798" s="36">
        <v>1</v>
      </c>
      <c r="I798" s="36" t="s">
        <v>179</v>
      </c>
      <c r="J798" s="36">
        <f>YEAR(RESER3[[#This Row],[DATA]])</f>
        <v>2021</v>
      </c>
      <c r="K798" s="36">
        <f t="shared" si="15"/>
        <v>10</v>
      </c>
      <c r="L798" s="36">
        <f>DAY(RESER3[[#This Row],[DATA]])</f>
        <v>29</v>
      </c>
      <c r="M798" s="36"/>
    </row>
    <row r="799" spans="1:13" x14ac:dyDescent="0.25">
      <c r="A799" s="36"/>
      <c r="B799" s="129" t="s">
        <v>17</v>
      </c>
      <c r="C799" s="128" t="s">
        <v>795</v>
      </c>
      <c r="D799" s="36" t="s">
        <v>189</v>
      </c>
      <c r="E799" s="36" t="s">
        <v>222</v>
      </c>
      <c r="F799" s="36" t="s">
        <v>228</v>
      </c>
      <c r="G799" s="36" t="s">
        <v>486</v>
      </c>
      <c r="H799" s="36">
        <v>1</v>
      </c>
      <c r="I799" s="36" t="s">
        <v>179</v>
      </c>
      <c r="J799" s="36">
        <f>YEAR(RESER3[[#This Row],[DATA]])</f>
        <v>2021</v>
      </c>
      <c r="K799" s="36">
        <f t="shared" si="15"/>
        <v>10</v>
      </c>
      <c r="L799" s="36">
        <f>DAY(RESER3[[#This Row],[DATA]])</f>
        <v>29</v>
      </c>
      <c r="M799" s="36"/>
    </row>
    <row r="800" spans="1:13" x14ac:dyDescent="0.25">
      <c r="A800" s="36"/>
      <c r="B800" s="129" t="s">
        <v>21</v>
      </c>
      <c r="C800" s="128" t="s">
        <v>795</v>
      </c>
      <c r="D800" s="36" t="s">
        <v>189</v>
      </c>
      <c r="E800" s="36" t="s">
        <v>462</v>
      </c>
      <c r="F800" s="36" t="s">
        <v>228</v>
      </c>
      <c r="G800" s="36" t="s">
        <v>486</v>
      </c>
      <c r="H800" s="36">
        <v>1</v>
      </c>
      <c r="I800" s="36" t="s">
        <v>179</v>
      </c>
      <c r="J800" s="36">
        <f>YEAR(RESER3[[#This Row],[DATA]])</f>
        <v>2021</v>
      </c>
      <c r="K800" s="36">
        <f t="shared" si="15"/>
        <v>10</v>
      </c>
      <c r="L800" s="36">
        <f>DAY(RESER3[[#This Row],[DATA]])</f>
        <v>29</v>
      </c>
      <c r="M800" s="36"/>
    </row>
    <row r="801" spans="1:13" x14ac:dyDescent="0.25">
      <c r="A801" s="36"/>
      <c r="B801" s="129" t="s">
        <v>21</v>
      </c>
      <c r="C801" s="128">
        <v>44498</v>
      </c>
      <c r="D801" s="36" t="s">
        <v>189</v>
      </c>
      <c r="E801" s="36" t="s">
        <v>462</v>
      </c>
      <c r="F801" s="36" t="s">
        <v>194</v>
      </c>
      <c r="G801" s="36" t="s">
        <v>473</v>
      </c>
      <c r="H801" s="36">
        <v>1</v>
      </c>
      <c r="I801" s="36" t="s">
        <v>179</v>
      </c>
      <c r="J801" s="36">
        <f>YEAR(RESER3[[#This Row],[DATA]])</f>
        <v>2021</v>
      </c>
      <c r="K801" s="36">
        <f t="shared" si="15"/>
        <v>10</v>
      </c>
      <c r="L801" s="36">
        <f>DAY(RESER3[[#This Row],[DATA]])</f>
        <v>29</v>
      </c>
      <c r="M801" s="36"/>
    </row>
    <row r="802" spans="1:13" x14ac:dyDescent="0.25">
      <c r="A802" s="36"/>
      <c r="B802" s="129" t="s">
        <v>14</v>
      </c>
      <c r="C802" s="128">
        <v>44501</v>
      </c>
      <c r="D802" s="36" t="s">
        <v>189</v>
      </c>
      <c r="E802" s="36" t="s">
        <v>222</v>
      </c>
      <c r="F802" s="36" t="s">
        <v>191</v>
      </c>
      <c r="G802" s="36" t="s">
        <v>191</v>
      </c>
      <c r="H802" s="36">
        <v>1</v>
      </c>
      <c r="I802" s="36" t="s">
        <v>179</v>
      </c>
      <c r="J802" s="36">
        <f>YEAR(RESER3[[#This Row],[DATA]])</f>
        <v>2021</v>
      </c>
      <c r="K802" s="36">
        <f t="shared" si="15"/>
        <v>11</v>
      </c>
      <c r="L802" s="36">
        <f>DAY(RESER3[[#This Row],[DATA]])</f>
        <v>1</v>
      </c>
      <c r="M802" s="36"/>
    </row>
    <row r="803" spans="1:13" x14ac:dyDescent="0.25">
      <c r="A803" s="36"/>
      <c r="B803" s="129" t="s">
        <v>9</v>
      </c>
      <c r="C803" s="128">
        <v>44501</v>
      </c>
      <c r="D803" s="36" t="s">
        <v>189</v>
      </c>
      <c r="E803" s="36" t="s">
        <v>462</v>
      </c>
      <c r="F803" s="36" t="s">
        <v>191</v>
      </c>
      <c r="G803" s="36" t="s">
        <v>191</v>
      </c>
      <c r="H803" s="36">
        <v>1</v>
      </c>
      <c r="I803" s="36" t="s">
        <v>179</v>
      </c>
      <c r="J803" s="36">
        <f>YEAR(RESER3[[#This Row],[DATA]])</f>
        <v>2021</v>
      </c>
      <c r="K803" s="36">
        <f t="shared" si="15"/>
        <v>11</v>
      </c>
      <c r="L803" s="36">
        <f>DAY(RESER3[[#This Row],[DATA]])</f>
        <v>1</v>
      </c>
      <c r="M803" s="36"/>
    </row>
    <row r="804" spans="1:13" x14ac:dyDescent="0.25">
      <c r="A804" s="36"/>
      <c r="B804" s="129" t="s">
        <v>19</v>
      </c>
      <c r="C804" s="128">
        <v>44501</v>
      </c>
      <c r="D804" s="36" t="s">
        <v>189</v>
      </c>
      <c r="E804" s="36" t="s">
        <v>222</v>
      </c>
      <c r="F804" s="36" t="s">
        <v>793</v>
      </c>
      <c r="G804" s="36" t="s">
        <v>191</v>
      </c>
      <c r="H804" s="36">
        <v>1</v>
      </c>
      <c r="I804" s="36" t="s">
        <v>179</v>
      </c>
      <c r="J804" s="36">
        <f>YEAR(RESER3[[#This Row],[DATA]])</f>
        <v>2021</v>
      </c>
      <c r="K804" s="36">
        <f t="shared" si="15"/>
        <v>11</v>
      </c>
      <c r="L804" s="36">
        <f>DAY(RESER3[[#This Row],[DATA]])</f>
        <v>1</v>
      </c>
      <c r="M804" s="36"/>
    </row>
    <row r="805" spans="1:13" x14ac:dyDescent="0.25">
      <c r="A805" s="36"/>
      <c r="B805" s="129" t="s">
        <v>19</v>
      </c>
      <c r="C805" s="128">
        <v>44501</v>
      </c>
      <c r="D805" s="36" t="s">
        <v>189</v>
      </c>
      <c r="E805" s="36" t="s">
        <v>222</v>
      </c>
      <c r="F805" s="36" t="s">
        <v>202</v>
      </c>
      <c r="G805" s="36" t="s">
        <v>480</v>
      </c>
      <c r="H805" s="36">
        <v>1</v>
      </c>
      <c r="I805" s="36" t="s">
        <v>179</v>
      </c>
      <c r="J805" s="36">
        <f>YEAR(RESER3[[#This Row],[DATA]])</f>
        <v>2021</v>
      </c>
      <c r="K805" s="36">
        <f t="shared" si="15"/>
        <v>11</v>
      </c>
      <c r="L805" s="36">
        <f>DAY(RESER3[[#This Row],[DATA]])</f>
        <v>1</v>
      </c>
      <c r="M805" s="36"/>
    </row>
    <row r="806" spans="1:13" x14ac:dyDescent="0.25">
      <c r="A806" s="36"/>
      <c r="B806" s="129" t="s">
        <v>22</v>
      </c>
      <c r="C806" s="128">
        <v>44501</v>
      </c>
      <c r="D806" s="36" t="s">
        <v>189</v>
      </c>
      <c r="E806" s="36" t="s">
        <v>462</v>
      </c>
      <c r="F806" s="36" t="s">
        <v>194</v>
      </c>
      <c r="G806" s="36" t="s">
        <v>473</v>
      </c>
      <c r="H806" s="36">
        <v>1</v>
      </c>
      <c r="I806" s="36" t="s">
        <v>179</v>
      </c>
      <c r="J806" s="36">
        <f>YEAR(RESER3[[#This Row],[DATA]])</f>
        <v>2021</v>
      </c>
      <c r="K806" s="36">
        <f t="shared" si="15"/>
        <v>11</v>
      </c>
      <c r="L806" s="36">
        <f>DAY(RESER3[[#This Row],[DATA]])</f>
        <v>1</v>
      </c>
      <c r="M806" s="36"/>
    </row>
    <row r="807" spans="1:13" x14ac:dyDescent="0.25">
      <c r="A807" s="36"/>
      <c r="B807" s="129" t="s">
        <v>16</v>
      </c>
      <c r="C807" s="128">
        <v>44501</v>
      </c>
      <c r="D807" s="36" t="s">
        <v>189</v>
      </c>
      <c r="E807" s="36" t="s">
        <v>462</v>
      </c>
      <c r="F807" s="36" t="s">
        <v>228</v>
      </c>
      <c r="G807" s="36" t="s">
        <v>486</v>
      </c>
      <c r="H807" s="36">
        <v>1</v>
      </c>
      <c r="I807" s="36" t="s">
        <v>179</v>
      </c>
      <c r="J807" s="36">
        <f>YEAR(RESER3[[#This Row],[DATA]])</f>
        <v>2021</v>
      </c>
      <c r="K807" s="36">
        <f t="shared" si="15"/>
        <v>11</v>
      </c>
      <c r="L807" s="36">
        <f>DAY(RESER3[[#This Row],[DATA]])</f>
        <v>1</v>
      </c>
      <c r="M807" s="36"/>
    </row>
    <row r="808" spans="1:13" x14ac:dyDescent="0.25">
      <c r="A808" s="36"/>
      <c r="B808" s="129" t="s">
        <v>19</v>
      </c>
      <c r="C808" s="128">
        <v>44503</v>
      </c>
      <c r="D808" s="36" t="s">
        <v>189</v>
      </c>
      <c r="E808" s="36" t="s">
        <v>222</v>
      </c>
      <c r="F808" s="36" t="s">
        <v>228</v>
      </c>
      <c r="G808" s="36" t="s">
        <v>486</v>
      </c>
      <c r="H808" s="36">
        <v>1</v>
      </c>
      <c r="I808" s="36" t="s">
        <v>179</v>
      </c>
      <c r="J808" s="36">
        <f>YEAR(RESER3[[#This Row],[DATA]])</f>
        <v>2021</v>
      </c>
      <c r="K808" s="36">
        <f t="shared" si="15"/>
        <v>11</v>
      </c>
      <c r="L808" s="36">
        <f>DAY(RESER3[[#This Row],[DATA]])</f>
        <v>3</v>
      </c>
      <c r="M808" s="36"/>
    </row>
    <row r="809" spans="1:13" x14ac:dyDescent="0.25">
      <c r="A809" s="36"/>
      <c r="B809" s="129" t="s">
        <v>22</v>
      </c>
      <c r="C809" s="128">
        <v>44503</v>
      </c>
      <c r="D809" s="36" t="s">
        <v>189</v>
      </c>
      <c r="E809" s="36" t="s">
        <v>462</v>
      </c>
      <c r="F809" s="36" t="s">
        <v>793</v>
      </c>
      <c r="G809" s="36" t="s">
        <v>191</v>
      </c>
      <c r="H809" s="36">
        <v>1</v>
      </c>
      <c r="I809" s="36" t="s">
        <v>179</v>
      </c>
      <c r="J809" s="36">
        <f>YEAR(RESER3[[#This Row],[DATA]])</f>
        <v>2021</v>
      </c>
      <c r="K809" s="36">
        <f t="shared" si="15"/>
        <v>11</v>
      </c>
      <c r="L809" s="36">
        <f>DAY(RESER3[[#This Row],[DATA]])</f>
        <v>3</v>
      </c>
      <c r="M809" s="36"/>
    </row>
    <row r="810" spans="1:13" x14ac:dyDescent="0.25">
      <c r="A810" s="36"/>
      <c r="B810" s="129" t="s">
        <v>13</v>
      </c>
      <c r="C810" s="128">
        <v>44503</v>
      </c>
      <c r="D810" s="36" t="s">
        <v>189</v>
      </c>
      <c r="E810" s="36" t="s">
        <v>462</v>
      </c>
      <c r="F810" s="36" t="s">
        <v>793</v>
      </c>
      <c r="G810" s="36" t="s">
        <v>191</v>
      </c>
      <c r="H810" s="36">
        <v>1</v>
      </c>
      <c r="I810" s="36" t="s">
        <v>179</v>
      </c>
      <c r="J810" s="36">
        <f>YEAR(RESER3[[#This Row],[DATA]])</f>
        <v>2021</v>
      </c>
      <c r="K810" s="36">
        <f t="shared" si="15"/>
        <v>11</v>
      </c>
      <c r="L810" s="36">
        <f>DAY(RESER3[[#This Row],[DATA]])</f>
        <v>3</v>
      </c>
      <c r="M810" s="36"/>
    </row>
    <row r="811" spans="1:13" x14ac:dyDescent="0.25">
      <c r="A811" s="36"/>
      <c r="B811" s="129" t="s">
        <v>10</v>
      </c>
      <c r="C811" s="128">
        <v>44503</v>
      </c>
      <c r="D811" s="36" t="s">
        <v>189</v>
      </c>
      <c r="E811" s="36" t="s">
        <v>462</v>
      </c>
      <c r="F811" s="36" t="s">
        <v>202</v>
      </c>
      <c r="G811" s="36" t="s">
        <v>480</v>
      </c>
      <c r="H811" s="36">
        <v>1</v>
      </c>
      <c r="I811" s="36" t="s">
        <v>179</v>
      </c>
      <c r="J811" s="36">
        <f>YEAR(RESER3[[#This Row],[DATA]])</f>
        <v>2021</v>
      </c>
      <c r="K811" s="36">
        <f t="shared" si="15"/>
        <v>11</v>
      </c>
      <c r="L811" s="36">
        <f>DAY(RESER3[[#This Row],[DATA]])</f>
        <v>3</v>
      </c>
      <c r="M811" s="36"/>
    </row>
    <row r="812" spans="1:13" x14ac:dyDescent="0.25">
      <c r="A812" s="36"/>
      <c r="B812" s="129" t="s">
        <v>7</v>
      </c>
      <c r="C812" s="128">
        <v>44504</v>
      </c>
      <c r="D812" s="36" t="s">
        <v>189</v>
      </c>
      <c r="E812" s="36" t="s">
        <v>222</v>
      </c>
      <c r="F812" s="36" t="s">
        <v>191</v>
      </c>
      <c r="G812" s="36" t="s">
        <v>191</v>
      </c>
      <c r="H812" s="36">
        <v>1</v>
      </c>
      <c r="I812" s="36" t="s">
        <v>179</v>
      </c>
      <c r="J812" s="36">
        <f>YEAR(RESER3[[#This Row],[DATA]])</f>
        <v>2021</v>
      </c>
      <c r="K812" s="36">
        <f t="shared" si="15"/>
        <v>11</v>
      </c>
      <c r="L812" s="36">
        <f>DAY(RESER3[[#This Row],[DATA]])</f>
        <v>4</v>
      </c>
      <c r="M812" s="36"/>
    </row>
    <row r="813" spans="1:13" x14ac:dyDescent="0.25">
      <c r="A813" s="36"/>
      <c r="B813" s="129" t="s">
        <v>10</v>
      </c>
      <c r="C813" s="128">
        <v>44504</v>
      </c>
      <c r="D813" s="36" t="s">
        <v>189</v>
      </c>
      <c r="E813" s="36" t="s">
        <v>462</v>
      </c>
      <c r="F813" s="36" t="s">
        <v>191</v>
      </c>
      <c r="G813" s="36" t="s">
        <v>191</v>
      </c>
      <c r="H813" s="36">
        <v>1</v>
      </c>
      <c r="I813" s="36" t="s">
        <v>179</v>
      </c>
      <c r="J813" s="36">
        <f>YEAR(RESER3[[#This Row],[DATA]])</f>
        <v>2021</v>
      </c>
      <c r="K813" s="36">
        <f t="shared" si="15"/>
        <v>11</v>
      </c>
      <c r="L813" s="36">
        <f>DAY(RESER3[[#This Row],[DATA]])</f>
        <v>4</v>
      </c>
      <c r="M813" s="36"/>
    </row>
    <row r="814" spans="1:13" x14ac:dyDescent="0.25">
      <c r="A814" s="36"/>
      <c r="B814" s="129" t="s">
        <v>6</v>
      </c>
      <c r="C814" s="128">
        <v>44505</v>
      </c>
      <c r="D814" s="36" t="s">
        <v>189</v>
      </c>
      <c r="E814" s="36" t="s">
        <v>462</v>
      </c>
      <c r="F814" s="36" t="s">
        <v>191</v>
      </c>
      <c r="G814" s="36" t="s">
        <v>191</v>
      </c>
      <c r="H814" s="36">
        <v>1</v>
      </c>
      <c r="I814" s="36" t="s">
        <v>179</v>
      </c>
      <c r="J814" s="36">
        <f>YEAR(RESER3[[#This Row],[DATA]])</f>
        <v>2021</v>
      </c>
      <c r="K814" s="36">
        <f t="shared" si="15"/>
        <v>11</v>
      </c>
      <c r="L814" s="36">
        <f>DAY(RESER3[[#This Row],[DATA]])</f>
        <v>5</v>
      </c>
      <c r="M814" s="36"/>
    </row>
    <row r="815" spans="1:13" x14ac:dyDescent="0.25">
      <c r="A815" s="36"/>
      <c r="B815" s="129" t="s">
        <v>10</v>
      </c>
      <c r="C815" s="128">
        <v>44505</v>
      </c>
      <c r="D815" s="36" t="s">
        <v>189</v>
      </c>
      <c r="E815" s="36" t="s">
        <v>222</v>
      </c>
      <c r="F815" s="36" t="s">
        <v>194</v>
      </c>
      <c r="G815" s="36" t="s">
        <v>473</v>
      </c>
      <c r="H815" s="36">
        <v>1</v>
      </c>
      <c r="I815" s="36" t="s">
        <v>179</v>
      </c>
      <c r="J815" s="36">
        <f>YEAR(RESER3[[#This Row],[DATA]])</f>
        <v>2021</v>
      </c>
      <c r="K815" s="36">
        <f t="shared" si="15"/>
        <v>11</v>
      </c>
      <c r="L815" s="36">
        <f>DAY(RESER3[[#This Row],[DATA]])</f>
        <v>5</v>
      </c>
      <c r="M815" s="36"/>
    </row>
    <row r="816" spans="1:13" x14ac:dyDescent="0.25">
      <c r="A816" s="36"/>
      <c r="B816" s="129" t="s">
        <v>8</v>
      </c>
      <c r="C816" s="128">
        <v>44505</v>
      </c>
      <c r="D816" s="36" t="s">
        <v>189</v>
      </c>
      <c r="E816" s="36" t="s">
        <v>222</v>
      </c>
      <c r="F816" s="36" t="s">
        <v>196</v>
      </c>
      <c r="G816" s="36" t="s">
        <v>466</v>
      </c>
      <c r="H816" s="36">
        <v>1</v>
      </c>
      <c r="I816" s="36" t="s">
        <v>179</v>
      </c>
      <c r="J816" s="36">
        <f>YEAR(RESER3[[#This Row],[DATA]])</f>
        <v>2021</v>
      </c>
      <c r="K816" s="36">
        <f t="shared" si="15"/>
        <v>11</v>
      </c>
      <c r="L816" s="36">
        <f>DAY(RESER3[[#This Row],[DATA]])</f>
        <v>5</v>
      </c>
      <c r="M816" s="36"/>
    </row>
    <row r="817" spans="1:13" x14ac:dyDescent="0.25">
      <c r="A817" s="36"/>
      <c r="B817" s="129" t="s">
        <v>4</v>
      </c>
      <c r="C817" s="128">
        <v>44508</v>
      </c>
      <c r="D817" s="36" t="s">
        <v>189</v>
      </c>
      <c r="E817" s="36" t="s">
        <v>222</v>
      </c>
      <c r="F817" s="36" t="s">
        <v>191</v>
      </c>
      <c r="G817" s="36" t="s">
        <v>191</v>
      </c>
      <c r="H817" s="36">
        <v>1</v>
      </c>
      <c r="I817" s="36" t="s">
        <v>179</v>
      </c>
      <c r="J817" s="36">
        <f>YEAR(RESER3[[#This Row],[DATA]])</f>
        <v>2021</v>
      </c>
      <c r="K817" s="36">
        <f t="shared" si="15"/>
        <v>11</v>
      </c>
      <c r="L817" s="36">
        <f>DAY(RESER3[[#This Row],[DATA]])</f>
        <v>8</v>
      </c>
      <c r="M817" s="36"/>
    </row>
    <row r="818" spans="1:13" x14ac:dyDescent="0.25">
      <c r="A818" s="36"/>
      <c r="B818" s="129" t="s">
        <v>98</v>
      </c>
      <c r="C818" s="128">
        <v>44508</v>
      </c>
      <c r="D818" s="36" t="s">
        <v>189</v>
      </c>
      <c r="E818" s="36" t="s">
        <v>462</v>
      </c>
      <c r="F818" s="36" t="s">
        <v>191</v>
      </c>
      <c r="G818" s="36" t="s">
        <v>191</v>
      </c>
      <c r="H818" s="36">
        <v>1</v>
      </c>
      <c r="I818" s="36" t="s">
        <v>179</v>
      </c>
      <c r="J818" s="36">
        <f>YEAR(RESER3[[#This Row],[DATA]])</f>
        <v>2021</v>
      </c>
      <c r="K818" s="36">
        <f t="shared" si="15"/>
        <v>11</v>
      </c>
      <c r="L818" s="36">
        <f>DAY(RESER3[[#This Row],[DATA]])</f>
        <v>8</v>
      </c>
      <c r="M818" s="36"/>
    </row>
    <row r="819" spans="1:13" x14ac:dyDescent="0.25">
      <c r="A819" s="36"/>
      <c r="B819" s="129" t="s">
        <v>16</v>
      </c>
      <c r="C819" s="128">
        <v>44508</v>
      </c>
      <c r="D819" s="36" t="s">
        <v>189</v>
      </c>
      <c r="E819" s="36" t="s">
        <v>462</v>
      </c>
      <c r="F819" s="36" t="s">
        <v>228</v>
      </c>
      <c r="G819" s="36" t="s">
        <v>486</v>
      </c>
      <c r="H819" s="36">
        <v>1</v>
      </c>
      <c r="I819" s="36" t="s">
        <v>179</v>
      </c>
      <c r="J819" s="36">
        <f>YEAR(RESER3[[#This Row],[DATA]])</f>
        <v>2021</v>
      </c>
      <c r="K819" s="36">
        <f t="shared" si="15"/>
        <v>11</v>
      </c>
      <c r="L819" s="36">
        <f>DAY(RESER3[[#This Row],[DATA]])</f>
        <v>8</v>
      </c>
      <c r="M819" s="36"/>
    </row>
    <row r="820" spans="1:13" x14ac:dyDescent="0.25">
      <c r="A820" s="36"/>
      <c r="B820" s="129" t="s">
        <v>9</v>
      </c>
      <c r="C820" s="128">
        <v>44509</v>
      </c>
      <c r="D820" s="36" t="s">
        <v>189</v>
      </c>
      <c r="E820" s="36" t="s">
        <v>222</v>
      </c>
      <c r="F820" s="36" t="s">
        <v>191</v>
      </c>
      <c r="G820" s="36" t="s">
        <v>191</v>
      </c>
      <c r="H820" s="36">
        <v>1</v>
      </c>
      <c r="I820" s="36" t="s">
        <v>179</v>
      </c>
      <c r="J820" s="36">
        <f>YEAR(RESER3[[#This Row],[DATA]])</f>
        <v>2021</v>
      </c>
      <c r="K820" s="36">
        <f t="shared" si="15"/>
        <v>11</v>
      </c>
      <c r="L820" s="36">
        <f>DAY(RESER3[[#This Row],[DATA]])</f>
        <v>9</v>
      </c>
      <c r="M820" s="36"/>
    </row>
    <row r="821" spans="1:13" x14ac:dyDescent="0.25">
      <c r="A821" s="36"/>
      <c r="B821" s="129" t="s">
        <v>16</v>
      </c>
      <c r="C821" s="128">
        <v>44509</v>
      </c>
      <c r="D821" s="36" t="s">
        <v>189</v>
      </c>
      <c r="E821" s="36" t="s">
        <v>222</v>
      </c>
      <c r="F821" s="36" t="s">
        <v>228</v>
      </c>
      <c r="G821" s="36" t="s">
        <v>486</v>
      </c>
      <c r="H821" s="36">
        <v>1</v>
      </c>
      <c r="I821" s="36" t="s">
        <v>179</v>
      </c>
      <c r="J821" s="36">
        <f>YEAR(RESER3[[#This Row],[DATA]])</f>
        <v>2021</v>
      </c>
      <c r="K821" s="36">
        <f t="shared" si="15"/>
        <v>11</v>
      </c>
      <c r="L821" s="36">
        <f>DAY(RESER3[[#This Row],[DATA]])</f>
        <v>9</v>
      </c>
      <c r="M821" s="36"/>
    </row>
    <row r="822" spans="1:13" x14ac:dyDescent="0.25">
      <c r="A822" s="36"/>
      <c r="B822" s="129" t="s">
        <v>5</v>
      </c>
      <c r="C822" s="28">
        <v>44510</v>
      </c>
      <c r="D822" s="36" t="s">
        <v>189</v>
      </c>
      <c r="E822" s="36" t="s">
        <v>462</v>
      </c>
      <c r="F822" s="36" t="s">
        <v>194</v>
      </c>
      <c r="G822" s="36" t="s">
        <v>473</v>
      </c>
      <c r="H822" s="36">
        <v>1</v>
      </c>
      <c r="I822" s="36" t="s">
        <v>179</v>
      </c>
      <c r="J822" s="36">
        <f>YEAR(RESER3[[#This Row],[DATA]])</f>
        <v>2021</v>
      </c>
      <c r="K822" s="36">
        <f>MONTH(RESER3[[#This Row],[DATA]])</f>
        <v>11</v>
      </c>
      <c r="L822" s="36">
        <f>DAY(RESER3[[#This Row],[DATA]])</f>
        <v>10</v>
      </c>
      <c r="M822" s="36"/>
    </row>
    <row r="823" spans="1:13" x14ac:dyDescent="0.25">
      <c r="A823" s="36"/>
      <c r="B823" s="129" t="s">
        <v>21</v>
      </c>
      <c r="C823" s="28">
        <v>44510</v>
      </c>
      <c r="D823" s="36" t="s">
        <v>189</v>
      </c>
      <c r="E823" s="36" t="s">
        <v>222</v>
      </c>
      <c r="F823" s="36" t="s">
        <v>194</v>
      </c>
      <c r="G823" s="36" t="s">
        <v>473</v>
      </c>
      <c r="H823" s="36">
        <v>1</v>
      </c>
      <c r="I823" s="36" t="s">
        <v>179</v>
      </c>
      <c r="J823" s="36">
        <f>YEAR(RESER3[[#This Row],[DATA]])</f>
        <v>2021</v>
      </c>
      <c r="K823" s="36">
        <f>MONTH(RESER3[[#This Row],[DATA]])</f>
        <v>11</v>
      </c>
      <c r="L823" s="36">
        <f>DAY(RESER3[[#This Row],[DATA]])</f>
        <v>10</v>
      </c>
      <c r="M823" s="36"/>
    </row>
    <row r="824" spans="1:13" x14ac:dyDescent="0.25">
      <c r="A824" s="36"/>
      <c r="B824" s="129" t="s">
        <v>6</v>
      </c>
      <c r="C824" s="28">
        <v>44511</v>
      </c>
      <c r="D824" s="36" t="s">
        <v>189</v>
      </c>
      <c r="E824" s="36" t="s">
        <v>462</v>
      </c>
      <c r="F824" s="36" t="s">
        <v>202</v>
      </c>
      <c r="G824" s="36" t="s">
        <v>480</v>
      </c>
      <c r="H824" s="36">
        <v>1</v>
      </c>
      <c r="I824" s="36" t="s">
        <v>179</v>
      </c>
      <c r="J824" s="36">
        <f>YEAR(RESER3[[#This Row],[DATA]])</f>
        <v>2021</v>
      </c>
      <c r="K824" s="36">
        <f>MONTH(RESER3[[#This Row],[DATA]])</f>
        <v>11</v>
      </c>
      <c r="L824" s="36">
        <f>DAY(RESER3[[#This Row],[DATA]])</f>
        <v>11</v>
      </c>
      <c r="M824" s="36"/>
    </row>
    <row r="825" spans="1:13" x14ac:dyDescent="0.25">
      <c r="A825" s="36"/>
      <c r="B825" s="129" t="s">
        <v>6</v>
      </c>
      <c r="C825" s="28">
        <v>44511</v>
      </c>
      <c r="D825" s="36" t="s">
        <v>189</v>
      </c>
      <c r="E825" s="36" t="s">
        <v>462</v>
      </c>
      <c r="F825" s="36" t="s">
        <v>194</v>
      </c>
      <c r="G825" s="36" t="s">
        <v>473</v>
      </c>
      <c r="H825" s="36">
        <v>1</v>
      </c>
      <c r="I825" s="36" t="s">
        <v>179</v>
      </c>
      <c r="J825" s="36">
        <f>YEAR(RESER3[[#This Row],[DATA]])</f>
        <v>2021</v>
      </c>
      <c r="K825" s="36">
        <f>MONTH(RESER3[[#This Row],[DATA]])</f>
        <v>11</v>
      </c>
      <c r="L825" s="36">
        <f>DAY(RESER3[[#This Row],[DATA]])</f>
        <v>11</v>
      </c>
      <c r="M825" s="36"/>
    </row>
    <row r="826" spans="1:13" x14ac:dyDescent="0.25">
      <c r="A826" s="36"/>
      <c r="B826" s="129" t="s">
        <v>6</v>
      </c>
      <c r="C826" s="28">
        <v>44511</v>
      </c>
      <c r="D826" s="36" t="s">
        <v>189</v>
      </c>
      <c r="E826" s="36" t="s">
        <v>462</v>
      </c>
      <c r="F826" s="36" t="s">
        <v>793</v>
      </c>
      <c r="G826" s="36" t="s">
        <v>191</v>
      </c>
      <c r="H826" s="36">
        <v>1</v>
      </c>
      <c r="I826" s="36" t="s">
        <v>179</v>
      </c>
      <c r="J826" s="36">
        <f>YEAR(RESER3[[#This Row],[DATA]])</f>
        <v>2021</v>
      </c>
      <c r="K826" s="36">
        <f>MONTH(RESER3[[#This Row],[DATA]])</f>
        <v>11</v>
      </c>
      <c r="L826" s="36">
        <f>DAY(RESER3[[#This Row],[DATA]])</f>
        <v>11</v>
      </c>
      <c r="M826" s="36"/>
    </row>
    <row r="827" spans="1:13" x14ac:dyDescent="0.25">
      <c r="A827" s="36"/>
      <c r="B827" s="129" t="s">
        <v>4</v>
      </c>
      <c r="C827" s="28">
        <v>44516</v>
      </c>
      <c r="D827" s="36" t="s">
        <v>189</v>
      </c>
      <c r="E827" s="36" t="s">
        <v>462</v>
      </c>
      <c r="F827" s="36" t="s">
        <v>793</v>
      </c>
      <c r="G827" s="36" t="s">
        <v>191</v>
      </c>
      <c r="H827" s="36">
        <v>1</v>
      </c>
      <c r="I827" s="36" t="s">
        <v>179</v>
      </c>
      <c r="J827" s="36">
        <f>YEAR(RESER3[[#This Row],[DATA]])</f>
        <v>2021</v>
      </c>
      <c r="K827" s="36">
        <f>MONTH(RESER3[[#This Row],[DATA]])</f>
        <v>11</v>
      </c>
      <c r="L827" s="36">
        <f>DAY(RESER3[[#This Row],[DATA]])</f>
        <v>16</v>
      </c>
      <c r="M827" s="36"/>
    </row>
    <row r="828" spans="1:13" x14ac:dyDescent="0.25">
      <c r="A828" s="36"/>
      <c r="B828" s="129" t="s">
        <v>13</v>
      </c>
      <c r="C828" s="28">
        <v>44516</v>
      </c>
      <c r="D828" s="36" t="s">
        <v>189</v>
      </c>
      <c r="E828" s="36" t="s">
        <v>222</v>
      </c>
      <c r="F828" s="36" t="s">
        <v>196</v>
      </c>
      <c r="G828" s="36" t="s">
        <v>466</v>
      </c>
      <c r="H828" s="36">
        <v>1</v>
      </c>
      <c r="I828" s="36" t="s">
        <v>179</v>
      </c>
      <c r="J828" s="36">
        <f>YEAR(RESER3[[#This Row],[DATA]])</f>
        <v>2021</v>
      </c>
      <c r="K828" s="36">
        <f>MONTH(RESER3[[#This Row],[DATA]])</f>
        <v>11</v>
      </c>
      <c r="L828" s="36">
        <f>DAY(RESER3[[#This Row],[DATA]])</f>
        <v>16</v>
      </c>
      <c r="M828" s="36"/>
    </row>
    <row r="829" spans="1:13" x14ac:dyDescent="0.25">
      <c r="A829" s="36"/>
      <c r="B829" s="129" t="s">
        <v>16</v>
      </c>
      <c r="C829" s="28">
        <v>44516</v>
      </c>
      <c r="D829" s="36" t="s">
        <v>189</v>
      </c>
      <c r="E829" s="36" t="s">
        <v>462</v>
      </c>
      <c r="F829" s="36" t="s">
        <v>194</v>
      </c>
      <c r="G829" s="36" t="s">
        <v>473</v>
      </c>
      <c r="H829" s="36">
        <v>1</v>
      </c>
      <c r="I829" s="36" t="s">
        <v>179</v>
      </c>
      <c r="J829" s="36">
        <f>YEAR(RESER3[[#This Row],[DATA]])</f>
        <v>2021</v>
      </c>
      <c r="K829" s="36">
        <f>MONTH(RESER3[[#This Row],[DATA]])</f>
        <v>11</v>
      </c>
      <c r="L829" s="36">
        <f>DAY(RESER3[[#This Row],[DATA]])</f>
        <v>16</v>
      </c>
      <c r="M829" s="36"/>
    </row>
    <row r="830" spans="1:13" x14ac:dyDescent="0.25">
      <c r="A830" s="36"/>
      <c r="B830" s="129" t="s">
        <v>16</v>
      </c>
      <c r="C830" s="28">
        <v>44516</v>
      </c>
      <c r="D830" s="36" t="s">
        <v>189</v>
      </c>
      <c r="E830" s="36" t="s">
        <v>462</v>
      </c>
      <c r="F830" s="36" t="s">
        <v>196</v>
      </c>
      <c r="G830" s="36" t="s">
        <v>466</v>
      </c>
      <c r="H830" s="36">
        <v>1</v>
      </c>
      <c r="I830" s="36" t="s">
        <v>179</v>
      </c>
      <c r="J830" s="36">
        <f>YEAR(RESER3[[#This Row],[DATA]])</f>
        <v>2021</v>
      </c>
      <c r="K830" s="36">
        <f>MONTH(RESER3[[#This Row],[DATA]])</f>
        <v>11</v>
      </c>
      <c r="L830" s="36">
        <f>DAY(RESER3[[#This Row],[DATA]])</f>
        <v>16</v>
      </c>
      <c r="M830" s="36"/>
    </row>
    <row r="831" spans="1:13" x14ac:dyDescent="0.25">
      <c r="A831" s="36"/>
      <c r="B831" s="129" t="s">
        <v>13</v>
      </c>
      <c r="C831" s="28">
        <v>44518</v>
      </c>
      <c r="D831" s="36" t="s">
        <v>189</v>
      </c>
      <c r="E831" s="36" t="s">
        <v>222</v>
      </c>
      <c r="F831" s="36" t="s">
        <v>793</v>
      </c>
      <c r="G831" s="36" t="s">
        <v>191</v>
      </c>
      <c r="H831" s="36">
        <v>1</v>
      </c>
      <c r="I831" s="36" t="s">
        <v>179</v>
      </c>
      <c r="J831" s="36">
        <f>YEAR(RESER3[[#This Row],[DATA]])</f>
        <v>2021</v>
      </c>
      <c r="K831" s="36">
        <f>MONTH(RESER3[[#This Row],[DATA]])</f>
        <v>11</v>
      </c>
      <c r="L831" s="36">
        <f>DAY(RESER3[[#This Row],[DATA]])</f>
        <v>18</v>
      </c>
      <c r="M831" s="36"/>
    </row>
    <row r="832" spans="1:13" x14ac:dyDescent="0.25">
      <c r="A832" s="36"/>
      <c r="B832" s="129" t="s">
        <v>16</v>
      </c>
      <c r="C832" s="28">
        <v>44518</v>
      </c>
      <c r="D832" s="36" t="s">
        <v>189</v>
      </c>
      <c r="E832" s="36" t="s">
        <v>222</v>
      </c>
      <c r="F832" s="36" t="s">
        <v>228</v>
      </c>
      <c r="G832" s="36" t="s">
        <v>486</v>
      </c>
      <c r="H832" s="36">
        <v>1</v>
      </c>
      <c r="I832" s="36" t="s">
        <v>179</v>
      </c>
      <c r="J832" s="36">
        <f>YEAR(RESER3[[#This Row],[DATA]])</f>
        <v>2021</v>
      </c>
      <c r="K832" s="36">
        <f>MONTH(RESER3[[#This Row],[DATA]])</f>
        <v>11</v>
      </c>
      <c r="L832" s="36">
        <f>DAY(RESER3[[#This Row],[DATA]])</f>
        <v>18</v>
      </c>
      <c r="M832" s="36"/>
    </row>
    <row r="833" spans="1:13" x14ac:dyDescent="0.25">
      <c r="A833" s="36"/>
      <c r="B833" s="129" t="s">
        <v>16</v>
      </c>
      <c r="C833" s="28">
        <v>44518</v>
      </c>
      <c r="D833" s="36" t="s">
        <v>189</v>
      </c>
      <c r="E833" s="36" t="s">
        <v>222</v>
      </c>
      <c r="F833" s="36" t="s">
        <v>793</v>
      </c>
      <c r="G833" s="36" t="s">
        <v>191</v>
      </c>
      <c r="H833" s="36">
        <v>1</v>
      </c>
      <c r="I833" s="36" t="s">
        <v>179</v>
      </c>
      <c r="J833" s="36">
        <f>YEAR(RESER3[[#This Row],[DATA]])</f>
        <v>2021</v>
      </c>
      <c r="K833" s="36">
        <f>MONTH(RESER3[[#This Row],[DATA]])</f>
        <v>11</v>
      </c>
      <c r="L833" s="36">
        <f>DAY(RESER3[[#This Row],[DATA]])</f>
        <v>18</v>
      </c>
      <c r="M833" s="36"/>
    </row>
    <row r="834" spans="1:13" x14ac:dyDescent="0.25">
      <c r="A834" s="36"/>
      <c r="B834" s="129" t="s">
        <v>17</v>
      </c>
      <c r="C834" s="28">
        <v>44518</v>
      </c>
      <c r="D834" s="36" t="s">
        <v>189</v>
      </c>
      <c r="E834" s="36" t="s">
        <v>462</v>
      </c>
      <c r="F834" s="36" t="s">
        <v>228</v>
      </c>
      <c r="G834" s="36" t="s">
        <v>486</v>
      </c>
      <c r="H834" s="36">
        <v>1</v>
      </c>
      <c r="I834" s="36" t="s">
        <v>179</v>
      </c>
      <c r="J834" s="36">
        <f>YEAR(RESER3[[#This Row],[DATA]])</f>
        <v>2021</v>
      </c>
      <c r="K834" s="36">
        <f>MONTH(RESER3[[#This Row],[DATA]])</f>
        <v>11</v>
      </c>
      <c r="L834" s="36">
        <f>DAY(RESER3[[#This Row],[DATA]])</f>
        <v>18</v>
      </c>
      <c r="M834" s="36"/>
    </row>
    <row r="835" spans="1:13" x14ac:dyDescent="0.25">
      <c r="A835" s="36"/>
      <c r="B835" s="129" t="s">
        <v>22</v>
      </c>
      <c r="C835" s="28">
        <v>44518</v>
      </c>
      <c r="D835" s="36" t="s">
        <v>189</v>
      </c>
      <c r="E835" s="36" t="s">
        <v>462</v>
      </c>
      <c r="F835" s="36" t="s">
        <v>194</v>
      </c>
      <c r="G835" s="36" t="s">
        <v>473</v>
      </c>
      <c r="H835" s="36">
        <v>1</v>
      </c>
      <c r="I835" s="36" t="s">
        <v>179</v>
      </c>
      <c r="J835" s="36">
        <f>YEAR(RESER3[[#This Row],[DATA]])</f>
        <v>2021</v>
      </c>
      <c r="K835" s="36">
        <f>MONTH(RESER3[[#This Row],[DATA]])</f>
        <v>11</v>
      </c>
      <c r="L835" s="36">
        <f>DAY(RESER3[[#This Row],[DATA]])</f>
        <v>18</v>
      </c>
      <c r="M835" s="36"/>
    </row>
    <row r="836" spans="1:13" x14ac:dyDescent="0.25">
      <c r="A836" s="36"/>
      <c r="B836" s="129" t="s">
        <v>16</v>
      </c>
      <c r="C836" s="28">
        <v>44518</v>
      </c>
      <c r="D836" s="36" t="s">
        <v>189</v>
      </c>
      <c r="E836" s="36" t="s">
        <v>462</v>
      </c>
      <c r="F836" s="36" t="s">
        <v>793</v>
      </c>
      <c r="G836" s="36" t="s">
        <v>191</v>
      </c>
      <c r="H836" s="36">
        <v>1</v>
      </c>
      <c r="I836" s="36" t="s">
        <v>179</v>
      </c>
      <c r="J836" s="36">
        <f>YEAR(RESER3[[#This Row],[DATA]])</f>
        <v>2021</v>
      </c>
      <c r="K836" s="36">
        <f>MONTH(RESER3[[#This Row],[DATA]])</f>
        <v>11</v>
      </c>
      <c r="L836" s="36">
        <f>DAY(RESER3[[#This Row],[DATA]])</f>
        <v>18</v>
      </c>
      <c r="M836" s="36"/>
    </row>
    <row r="837" spans="1:13" x14ac:dyDescent="0.25">
      <c r="A837" s="36"/>
      <c r="B837" s="129" t="s">
        <v>7</v>
      </c>
      <c r="C837" s="28">
        <v>44519</v>
      </c>
      <c r="D837" s="36" t="s">
        <v>189</v>
      </c>
      <c r="E837" s="36" t="s">
        <v>222</v>
      </c>
      <c r="F837" s="36" t="s">
        <v>265</v>
      </c>
      <c r="G837" s="36" t="s">
        <v>484</v>
      </c>
      <c r="H837" s="36">
        <v>1</v>
      </c>
      <c r="I837" s="36" t="s">
        <v>179</v>
      </c>
      <c r="J837" s="36">
        <f>YEAR(RESER3[[#This Row],[DATA]])</f>
        <v>2021</v>
      </c>
      <c r="K837" s="36">
        <f>MONTH(RESER3[[#This Row],[DATA]])</f>
        <v>11</v>
      </c>
      <c r="L837" s="36">
        <f>DAY(RESER3[[#This Row],[DATA]])</f>
        <v>19</v>
      </c>
      <c r="M837" s="36"/>
    </row>
    <row r="838" spans="1:13" x14ac:dyDescent="0.25">
      <c r="A838" s="36"/>
      <c r="B838" s="129" t="s">
        <v>20</v>
      </c>
      <c r="C838" s="28">
        <v>44521</v>
      </c>
      <c r="D838" s="36" t="s">
        <v>189</v>
      </c>
      <c r="E838" s="36" t="s">
        <v>222</v>
      </c>
      <c r="F838" s="36" t="s">
        <v>228</v>
      </c>
      <c r="G838" s="36" t="s">
        <v>486</v>
      </c>
      <c r="H838" s="36">
        <v>1</v>
      </c>
      <c r="I838" s="36" t="s">
        <v>179</v>
      </c>
      <c r="J838" s="36">
        <f>YEAR(RESER3[[#This Row],[DATA]])</f>
        <v>2021</v>
      </c>
      <c r="K838" s="36">
        <f>MONTH(RESER3[[#This Row],[DATA]])</f>
        <v>11</v>
      </c>
      <c r="L838" s="36">
        <f>DAY(RESER3[[#This Row],[DATA]])</f>
        <v>21</v>
      </c>
      <c r="M838" s="36"/>
    </row>
    <row r="839" spans="1:13" x14ac:dyDescent="0.25">
      <c r="A839" s="36"/>
      <c r="B839" s="129" t="s">
        <v>9</v>
      </c>
      <c r="C839" s="28">
        <v>44522</v>
      </c>
      <c r="D839" s="36" t="s">
        <v>189</v>
      </c>
      <c r="E839" s="36" t="s">
        <v>222</v>
      </c>
      <c r="F839" s="36" t="s">
        <v>245</v>
      </c>
      <c r="G839" s="36" t="s">
        <v>482</v>
      </c>
      <c r="H839" s="36">
        <v>1</v>
      </c>
      <c r="I839" s="36" t="s">
        <v>179</v>
      </c>
      <c r="J839" s="36">
        <f>YEAR(RESER3[[#This Row],[DATA]])</f>
        <v>2021</v>
      </c>
      <c r="K839" s="36">
        <f>MONTH(RESER3[[#This Row],[DATA]])</f>
        <v>11</v>
      </c>
      <c r="L839" s="36">
        <f>DAY(RESER3[[#This Row],[DATA]])</f>
        <v>22</v>
      </c>
      <c r="M839" s="36"/>
    </row>
    <row r="840" spans="1:13" x14ac:dyDescent="0.25">
      <c r="A840" s="36"/>
      <c r="B840" s="129" t="s">
        <v>6</v>
      </c>
      <c r="C840" s="28">
        <v>44522</v>
      </c>
      <c r="D840" s="36" t="s">
        <v>189</v>
      </c>
      <c r="E840" s="36" t="s">
        <v>222</v>
      </c>
      <c r="F840" s="36" t="s">
        <v>196</v>
      </c>
      <c r="G840" s="36" t="s">
        <v>466</v>
      </c>
      <c r="H840" s="36">
        <v>1</v>
      </c>
      <c r="I840" s="36" t="s">
        <v>179</v>
      </c>
      <c r="J840" s="36">
        <f>YEAR(RESER3[[#This Row],[DATA]])</f>
        <v>2021</v>
      </c>
      <c r="K840" s="36">
        <f>MONTH(RESER3[[#This Row],[DATA]])</f>
        <v>11</v>
      </c>
      <c r="L840" s="36">
        <f>DAY(RESER3[[#This Row],[DATA]])</f>
        <v>22</v>
      </c>
      <c r="M840" s="36"/>
    </row>
    <row r="841" spans="1:13" x14ac:dyDescent="0.25">
      <c r="A841" s="36"/>
      <c r="B841" s="129" t="s">
        <v>6</v>
      </c>
      <c r="C841" s="28">
        <v>44522</v>
      </c>
      <c r="D841" s="36" t="s">
        <v>189</v>
      </c>
      <c r="E841" s="36" t="s">
        <v>462</v>
      </c>
      <c r="F841" s="36" t="s">
        <v>194</v>
      </c>
      <c r="G841" s="36" t="s">
        <v>473</v>
      </c>
      <c r="H841" s="36">
        <v>1</v>
      </c>
      <c r="I841" s="36" t="s">
        <v>179</v>
      </c>
      <c r="J841" s="36">
        <f>YEAR(RESER3[[#This Row],[DATA]])</f>
        <v>2021</v>
      </c>
      <c r="K841" s="36">
        <f>MONTH(RESER3[[#This Row],[DATA]])</f>
        <v>11</v>
      </c>
      <c r="L841" s="36">
        <f>DAY(RESER3[[#This Row],[DATA]])</f>
        <v>22</v>
      </c>
      <c r="M841" s="36"/>
    </row>
    <row r="842" spans="1:13" x14ac:dyDescent="0.25">
      <c r="A842" s="36"/>
      <c r="B842" s="129" t="s">
        <v>9</v>
      </c>
      <c r="C842" s="28">
        <v>44522</v>
      </c>
      <c r="D842" s="36" t="s">
        <v>189</v>
      </c>
      <c r="E842" s="36" t="s">
        <v>222</v>
      </c>
      <c r="F842" s="36" t="s">
        <v>202</v>
      </c>
      <c r="G842" s="36" t="s">
        <v>480</v>
      </c>
      <c r="H842" s="36">
        <v>1</v>
      </c>
      <c r="I842" s="36" t="s">
        <v>179</v>
      </c>
      <c r="J842" s="36">
        <f>YEAR(RESER3[[#This Row],[DATA]])</f>
        <v>2021</v>
      </c>
      <c r="K842" s="36">
        <f>MONTH(RESER3[[#This Row],[DATA]])</f>
        <v>11</v>
      </c>
      <c r="L842" s="36">
        <f>DAY(RESER3[[#This Row],[DATA]])</f>
        <v>22</v>
      </c>
      <c r="M842" s="36"/>
    </row>
    <row r="843" spans="1:13" x14ac:dyDescent="0.25">
      <c r="A843" s="36"/>
      <c r="B843" s="129" t="s">
        <v>21</v>
      </c>
      <c r="C843" s="28">
        <v>44523</v>
      </c>
      <c r="D843" s="36" t="s">
        <v>189</v>
      </c>
      <c r="E843" s="36" t="s">
        <v>222</v>
      </c>
      <c r="F843" s="36" t="s">
        <v>194</v>
      </c>
      <c r="G843" s="36" t="s">
        <v>473</v>
      </c>
      <c r="H843" s="36">
        <v>1</v>
      </c>
      <c r="I843" s="36" t="s">
        <v>179</v>
      </c>
      <c r="J843" s="36">
        <f>YEAR(RESER3[[#This Row],[DATA]])</f>
        <v>2021</v>
      </c>
      <c r="K843" s="36">
        <f>MONTH(RESER3[[#This Row],[DATA]])</f>
        <v>11</v>
      </c>
      <c r="L843" s="36">
        <f>DAY(RESER3[[#This Row],[DATA]])</f>
        <v>23</v>
      </c>
      <c r="M843" s="36"/>
    </row>
    <row r="844" spans="1:13" x14ac:dyDescent="0.25">
      <c r="A844" s="162"/>
      <c r="B844" s="163"/>
      <c r="C844" s="164"/>
      <c r="D844" s="162"/>
      <c r="E844" s="162"/>
      <c r="F844" s="162"/>
      <c r="G844" s="162"/>
      <c r="H844" s="162"/>
      <c r="I844" s="162"/>
      <c r="J844" s="162"/>
      <c r="K844" s="162"/>
      <c r="L844" s="162"/>
      <c r="M844" s="36"/>
    </row>
    <row r="845" spans="1:13" x14ac:dyDescent="0.25">
      <c r="B845" s="129" t="s">
        <v>40</v>
      </c>
      <c r="C845" s="30">
        <v>44592</v>
      </c>
      <c r="D845" s="36" t="s">
        <v>189</v>
      </c>
      <c r="E845" s="36" t="s">
        <v>462</v>
      </c>
      <c r="F845" s="36" t="s">
        <v>231</v>
      </c>
      <c r="G845" s="165" t="s">
        <v>909</v>
      </c>
      <c r="H845" s="36">
        <v>1</v>
      </c>
      <c r="I845" s="36" t="s">
        <v>179</v>
      </c>
      <c r="J845" s="36">
        <f>YEAR(RESER3[[#This Row],[DATA]])</f>
        <v>2022</v>
      </c>
      <c r="K845" s="36">
        <f t="shared" ref="K845:K861" si="16">MONTH(C845)</f>
        <v>1</v>
      </c>
      <c r="L845" s="36">
        <f>DAY(RESER3[[#This Row],[DATA]])</f>
        <v>31</v>
      </c>
      <c r="M845" s="36"/>
    </row>
    <row r="846" spans="1:13" x14ac:dyDescent="0.25">
      <c r="B846" s="129" t="s">
        <v>40</v>
      </c>
      <c r="C846" s="28">
        <v>44592</v>
      </c>
      <c r="D846" s="36" t="s">
        <v>189</v>
      </c>
      <c r="E846" s="36" t="s">
        <v>462</v>
      </c>
      <c r="F846" s="36" t="s">
        <v>228</v>
      </c>
      <c r="G846" s="36" t="s">
        <v>901</v>
      </c>
      <c r="H846" s="36">
        <v>1</v>
      </c>
      <c r="I846" s="36" t="s">
        <v>179</v>
      </c>
      <c r="J846" s="36">
        <f>YEAR(RESER3[[#This Row],[DATA]])</f>
        <v>2022</v>
      </c>
      <c r="K846" s="36">
        <f t="shared" si="16"/>
        <v>1</v>
      </c>
      <c r="L846" s="36">
        <f>DAY(RESER3[[#This Row],[DATA]])</f>
        <v>31</v>
      </c>
      <c r="M846" s="36"/>
    </row>
    <row r="847" spans="1:13" x14ac:dyDescent="0.25">
      <c r="B847" s="129" t="s">
        <v>7</v>
      </c>
      <c r="C847" s="28">
        <v>44592</v>
      </c>
      <c r="D847" s="36" t="s">
        <v>189</v>
      </c>
      <c r="E847" s="36" t="s">
        <v>222</v>
      </c>
      <c r="F847" s="36" t="s">
        <v>265</v>
      </c>
      <c r="G847" s="36" t="s">
        <v>477</v>
      </c>
      <c r="H847" s="36">
        <v>1</v>
      </c>
      <c r="I847" s="36" t="s">
        <v>179</v>
      </c>
      <c r="J847" s="36">
        <f>YEAR(RESER3[[#This Row],[DATA]])</f>
        <v>2022</v>
      </c>
      <c r="K847" s="36">
        <f t="shared" si="16"/>
        <v>1</v>
      </c>
      <c r="L847" s="36">
        <f>DAY(RESER3[[#This Row],[DATA]])</f>
        <v>31</v>
      </c>
      <c r="M847" s="36"/>
    </row>
    <row r="848" spans="1:13" x14ac:dyDescent="0.25">
      <c r="B848" s="129" t="s">
        <v>41</v>
      </c>
      <c r="C848" s="28">
        <v>44592</v>
      </c>
      <c r="D848" s="36" t="s">
        <v>189</v>
      </c>
      <c r="E848" s="36" t="s">
        <v>222</v>
      </c>
      <c r="F848" s="36" t="s">
        <v>196</v>
      </c>
      <c r="G848" s="36" t="s">
        <v>790</v>
      </c>
      <c r="H848" s="36">
        <v>1</v>
      </c>
      <c r="I848" s="36" t="s">
        <v>179</v>
      </c>
      <c r="J848" s="36">
        <f>YEAR(RESER3[[#This Row],[DATA]])</f>
        <v>2022</v>
      </c>
      <c r="K848" s="36">
        <f t="shared" si="16"/>
        <v>1</v>
      </c>
      <c r="L848" s="36">
        <f>DAY(RESER3[[#This Row],[DATA]])</f>
        <v>31</v>
      </c>
      <c r="M848" s="36"/>
    </row>
    <row r="849" spans="1:13" x14ac:dyDescent="0.25">
      <c r="B849" s="129" t="s">
        <v>40</v>
      </c>
      <c r="C849" s="28">
        <v>44592</v>
      </c>
      <c r="D849" s="36" t="s">
        <v>189</v>
      </c>
      <c r="E849" s="36" t="s">
        <v>462</v>
      </c>
      <c r="F849" s="36" t="s">
        <v>196</v>
      </c>
      <c r="G849" s="36" t="s">
        <v>790</v>
      </c>
      <c r="H849" s="36">
        <v>1</v>
      </c>
      <c r="I849" s="36" t="s">
        <v>179</v>
      </c>
      <c r="J849" s="36">
        <f>YEAR(RESER3[[#This Row],[DATA]])</f>
        <v>2022</v>
      </c>
      <c r="K849" s="36">
        <f t="shared" si="16"/>
        <v>1</v>
      </c>
      <c r="L849" s="36">
        <f>DAY(RESER3[[#This Row],[DATA]])</f>
        <v>31</v>
      </c>
      <c r="M849" s="36"/>
    </row>
    <row r="850" spans="1:13" x14ac:dyDescent="0.25">
      <c r="B850" s="129" t="s">
        <v>7</v>
      </c>
      <c r="C850" s="28">
        <v>44592</v>
      </c>
      <c r="D850" s="36" t="s">
        <v>189</v>
      </c>
      <c r="E850" s="36" t="s">
        <v>462</v>
      </c>
      <c r="F850" s="36" t="s">
        <v>245</v>
      </c>
      <c r="G850" s="36" t="s">
        <v>474</v>
      </c>
      <c r="H850" s="36">
        <v>1</v>
      </c>
      <c r="I850" s="36" t="s">
        <v>179</v>
      </c>
      <c r="J850" s="36">
        <f>YEAR(RESER3[[#This Row],[DATA]])</f>
        <v>2022</v>
      </c>
      <c r="K850" s="36">
        <f t="shared" si="16"/>
        <v>1</v>
      </c>
      <c r="L850" s="36">
        <f>DAY(RESER3[[#This Row],[DATA]])</f>
        <v>31</v>
      </c>
      <c r="M850" s="36"/>
    </row>
    <row r="851" spans="1:13" x14ac:dyDescent="0.25">
      <c r="B851" s="129" t="s">
        <v>40</v>
      </c>
      <c r="C851" s="28">
        <v>44592</v>
      </c>
      <c r="D851" s="36" t="s">
        <v>189</v>
      </c>
      <c r="E851" s="36" t="s">
        <v>222</v>
      </c>
      <c r="F851" s="36" t="s">
        <v>228</v>
      </c>
      <c r="G851" s="36" t="s">
        <v>901</v>
      </c>
      <c r="H851" s="36">
        <v>1</v>
      </c>
      <c r="I851" s="36" t="s">
        <v>179</v>
      </c>
      <c r="J851" s="36">
        <f>YEAR(RESER3[[#This Row],[DATA]])</f>
        <v>2022</v>
      </c>
      <c r="K851" s="36">
        <f t="shared" si="16"/>
        <v>1</v>
      </c>
      <c r="L851" s="36">
        <f>DAY(RESER3[[#This Row],[DATA]])</f>
        <v>31</v>
      </c>
      <c r="M851" s="36"/>
    </row>
    <row r="852" spans="1:13" x14ac:dyDescent="0.25">
      <c r="B852" s="129" t="s">
        <v>9</v>
      </c>
      <c r="C852" s="28">
        <v>44593</v>
      </c>
      <c r="D852" s="36" t="s">
        <v>189</v>
      </c>
      <c r="E852" s="36" t="s">
        <v>462</v>
      </c>
      <c r="F852" s="36" t="s">
        <v>196</v>
      </c>
      <c r="G852" s="36" t="s">
        <v>790</v>
      </c>
      <c r="H852" s="36">
        <v>1</v>
      </c>
      <c r="I852" s="36" t="s">
        <v>179</v>
      </c>
      <c r="J852" s="36">
        <f>YEAR(RESER3[[#This Row],[DATA]])</f>
        <v>2022</v>
      </c>
      <c r="K852" s="36">
        <f t="shared" si="16"/>
        <v>2</v>
      </c>
      <c r="L852" s="36">
        <f>DAY(RESER3[[#This Row],[DATA]])</f>
        <v>1</v>
      </c>
      <c r="M852" s="36"/>
    </row>
    <row r="853" spans="1:13" x14ac:dyDescent="0.25">
      <c r="B853" s="129" t="s">
        <v>10</v>
      </c>
      <c r="C853" s="28">
        <v>44593</v>
      </c>
      <c r="D853" s="36" t="s">
        <v>189</v>
      </c>
      <c r="E853" s="36" t="s">
        <v>462</v>
      </c>
      <c r="F853" s="36" t="s">
        <v>228</v>
      </c>
      <c r="G853" s="36" t="s">
        <v>901</v>
      </c>
      <c r="H853" s="36">
        <v>1</v>
      </c>
      <c r="I853" s="36" t="s">
        <v>179</v>
      </c>
      <c r="J853" s="36">
        <f>YEAR(RESER3[[#This Row],[DATA]])</f>
        <v>2022</v>
      </c>
      <c r="K853" s="36">
        <f t="shared" si="16"/>
        <v>2</v>
      </c>
      <c r="L853" s="36">
        <f>DAY(RESER3[[#This Row],[DATA]])</f>
        <v>1</v>
      </c>
      <c r="M853" s="36"/>
    </row>
    <row r="854" spans="1:13" x14ac:dyDescent="0.25">
      <c r="B854" s="129" t="s">
        <v>7</v>
      </c>
      <c r="C854" s="28">
        <v>44593</v>
      </c>
      <c r="D854" s="36" t="s">
        <v>189</v>
      </c>
      <c r="E854" s="36" t="s">
        <v>222</v>
      </c>
      <c r="F854" s="36" t="s">
        <v>196</v>
      </c>
      <c r="G854" s="165" t="s">
        <v>790</v>
      </c>
      <c r="H854" s="36">
        <v>1</v>
      </c>
      <c r="I854" s="36" t="s">
        <v>179</v>
      </c>
      <c r="J854" s="36">
        <f>YEAR(RESER3[[#This Row],[DATA]])</f>
        <v>2022</v>
      </c>
      <c r="K854" s="36">
        <f t="shared" si="16"/>
        <v>2</v>
      </c>
      <c r="L854" s="36">
        <f>DAY(RESER3[[#This Row],[DATA]])</f>
        <v>1</v>
      </c>
      <c r="M854" s="36"/>
    </row>
    <row r="855" spans="1:13" x14ac:dyDescent="0.25">
      <c r="B855" s="129" t="s">
        <v>10</v>
      </c>
      <c r="C855" s="28">
        <v>44593</v>
      </c>
      <c r="D855" s="36" t="s">
        <v>189</v>
      </c>
      <c r="E855" s="36" t="s">
        <v>222</v>
      </c>
      <c r="F855" s="36" t="s">
        <v>194</v>
      </c>
      <c r="G855" s="36" t="s">
        <v>906</v>
      </c>
      <c r="H855" s="36">
        <v>1</v>
      </c>
      <c r="I855" s="36" t="s">
        <v>179</v>
      </c>
      <c r="J855" s="36">
        <f>YEAR(RESER3[[#This Row],[DATA]])</f>
        <v>2022</v>
      </c>
      <c r="K855" s="36">
        <f t="shared" si="16"/>
        <v>2</v>
      </c>
      <c r="L855" s="36">
        <f>DAY(RESER3[[#This Row],[DATA]])</f>
        <v>1</v>
      </c>
      <c r="M855" s="36"/>
    </row>
    <row r="856" spans="1:13" x14ac:dyDescent="0.25">
      <c r="B856" s="129" t="s">
        <v>40</v>
      </c>
      <c r="C856" s="28">
        <v>44593</v>
      </c>
      <c r="D856" s="36" t="s">
        <v>189</v>
      </c>
      <c r="E856" s="36" t="s">
        <v>462</v>
      </c>
      <c r="F856" s="36" t="s">
        <v>245</v>
      </c>
      <c r="G856" s="165" t="s">
        <v>474</v>
      </c>
      <c r="H856" s="36">
        <v>1</v>
      </c>
      <c r="I856" s="36" t="s">
        <v>179</v>
      </c>
      <c r="J856" s="36">
        <f>YEAR(RESER3[[#This Row],[DATA]])</f>
        <v>2022</v>
      </c>
      <c r="K856" s="36">
        <f t="shared" si="16"/>
        <v>2</v>
      </c>
      <c r="L856" s="36">
        <f>DAY(RESER3[[#This Row],[DATA]])</f>
        <v>1</v>
      </c>
      <c r="M856" s="36"/>
    </row>
    <row r="857" spans="1:13" x14ac:dyDescent="0.25">
      <c r="B857" s="129" t="s">
        <v>40</v>
      </c>
      <c r="C857" s="28">
        <v>44593</v>
      </c>
      <c r="D857" s="36" t="s">
        <v>189</v>
      </c>
      <c r="E857" s="36" t="s">
        <v>462</v>
      </c>
      <c r="F857" s="36" t="s">
        <v>196</v>
      </c>
      <c r="G857" s="36" t="s">
        <v>790</v>
      </c>
      <c r="H857" s="36">
        <v>1</v>
      </c>
      <c r="I857" s="36" t="s">
        <v>179</v>
      </c>
      <c r="J857" s="36">
        <f>YEAR(RESER3[[#This Row],[DATA]])</f>
        <v>2022</v>
      </c>
      <c r="K857" s="36">
        <f t="shared" si="16"/>
        <v>2</v>
      </c>
      <c r="L857" s="36">
        <f>DAY(RESER3[[#This Row],[DATA]])</f>
        <v>1</v>
      </c>
      <c r="M857" s="36"/>
    </row>
    <row r="858" spans="1:13" x14ac:dyDescent="0.25">
      <c r="B858" s="129" t="s">
        <v>40</v>
      </c>
      <c r="C858" s="28">
        <v>44593</v>
      </c>
      <c r="D858" s="36" t="s">
        <v>189</v>
      </c>
      <c r="E858" s="36" t="s">
        <v>222</v>
      </c>
      <c r="F858" s="36" t="s">
        <v>228</v>
      </c>
      <c r="G858" s="36" t="s">
        <v>901</v>
      </c>
      <c r="H858" s="36">
        <v>1</v>
      </c>
      <c r="I858" s="36" t="s">
        <v>179</v>
      </c>
      <c r="J858" s="36">
        <f>YEAR(RESER3[[#This Row],[DATA]])</f>
        <v>2022</v>
      </c>
      <c r="K858" s="36">
        <f t="shared" si="16"/>
        <v>2</v>
      </c>
      <c r="L858" s="36">
        <f>DAY(RESER3[[#This Row],[DATA]])</f>
        <v>1</v>
      </c>
      <c r="M858" s="36"/>
    </row>
    <row r="859" spans="1:13" x14ac:dyDescent="0.25">
      <c r="B859" s="129" t="s">
        <v>112</v>
      </c>
      <c r="C859" s="28">
        <v>44593</v>
      </c>
      <c r="D859" s="36" t="s">
        <v>189</v>
      </c>
      <c r="E859" s="36" t="s">
        <v>222</v>
      </c>
      <c r="F859" s="36" t="s">
        <v>194</v>
      </c>
      <c r="G859" s="36" t="s">
        <v>475</v>
      </c>
      <c r="H859" s="36">
        <v>1</v>
      </c>
      <c r="I859" s="36" t="s">
        <v>179</v>
      </c>
      <c r="J859" s="36">
        <f>YEAR(RESER3[[#This Row],[DATA]])</f>
        <v>2022</v>
      </c>
      <c r="K859" s="36">
        <f t="shared" si="16"/>
        <v>2</v>
      </c>
      <c r="L859" s="36">
        <f>DAY(RESER3[[#This Row],[DATA]])</f>
        <v>1</v>
      </c>
      <c r="M859" s="36"/>
    </row>
    <row r="860" spans="1:13" x14ac:dyDescent="0.25">
      <c r="B860" s="129" t="s">
        <v>7</v>
      </c>
      <c r="C860" s="28">
        <v>44593</v>
      </c>
      <c r="D860" s="36" t="s">
        <v>189</v>
      </c>
      <c r="E860" s="36" t="s">
        <v>462</v>
      </c>
      <c r="F860" s="36" t="s">
        <v>910</v>
      </c>
      <c r="G860" s="36" t="s">
        <v>911</v>
      </c>
      <c r="H860" s="36">
        <v>1</v>
      </c>
      <c r="I860" s="36" t="s">
        <v>179</v>
      </c>
      <c r="J860" s="36">
        <f>YEAR(RESER3[[#This Row],[DATA]])</f>
        <v>2022</v>
      </c>
      <c r="K860" s="36">
        <f t="shared" si="16"/>
        <v>2</v>
      </c>
      <c r="L860" s="36">
        <f>DAY(RESER3[[#This Row],[DATA]])</f>
        <v>1</v>
      </c>
      <c r="M860" s="36"/>
    </row>
    <row r="861" spans="1:13" x14ac:dyDescent="0.25">
      <c r="B861" s="129" t="s">
        <v>41</v>
      </c>
      <c r="C861" s="28">
        <v>44593</v>
      </c>
      <c r="D861" s="36" t="s">
        <v>189</v>
      </c>
      <c r="E861" s="36" t="s">
        <v>462</v>
      </c>
      <c r="F861" s="36" t="s">
        <v>228</v>
      </c>
      <c r="G861" s="36" t="s">
        <v>901</v>
      </c>
      <c r="H861" s="36">
        <v>1</v>
      </c>
      <c r="I861" s="36" t="s">
        <v>179</v>
      </c>
      <c r="J861" s="36">
        <f>YEAR(RESER3[[#This Row],[DATA]])</f>
        <v>2022</v>
      </c>
      <c r="K861" s="36">
        <f t="shared" si="16"/>
        <v>2</v>
      </c>
      <c r="L861" s="36">
        <f>DAY(RESER3[[#This Row],[DATA]])</f>
        <v>1</v>
      </c>
      <c r="M861" s="36"/>
    </row>
    <row r="862" spans="1:13" x14ac:dyDescent="0.25">
      <c r="A862" s="36"/>
      <c r="B862" s="129" t="s">
        <v>14</v>
      </c>
      <c r="C862" s="28">
        <v>44594</v>
      </c>
      <c r="D862" s="36" t="s">
        <v>189</v>
      </c>
      <c r="E862" s="36" t="s">
        <v>462</v>
      </c>
      <c r="F862" s="36" t="s">
        <v>228</v>
      </c>
      <c r="G862" s="36" t="s">
        <v>486</v>
      </c>
      <c r="H862" s="36">
        <v>1</v>
      </c>
      <c r="I862" s="36" t="s">
        <v>179</v>
      </c>
      <c r="J862" s="36">
        <f>YEAR(RESER3[[#This Row],[DATA]])</f>
        <v>2022</v>
      </c>
      <c r="K862" s="36">
        <f>MONTH(RESER3[[#This Row],[DATA]])</f>
        <v>2</v>
      </c>
      <c r="L862" s="36">
        <f>DAY(RESER3[[#This Row],[DATA]])</f>
        <v>2</v>
      </c>
      <c r="M862" s="36"/>
    </row>
    <row r="863" spans="1:13" x14ac:dyDescent="0.25">
      <c r="A863" s="36"/>
      <c r="B863" s="129" t="s">
        <v>41</v>
      </c>
      <c r="C863" s="28">
        <v>44594</v>
      </c>
      <c r="D863" s="36" t="s">
        <v>189</v>
      </c>
      <c r="E863" s="36" t="s">
        <v>222</v>
      </c>
      <c r="F863" s="36" t="s">
        <v>228</v>
      </c>
      <c r="G863" s="165" t="s">
        <v>901</v>
      </c>
      <c r="H863" s="36">
        <v>1</v>
      </c>
      <c r="I863" s="36" t="s">
        <v>179</v>
      </c>
      <c r="J863" s="36">
        <f>YEAR(RESER3[[#This Row],[DATA]])</f>
        <v>2022</v>
      </c>
      <c r="K863" s="36">
        <f t="shared" ref="K863:K876" si="17">MONTH(C863)</f>
        <v>2</v>
      </c>
      <c r="L863" s="36">
        <f>DAY(RESER3[[#This Row],[DATA]])</f>
        <v>2</v>
      </c>
      <c r="M863" s="36"/>
    </row>
    <row r="864" spans="1:13" x14ac:dyDescent="0.25">
      <c r="A864" s="36"/>
      <c r="B864" s="129" t="s">
        <v>112</v>
      </c>
      <c r="C864" s="28">
        <v>44594</v>
      </c>
      <c r="D864" s="36" t="s">
        <v>189</v>
      </c>
      <c r="E864" s="36" t="s">
        <v>222</v>
      </c>
      <c r="F864" s="36" t="s">
        <v>245</v>
      </c>
      <c r="G864" s="36" t="s">
        <v>474</v>
      </c>
      <c r="H864" s="36">
        <v>1</v>
      </c>
      <c r="I864" s="36" t="s">
        <v>179</v>
      </c>
      <c r="J864" s="36">
        <f>YEAR(RESER3[[#This Row],[DATA]])</f>
        <v>2022</v>
      </c>
      <c r="K864" s="36">
        <f t="shared" si="17"/>
        <v>2</v>
      </c>
      <c r="L864" s="36">
        <f>DAY(RESER3[[#This Row],[DATA]])</f>
        <v>2</v>
      </c>
      <c r="M864" s="36"/>
    </row>
    <row r="865" spans="1:13" x14ac:dyDescent="0.25">
      <c r="A865" s="36"/>
      <c r="B865" s="129" t="s">
        <v>4</v>
      </c>
      <c r="C865" s="28">
        <v>44594</v>
      </c>
      <c r="D865" s="36" t="s">
        <v>189</v>
      </c>
      <c r="E865" s="36" t="s">
        <v>462</v>
      </c>
      <c r="F865" s="36" t="s">
        <v>228</v>
      </c>
      <c r="G865" s="36" t="s">
        <v>901</v>
      </c>
      <c r="H865" s="36">
        <v>1</v>
      </c>
      <c r="I865" s="36" t="s">
        <v>179</v>
      </c>
      <c r="J865" s="36">
        <f>YEAR(RESER3[[#This Row],[DATA]])</f>
        <v>2022</v>
      </c>
      <c r="K865" s="36">
        <f t="shared" si="17"/>
        <v>2</v>
      </c>
      <c r="L865" s="36">
        <f>DAY(RESER3[[#This Row],[DATA]])</f>
        <v>2</v>
      </c>
      <c r="M865" s="36"/>
    </row>
    <row r="866" spans="1:13" x14ac:dyDescent="0.25">
      <c r="A866" s="36"/>
      <c r="B866" s="129" t="s">
        <v>4</v>
      </c>
      <c r="C866" s="28">
        <v>44594</v>
      </c>
      <c r="D866" s="36" t="s">
        <v>189</v>
      </c>
      <c r="E866" s="36" t="s">
        <v>462</v>
      </c>
      <c r="F866" s="36" t="s">
        <v>194</v>
      </c>
      <c r="G866" s="36" t="s">
        <v>475</v>
      </c>
      <c r="H866" s="36">
        <v>1</v>
      </c>
      <c r="I866" s="36" t="s">
        <v>179</v>
      </c>
      <c r="J866" s="36">
        <f>YEAR(RESER3[[#This Row],[DATA]])</f>
        <v>2022</v>
      </c>
      <c r="K866" s="36">
        <f t="shared" si="17"/>
        <v>2</v>
      </c>
      <c r="L866" s="36">
        <f>DAY(RESER3[[#This Row],[DATA]])</f>
        <v>2</v>
      </c>
      <c r="M866" s="36"/>
    </row>
    <row r="867" spans="1:13" x14ac:dyDescent="0.25">
      <c r="A867" s="36"/>
      <c r="B867" s="129" t="s">
        <v>4</v>
      </c>
      <c r="C867" s="28">
        <v>44594</v>
      </c>
      <c r="D867" s="36" t="s">
        <v>189</v>
      </c>
      <c r="E867" s="36" t="s">
        <v>222</v>
      </c>
      <c r="F867" s="36" t="s">
        <v>894</v>
      </c>
      <c r="G867" s="36" t="s">
        <v>907</v>
      </c>
      <c r="H867" s="36">
        <v>1</v>
      </c>
      <c r="I867" s="36" t="s">
        <v>179</v>
      </c>
      <c r="J867" s="36">
        <f>YEAR(RESER3[[#This Row],[DATA]])</f>
        <v>2022</v>
      </c>
      <c r="K867" s="36">
        <f t="shared" si="17"/>
        <v>2</v>
      </c>
      <c r="L867" s="36">
        <f>DAY(RESER3[[#This Row],[DATA]])</f>
        <v>2</v>
      </c>
      <c r="M867" s="36"/>
    </row>
    <row r="868" spans="1:13" x14ac:dyDescent="0.25">
      <c r="A868" s="36"/>
      <c r="B868" s="129" t="s">
        <v>4</v>
      </c>
      <c r="C868" s="28">
        <v>44594</v>
      </c>
      <c r="D868" s="36" t="s">
        <v>189</v>
      </c>
      <c r="E868" s="36" t="s">
        <v>222</v>
      </c>
      <c r="F868" s="36" t="s">
        <v>228</v>
      </c>
      <c r="G868" s="36" t="s">
        <v>901</v>
      </c>
      <c r="H868" s="36">
        <v>1</v>
      </c>
      <c r="I868" s="36" t="s">
        <v>179</v>
      </c>
      <c r="J868" s="36">
        <f>YEAR(RESER3[[#This Row],[DATA]])</f>
        <v>2022</v>
      </c>
      <c r="K868" s="36">
        <f t="shared" si="17"/>
        <v>2</v>
      </c>
      <c r="L868" s="36">
        <f>DAY(RESER3[[#This Row],[DATA]])</f>
        <v>2</v>
      </c>
      <c r="M868" s="36"/>
    </row>
    <row r="869" spans="1:13" x14ac:dyDescent="0.25">
      <c r="A869" s="36"/>
      <c r="B869" s="129" t="s">
        <v>8</v>
      </c>
      <c r="C869" s="28">
        <v>44594</v>
      </c>
      <c r="D869" s="36" t="s">
        <v>189</v>
      </c>
      <c r="E869" s="36" t="s">
        <v>462</v>
      </c>
      <c r="F869" s="36" t="s">
        <v>194</v>
      </c>
      <c r="G869" s="36" t="s">
        <v>475</v>
      </c>
      <c r="H869" s="36">
        <v>1</v>
      </c>
      <c r="I869" s="36" t="s">
        <v>179</v>
      </c>
      <c r="J869" s="36">
        <f>YEAR(RESER3[[#This Row],[DATA]])</f>
        <v>2022</v>
      </c>
      <c r="K869" s="36">
        <f t="shared" si="17"/>
        <v>2</v>
      </c>
      <c r="L869" s="36">
        <f>DAY(RESER3[[#This Row],[DATA]])</f>
        <v>2</v>
      </c>
      <c r="M869" s="36"/>
    </row>
    <row r="870" spans="1:13" x14ac:dyDescent="0.25">
      <c r="A870" s="36"/>
      <c r="B870" s="129" t="s">
        <v>8</v>
      </c>
      <c r="C870" s="28">
        <v>44595</v>
      </c>
      <c r="D870" s="36" t="s">
        <v>189</v>
      </c>
      <c r="E870" s="36" t="s">
        <v>222</v>
      </c>
      <c r="F870" s="36" t="s">
        <v>196</v>
      </c>
      <c r="G870" s="36" t="s">
        <v>790</v>
      </c>
      <c r="H870" s="36">
        <v>1</v>
      </c>
      <c r="I870" s="36" t="s">
        <v>179</v>
      </c>
      <c r="J870" s="36">
        <f>YEAR(RESER3[[#This Row],[DATA]])</f>
        <v>2022</v>
      </c>
      <c r="K870" s="36">
        <f t="shared" si="17"/>
        <v>2</v>
      </c>
      <c r="L870" s="36">
        <f>DAY(RESER3[[#This Row],[DATA]])</f>
        <v>3</v>
      </c>
      <c r="M870" s="36"/>
    </row>
    <row r="871" spans="1:13" x14ac:dyDescent="0.25">
      <c r="A871" s="36"/>
      <c r="B871" s="169" t="s">
        <v>10</v>
      </c>
      <c r="C871" s="28">
        <v>44595</v>
      </c>
      <c r="D871" s="36" t="s">
        <v>189</v>
      </c>
      <c r="E871" s="36" t="s">
        <v>222</v>
      </c>
      <c r="F871" s="36" t="s">
        <v>228</v>
      </c>
      <c r="G871" s="36" t="s">
        <v>901</v>
      </c>
      <c r="H871" s="36">
        <v>1</v>
      </c>
      <c r="I871" s="36" t="s">
        <v>179</v>
      </c>
      <c r="J871" s="36">
        <f>YEAR(RESER3[[#This Row],[DATA]])</f>
        <v>2022</v>
      </c>
      <c r="K871" s="36">
        <f t="shared" si="17"/>
        <v>2</v>
      </c>
      <c r="L871" s="36">
        <f>DAY(RESER3[[#This Row],[DATA]])</f>
        <v>3</v>
      </c>
      <c r="M871" s="36"/>
    </row>
    <row r="872" spans="1:13" x14ac:dyDescent="0.25">
      <c r="A872" s="36"/>
      <c r="B872" s="129" t="s">
        <v>40</v>
      </c>
      <c r="C872" s="28">
        <v>44595</v>
      </c>
      <c r="D872" s="36" t="s">
        <v>189</v>
      </c>
      <c r="E872" s="36" t="s">
        <v>462</v>
      </c>
      <c r="F872" s="36" t="s">
        <v>228</v>
      </c>
      <c r="G872" s="36" t="s">
        <v>901</v>
      </c>
      <c r="H872" s="36">
        <v>1</v>
      </c>
      <c r="I872" s="36" t="s">
        <v>179</v>
      </c>
      <c r="J872" s="36">
        <f>YEAR(RESER3[[#This Row],[DATA]])</f>
        <v>2022</v>
      </c>
      <c r="K872" s="36">
        <f t="shared" si="17"/>
        <v>2</v>
      </c>
      <c r="L872" s="36">
        <f>DAY(RESER3[[#This Row],[DATA]])</f>
        <v>3</v>
      </c>
      <c r="M872" s="36"/>
    </row>
    <row r="873" spans="1:13" x14ac:dyDescent="0.25">
      <c r="A873" s="36"/>
      <c r="B873" s="129" t="s">
        <v>40</v>
      </c>
      <c r="C873" s="28">
        <v>44595</v>
      </c>
      <c r="D873" s="36" t="s">
        <v>189</v>
      </c>
      <c r="E873" s="36" t="s">
        <v>462</v>
      </c>
      <c r="F873" s="36" t="s">
        <v>194</v>
      </c>
      <c r="G873" s="36" t="s">
        <v>475</v>
      </c>
      <c r="H873" s="36">
        <v>1</v>
      </c>
      <c r="I873" s="36" t="s">
        <v>179</v>
      </c>
      <c r="J873" s="36">
        <f>YEAR(RESER3[[#This Row],[DATA]])</f>
        <v>2022</v>
      </c>
      <c r="K873" s="36">
        <f t="shared" si="17"/>
        <v>2</v>
      </c>
      <c r="L873" s="36">
        <f>DAY(RESER3[[#This Row],[DATA]])</f>
        <v>3</v>
      </c>
      <c r="M873" s="36"/>
    </row>
    <row r="874" spans="1:13" x14ac:dyDescent="0.25">
      <c r="A874" s="36"/>
      <c r="B874" s="129" t="s">
        <v>9</v>
      </c>
      <c r="C874" s="28">
        <v>44595</v>
      </c>
      <c r="D874" s="36" t="s">
        <v>189</v>
      </c>
      <c r="E874" s="36" t="s">
        <v>222</v>
      </c>
      <c r="F874" s="36" t="s">
        <v>194</v>
      </c>
      <c r="G874" s="36" t="s">
        <v>475</v>
      </c>
      <c r="H874" s="36">
        <v>1</v>
      </c>
      <c r="I874" s="36" t="s">
        <v>179</v>
      </c>
      <c r="J874" s="36">
        <f>YEAR(RESER3[[#This Row],[DATA]])</f>
        <v>2022</v>
      </c>
      <c r="K874" s="36">
        <f t="shared" si="17"/>
        <v>2</v>
      </c>
      <c r="L874" s="36">
        <f>DAY(RESER3[[#This Row],[DATA]])</f>
        <v>3</v>
      </c>
      <c r="M874" s="36"/>
    </row>
    <row r="875" spans="1:13" x14ac:dyDescent="0.25">
      <c r="A875" s="36"/>
      <c r="B875" s="129" t="s">
        <v>40</v>
      </c>
      <c r="C875" s="28">
        <v>44595</v>
      </c>
      <c r="D875" s="36" t="s">
        <v>189</v>
      </c>
      <c r="E875" s="36" t="s">
        <v>462</v>
      </c>
      <c r="F875" s="36" t="s">
        <v>913</v>
      </c>
      <c r="G875" s="36" t="s">
        <v>914</v>
      </c>
      <c r="H875" s="36">
        <v>1</v>
      </c>
      <c r="I875" s="36" t="s">
        <v>179</v>
      </c>
      <c r="J875" s="36">
        <f>YEAR(RESER3[[#This Row],[DATA]])</f>
        <v>2022</v>
      </c>
      <c r="K875" s="36">
        <f t="shared" si="17"/>
        <v>2</v>
      </c>
      <c r="L875" s="36">
        <f>DAY(RESER3[[#This Row],[DATA]])</f>
        <v>3</v>
      </c>
      <c r="M875" s="36"/>
    </row>
    <row r="876" spans="1:13" x14ac:dyDescent="0.25">
      <c r="A876" s="36"/>
      <c r="B876" s="129" t="s">
        <v>40</v>
      </c>
      <c r="C876" s="28">
        <v>44595</v>
      </c>
      <c r="D876" s="36" t="s">
        <v>189</v>
      </c>
      <c r="E876" s="36" t="s">
        <v>462</v>
      </c>
      <c r="F876" s="36" t="s">
        <v>196</v>
      </c>
      <c r="G876" s="36" t="s">
        <v>790</v>
      </c>
      <c r="H876" s="36">
        <v>1</v>
      </c>
      <c r="I876" s="36" t="s">
        <v>179</v>
      </c>
      <c r="J876" s="36">
        <f>YEAR(RESER3[[#This Row],[DATA]])</f>
        <v>2022</v>
      </c>
      <c r="K876" s="36">
        <f t="shared" si="17"/>
        <v>2</v>
      </c>
      <c r="L876" s="36">
        <f>DAY(RESER3[[#This Row],[DATA]])</f>
        <v>3</v>
      </c>
      <c r="M876" s="36"/>
    </row>
    <row r="877" spans="1:13" x14ac:dyDescent="0.25">
      <c r="A877" s="36"/>
      <c r="B877" s="129" t="s">
        <v>18</v>
      </c>
      <c r="C877" s="28">
        <v>44595</v>
      </c>
      <c r="D877" s="36" t="s">
        <v>189</v>
      </c>
      <c r="E877" s="36" t="s">
        <v>222</v>
      </c>
      <c r="F877" s="36" t="s">
        <v>463</v>
      </c>
      <c r="G877" s="36" t="s">
        <v>473</v>
      </c>
      <c r="H877" s="36">
        <v>1</v>
      </c>
      <c r="I877" s="36" t="s">
        <v>179</v>
      </c>
      <c r="J877" s="36">
        <f>YEAR(RESER3[[#This Row],[DATA]])</f>
        <v>2022</v>
      </c>
      <c r="K877" s="36">
        <f>MONTH(RESER3[[#This Row],[DATA]])</f>
        <v>2</v>
      </c>
      <c r="L877" s="36">
        <f>DAY(RESER3[[#This Row],[DATA]])</f>
        <v>3</v>
      </c>
      <c r="M877" s="36"/>
    </row>
    <row r="878" spans="1:13" x14ac:dyDescent="0.25">
      <c r="A878" s="36"/>
      <c r="B878" s="129" t="s">
        <v>9</v>
      </c>
      <c r="C878" s="28">
        <v>44596</v>
      </c>
      <c r="D878" s="36" t="s">
        <v>189</v>
      </c>
      <c r="E878" s="36" t="s">
        <v>462</v>
      </c>
      <c r="F878" s="36" t="s">
        <v>196</v>
      </c>
      <c r="G878" s="36" t="s">
        <v>790</v>
      </c>
      <c r="H878" s="36">
        <v>1</v>
      </c>
      <c r="I878" s="36" t="s">
        <v>179</v>
      </c>
      <c r="J878" s="36">
        <f>YEAR(RESER3[[#This Row],[DATA]])</f>
        <v>2022</v>
      </c>
      <c r="K878" s="36">
        <f t="shared" ref="K878:K886" si="18">MONTH(C878)</f>
        <v>2</v>
      </c>
      <c r="L878" s="36">
        <f>DAY(RESER3[[#This Row],[DATA]])</f>
        <v>4</v>
      </c>
      <c r="M878" s="36"/>
    </row>
    <row r="879" spans="1:13" x14ac:dyDescent="0.25">
      <c r="A879" s="36"/>
      <c r="B879" s="129" t="s">
        <v>10</v>
      </c>
      <c r="C879" s="28">
        <v>44596</v>
      </c>
      <c r="D879" s="36" t="s">
        <v>189</v>
      </c>
      <c r="E879" s="36" t="s">
        <v>462</v>
      </c>
      <c r="F879" s="36" t="s">
        <v>196</v>
      </c>
      <c r="G879" s="36" t="s">
        <v>790</v>
      </c>
      <c r="H879" s="36">
        <v>1</v>
      </c>
      <c r="I879" s="36" t="s">
        <v>179</v>
      </c>
      <c r="J879" s="36">
        <f>YEAR(RESER3[[#This Row],[DATA]])</f>
        <v>2022</v>
      </c>
      <c r="K879" s="36">
        <f t="shared" si="18"/>
        <v>2</v>
      </c>
      <c r="L879" s="36">
        <f>DAY(RESER3[[#This Row],[DATA]])</f>
        <v>4</v>
      </c>
      <c r="M879" s="36"/>
    </row>
    <row r="880" spans="1:13" x14ac:dyDescent="0.25">
      <c r="A880" s="36"/>
      <c r="B880" s="129" t="s">
        <v>10</v>
      </c>
      <c r="C880" s="28">
        <v>44596</v>
      </c>
      <c r="D880" s="36" t="s">
        <v>189</v>
      </c>
      <c r="E880" s="36" t="s">
        <v>222</v>
      </c>
      <c r="F880" s="36" t="s">
        <v>194</v>
      </c>
      <c r="G880" s="36" t="s">
        <v>475</v>
      </c>
      <c r="H880" s="36">
        <v>1</v>
      </c>
      <c r="I880" s="36" t="s">
        <v>179</v>
      </c>
      <c r="J880" s="36">
        <f>YEAR(RESER3[[#This Row],[DATA]])</f>
        <v>2022</v>
      </c>
      <c r="K880" s="36">
        <f t="shared" si="18"/>
        <v>2</v>
      </c>
      <c r="L880" s="36">
        <f>DAY(RESER3[[#This Row],[DATA]])</f>
        <v>4</v>
      </c>
      <c r="M880" s="36"/>
    </row>
    <row r="881" spans="1:13" x14ac:dyDescent="0.25">
      <c r="A881" s="36"/>
      <c r="B881" s="129" t="s">
        <v>112</v>
      </c>
      <c r="C881" s="28">
        <v>44599</v>
      </c>
      <c r="D881" s="36" t="s">
        <v>189</v>
      </c>
      <c r="E881" s="36" t="s">
        <v>222</v>
      </c>
      <c r="F881" s="36" t="s">
        <v>196</v>
      </c>
      <c r="G881" s="36" t="s">
        <v>790</v>
      </c>
      <c r="H881" s="36">
        <v>1</v>
      </c>
      <c r="I881" s="36" t="s">
        <v>179</v>
      </c>
      <c r="J881" s="36">
        <f>YEAR(RESER3[[#This Row],[DATA]])</f>
        <v>2022</v>
      </c>
      <c r="K881" s="36">
        <f t="shared" si="18"/>
        <v>2</v>
      </c>
      <c r="L881" s="36">
        <f>DAY(RESER3[[#This Row],[DATA]])</f>
        <v>7</v>
      </c>
      <c r="M881" s="36"/>
    </row>
    <row r="882" spans="1:13" x14ac:dyDescent="0.25">
      <c r="A882" s="36"/>
      <c r="B882" s="129" t="s">
        <v>40</v>
      </c>
      <c r="C882" s="28">
        <v>44599</v>
      </c>
      <c r="D882" s="36" t="s">
        <v>189</v>
      </c>
      <c r="E882" s="36" t="s">
        <v>462</v>
      </c>
      <c r="F882" s="36" t="s">
        <v>196</v>
      </c>
      <c r="G882" s="36" t="s">
        <v>790</v>
      </c>
      <c r="H882" s="36">
        <v>1</v>
      </c>
      <c r="I882" s="36" t="s">
        <v>179</v>
      </c>
      <c r="J882" s="36">
        <f>YEAR(RESER3[[#This Row],[DATA]])</f>
        <v>2022</v>
      </c>
      <c r="K882" s="36">
        <f t="shared" si="18"/>
        <v>2</v>
      </c>
      <c r="L882" s="36">
        <f>DAY(RESER3[[#This Row],[DATA]])</f>
        <v>7</v>
      </c>
      <c r="M882" s="36"/>
    </row>
    <row r="883" spans="1:13" x14ac:dyDescent="0.25">
      <c r="A883" s="36"/>
      <c r="B883" s="129" t="s">
        <v>41</v>
      </c>
      <c r="C883" s="28">
        <v>44599</v>
      </c>
      <c r="D883" s="36" t="s">
        <v>189</v>
      </c>
      <c r="E883" s="36" t="s">
        <v>462</v>
      </c>
      <c r="F883" s="36" t="s">
        <v>228</v>
      </c>
      <c r="G883" s="36" t="s">
        <v>901</v>
      </c>
      <c r="H883" s="36">
        <v>1</v>
      </c>
      <c r="I883" s="36" t="s">
        <v>179</v>
      </c>
      <c r="J883" s="36">
        <f>YEAR(RESER3[[#This Row],[DATA]])</f>
        <v>2022</v>
      </c>
      <c r="K883" s="36">
        <f t="shared" si="18"/>
        <v>2</v>
      </c>
      <c r="L883" s="36">
        <f>DAY(RESER3[[#This Row],[DATA]])</f>
        <v>7</v>
      </c>
      <c r="M883" s="36"/>
    </row>
    <row r="884" spans="1:13" x14ac:dyDescent="0.25">
      <c r="A884" s="36"/>
      <c r="B884" s="129" t="s">
        <v>112</v>
      </c>
      <c r="C884" s="28">
        <v>44599</v>
      </c>
      <c r="D884" s="36" t="s">
        <v>189</v>
      </c>
      <c r="E884" s="36" t="s">
        <v>222</v>
      </c>
      <c r="F884" s="36" t="s">
        <v>915</v>
      </c>
      <c r="G884" s="36" t="s">
        <v>916</v>
      </c>
      <c r="H884" s="36">
        <v>1</v>
      </c>
      <c r="I884" s="36" t="s">
        <v>179</v>
      </c>
      <c r="J884" s="36">
        <f>YEAR(RESER3[[#This Row],[DATA]])</f>
        <v>2022</v>
      </c>
      <c r="K884" s="36">
        <f t="shared" si="18"/>
        <v>2</v>
      </c>
      <c r="L884" s="36">
        <f>DAY(RESER3[[#This Row],[DATA]])</f>
        <v>7</v>
      </c>
      <c r="M884" s="36"/>
    </row>
    <row r="885" spans="1:13" x14ac:dyDescent="0.25">
      <c r="A885" s="36"/>
      <c r="B885" s="129" t="s">
        <v>7</v>
      </c>
      <c r="C885" s="28">
        <v>44599</v>
      </c>
      <c r="D885" s="36" t="s">
        <v>189</v>
      </c>
      <c r="E885" s="36" t="s">
        <v>222</v>
      </c>
      <c r="F885" s="36" t="s">
        <v>228</v>
      </c>
      <c r="G885" s="36" t="s">
        <v>901</v>
      </c>
      <c r="H885" s="36">
        <v>1</v>
      </c>
      <c r="I885" s="36" t="s">
        <v>179</v>
      </c>
      <c r="J885" s="36">
        <f>YEAR(RESER3[[#This Row],[DATA]])</f>
        <v>2022</v>
      </c>
      <c r="K885" s="36">
        <f t="shared" si="18"/>
        <v>2</v>
      </c>
      <c r="L885" s="36">
        <f>DAY(RESER3[[#This Row],[DATA]])</f>
        <v>7</v>
      </c>
      <c r="M885" s="36"/>
    </row>
    <row r="886" spans="1:13" x14ac:dyDescent="0.25">
      <c r="A886" s="36"/>
      <c r="B886" s="129" t="s">
        <v>7</v>
      </c>
      <c r="C886" s="170" t="s">
        <v>917</v>
      </c>
      <c r="D886" s="36" t="s">
        <v>189</v>
      </c>
      <c r="E886" s="36" t="s">
        <v>462</v>
      </c>
      <c r="F886" s="36" t="s">
        <v>915</v>
      </c>
      <c r="G886" s="36" t="s">
        <v>916</v>
      </c>
      <c r="H886" s="36">
        <v>1</v>
      </c>
      <c r="I886" s="36" t="s">
        <v>179</v>
      </c>
      <c r="J886" s="36">
        <f>YEAR(RESER3[[#This Row],[DATA]])</f>
        <v>2022</v>
      </c>
      <c r="K886" s="36">
        <f t="shared" si="18"/>
        <v>2</v>
      </c>
      <c r="L886" s="36">
        <f>DAY(RESER3[[#This Row],[DATA]])</f>
        <v>7</v>
      </c>
      <c r="M886" s="36"/>
    </row>
    <row r="887" spans="1:13" x14ac:dyDescent="0.25">
      <c r="A887" s="36"/>
      <c r="B887" s="129" t="s">
        <v>14</v>
      </c>
      <c r="C887" s="28">
        <v>44599</v>
      </c>
      <c r="D887" s="36" t="s">
        <v>189</v>
      </c>
      <c r="E887" s="36" t="s">
        <v>222</v>
      </c>
      <c r="F887" s="36" t="s">
        <v>194</v>
      </c>
      <c r="G887" s="36" t="s">
        <v>473</v>
      </c>
      <c r="H887" s="36">
        <v>1</v>
      </c>
      <c r="I887" s="36" t="s">
        <v>179</v>
      </c>
      <c r="J887" s="36">
        <f>YEAR(RESER3[[#This Row],[DATA]])</f>
        <v>2022</v>
      </c>
      <c r="K887" s="36">
        <f>MONTH(RESER3[[#This Row],[DATA]])</f>
        <v>2</v>
      </c>
      <c r="L887" s="36">
        <f>DAY(RESER3[[#This Row],[DATA]])</f>
        <v>7</v>
      </c>
      <c r="M887" s="36"/>
    </row>
    <row r="888" spans="1:13" x14ac:dyDescent="0.25">
      <c r="A888" s="36"/>
      <c r="B888" s="129" t="s">
        <v>112</v>
      </c>
      <c r="C888" s="28">
        <v>44600</v>
      </c>
      <c r="D888" s="36" t="s">
        <v>189</v>
      </c>
      <c r="E888" s="36" t="s">
        <v>462</v>
      </c>
      <c r="F888" s="36" t="s">
        <v>265</v>
      </c>
      <c r="G888" s="36" t="s">
        <v>477</v>
      </c>
      <c r="H888" s="36">
        <v>1</v>
      </c>
      <c r="I888" s="36" t="s">
        <v>179</v>
      </c>
      <c r="J888" s="36">
        <f>YEAR(RESER3[[#This Row],[DATA]])</f>
        <v>2022</v>
      </c>
      <c r="K888" s="36">
        <f t="shared" ref="K888:K899" si="19">MONTH(C888)</f>
        <v>2</v>
      </c>
      <c r="L888" s="36">
        <f>DAY(RESER3[[#This Row],[DATA]])</f>
        <v>8</v>
      </c>
      <c r="M888" s="36"/>
    </row>
    <row r="889" spans="1:13" x14ac:dyDescent="0.25">
      <c r="A889" s="36"/>
      <c r="B889" s="129" t="s">
        <v>41</v>
      </c>
      <c r="C889" s="28">
        <v>44600</v>
      </c>
      <c r="D889" s="36" t="s">
        <v>189</v>
      </c>
      <c r="E889" s="36" t="s">
        <v>462</v>
      </c>
      <c r="F889" s="36" t="s">
        <v>228</v>
      </c>
      <c r="G889" s="36" t="s">
        <v>901</v>
      </c>
      <c r="H889" s="36">
        <v>1</v>
      </c>
      <c r="I889" s="36" t="s">
        <v>179</v>
      </c>
      <c r="J889" s="36">
        <f>YEAR(RESER3[[#This Row],[DATA]])</f>
        <v>2022</v>
      </c>
      <c r="K889" s="36">
        <f t="shared" si="19"/>
        <v>2</v>
      </c>
      <c r="L889" s="36">
        <f>DAY(RESER3[[#This Row],[DATA]])</f>
        <v>8</v>
      </c>
      <c r="M889" s="36"/>
    </row>
    <row r="890" spans="1:13" x14ac:dyDescent="0.25">
      <c r="A890" s="36"/>
      <c r="B890" s="129" t="s">
        <v>7</v>
      </c>
      <c r="C890" s="28">
        <v>44600</v>
      </c>
      <c r="D890" s="36" t="s">
        <v>189</v>
      </c>
      <c r="E890" s="36" t="s">
        <v>222</v>
      </c>
      <c r="F890" s="36" t="s">
        <v>194</v>
      </c>
      <c r="G890" s="36" t="s">
        <v>475</v>
      </c>
      <c r="H890" s="36">
        <v>1</v>
      </c>
      <c r="I890" s="36" t="s">
        <v>179</v>
      </c>
      <c r="J890" s="36">
        <f>YEAR(RESER3[[#This Row],[DATA]])</f>
        <v>2022</v>
      </c>
      <c r="K890" s="36">
        <f t="shared" si="19"/>
        <v>2</v>
      </c>
      <c r="L890" s="36">
        <f>DAY(RESER3[[#This Row],[DATA]])</f>
        <v>8</v>
      </c>
      <c r="M890" s="36"/>
    </row>
    <row r="891" spans="1:13" x14ac:dyDescent="0.25">
      <c r="A891" s="36"/>
      <c r="B891" s="129" t="s">
        <v>41</v>
      </c>
      <c r="C891" s="28">
        <v>44600</v>
      </c>
      <c r="D891" s="36" t="s">
        <v>189</v>
      </c>
      <c r="E891" s="36" t="s">
        <v>222</v>
      </c>
      <c r="F891" s="36" t="s">
        <v>228</v>
      </c>
      <c r="G891" s="36" t="s">
        <v>901</v>
      </c>
      <c r="H891" s="36">
        <v>1</v>
      </c>
      <c r="I891" s="36" t="s">
        <v>179</v>
      </c>
      <c r="J891" s="36">
        <f>YEAR(RESER3[[#This Row],[DATA]])</f>
        <v>2022</v>
      </c>
      <c r="K891" s="36">
        <f t="shared" si="19"/>
        <v>2</v>
      </c>
      <c r="L891" s="36">
        <f>DAY(RESER3[[#This Row],[DATA]])</f>
        <v>8</v>
      </c>
      <c r="M891" s="36"/>
    </row>
    <row r="892" spans="1:13" x14ac:dyDescent="0.25">
      <c r="A892" s="36"/>
      <c r="B892" s="129" t="s">
        <v>10</v>
      </c>
      <c r="C892" s="28">
        <v>44600</v>
      </c>
      <c r="D892" s="36" t="s">
        <v>189</v>
      </c>
      <c r="E892" s="36" t="s">
        <v>222</v>
      </c>
      <c r="F892" s="36" t="s">
        <v>918</v>
      </c>
      <c r="G892" s="36" t="s">
        <v>919</v>
      </c>
      <c r="H892" s="36">
        <v>1</v>
      </c>
      <c r="I892" s="36" t="s">
        <v>179</v>
      </c>
      <c r="J892" s="36">
        <f>YEAR(RESER3[[#This Row],[DATA]])</f>
        <v>2022</v>
      </c>
      <c r="K892" s="36">
        <f t="shared" si="19"/>
        <v>2</v>
      </c>
      <c r="L892" s="36">
        <f>DAY(RESER3[[#This Row],[DATA]])</f>
        <v>8</v>
      </c>
      <c r="M892" s="36"/>
    </row>
    <row r="893" spans="1:13" x14ac:dyDescent="0.25">
      <c r="A893" s="36"/>
      <c r="B893" s="129" t="s">
        <v>8</v>
      </c>
      <c r="C893" s="28">
        <v>44600</v>
      </c>
      <c r="D893" s="36" t="s">
        <v>189</v>
      </c>
      <c r="E893" s="36" t="s">
        <v>222</v>
      </c>
      <c r="F893" s="36" t="s">
        <v>918</v>
      </c>
      <c r="G893" s="36" t="s">
        <v>919</v>
      </c>
      <c r="H893" s="36">
        <v>1</v>
      </c>
      <c r="I893" s="36" t="s">
        <v>179</v>
      </c>
      <c r="J893" s="36">
        <f>YEAR(RESER3[[#This Row],[DATA]])</f>
        <v>2022</v>
      </c>
      <c r="K893" s="36">
        <f t="shared" si="19"/>
        <v>2</v>
      </c>
      <c r="L893" s="36">
        <f>DAY(RESER3[[#This Row],[DATA]])</f>
        <v>8</v>
      </c>
      <c r="M893" s="36"/>
    </row>
    <row r="894" spans="1:13" x14ac:dyDescent="0.25">
      <c r="A894" s="36"/>
      <c r="B894" s="129" t="s">
        <v>41</v>
      </c>
      <c r="C894" s="28">
        <v>44600</v>
      </c>
      <c r="D894" s="36" t="s">
        <v>189</v>
      </c>
      <c r="E894" s="36" t="s">
        <v>462</v>
      </c>
      <c r="F894" s="36" t="s">
        <v>196</v>
      </c>
      <c r="G894" s="36" t="s">
        <v>790</v>
      </c>
      <c r="H894" s="36">
        <v>1</v>
      </c>
      <c r="I894" s="36" t="s">
        <v>179</v>
      </c>
      <c r="J894" s="36">
        <f>YEAR(RESER3[[#This Row],[DATA]])</f>
        <v>2022</v>
      </c>
      <c r="K894" s="36">
        <f t="shared" si="19"/>
        <v>2</v>
      </c>
      <c r="L894" s="36">
        <f>DAY(RESER3[[#This Row],[DATA]])</f>
        <v>8</v>
      </c>
      <c r="M894" s="36"/>
    </row>
    <row r="895" spans="1:13" x14ac:dyDescent="0.25">
      <c r="A895" s="36"/>
      <c r="B895" s="129" t="s">
        <v>10</v>
      </c>
      <c r="C895" s="28">
        <v>44600</v>
      </c>
      <c r="D895" s="36" t="s">
        <v>189</v>
      </c>
      <c r="E895" s="36" t="s">
        <v>222</v>
      </c>
      <c r="F895" s="36" t="s">
        <v>194</v>
      </c>
      <c r="G895" s="36" t="s">
        <v>475</v>
      </c>
      <c r="H895" s="36">
        <v>1</v>
      </c>
      <c r="I895" s="36" t="s">
        <v>179</v>
      </c>
      <c r="J895" s="36">
        <f>YEAR(RESER3[[#This Row],[DATA]])</f>
        <v>2022</v>
      </c>
      <c r="K895" s="36">
        <f t="shared" si="19"/>
        <v>2</v>
      </c>
      <c r="L895" s="36">
        <f>DAY(RESER3[[#This Row],[DATA]])</f>
        <v>8</v>
      </c>
      <c r="M895" s="36"/>
    </row>
    <row r="896" spans="1:13" x14ac:dyDescent="0.25">
      <c r="A896" s="36"/>
      <c r="B896" s="129" t="s">
        <v>112</v>
      </c>
      <c r="C896" s="28">
        <v>44600</v>
      </c>
      <c r="D896" s="36" t="s">
        <v>189</v>
      </c>
      <c r="E896" s="36" t="s">
        <v>462</v>
      </c>
      <c r="F896" s="36" t="s">
        <v>196</v>
      </c>
      <c r="G896" s="36" t="s">
        <v>790</v>
      </c>
      <c r="H896" s="36">
        <v>1</v>
      </c>
      <c r="I896" s="36" t="s">
        <v>179</v>
      </c>
      <c r="J896" s="36">
        <f>YEAR(RESER3[[#This Row],[DATA]])</f>
        <v>2022</v>
      </c>
      <c r="K896" s="36">
        <f t="shared" si="19"/>
        <v>2</v>
      </c>
      <c r="L896" s="36">
        <f>DAY(RESER3[[#This Row],[DATA]])</f>
        <v>8</v>
      </c>
      <c r="M896" s="36"/>
    </row>
    <row r="897" spans="1:13" x14ac:dyDescent="0.25">
      <c r="A897" s="36"/>
      <c r="B897" s="129" t="s">
        <v>112</v>
      </c>
      <c r="C897" s="28">
        <v>44600</v>
      </c>
      <c r="D897" s="36" t="s">
        <v>189</v>
      </c>
      <c r="E897" s="36" t="s">
        <v>462</v>
      </c>
      <c r="F897" s="36" t="s">
        <v>245</v>
      </c>
      <c r="G897" s="36" t="s">
        <v>474</v>
      </c>
      <c r="H897" s="36">
        <v>1</v>
      </c>
      <c r="I897" s="36" t="s">
        <v>179</v>
      </c>
      <c r="J897" s="36">
        <f>YEAR(RESER3[[#This Row],[DATA]])</f>
        <v>2022</v>
      </c>
      <c r="K897" s="36">
        <f t="shared" si="19"/>
        <v>2</v>
      </c>
      <c r="L897" s="36">
        <f>DAY(RESER3[[#This Row],[DATA]])</f>
        <v>8</v>
      </c>
      <c r="M897" s="36"/>
    </row>
    <row r="898" spans="1:13" x14ac:dyDescent="0.25">
      <c r="A898" s="36"/>
      <c r="B898" s="129" t="s">
        <v>5</v>
      </c>
      <c r="C898" s="28">
        <v>44601</v>
      </c>
      <c r="D898" s="36" t="s">
        <v>189</v>
      </c>
      <c r="E898" s="36" t="s">
        <v>222</v>
      </c>
      <c r="F898" s="36" t="s">
        <v>196</v>
      </c>
      <c r="G898" s="36" t="s">
        <v>790</v>
      </c>
      <c r="H898" s="36">
        <v>1</v>
      </c>
      <c r="I898" s="36" t="s">
        <v>179</v>
      </c>
      <c r="J898" s="36">
        <f>YEAR(RESER3[[#This Row],[DATA]])</f>
        <v>2022</v>
      </c>
      <c r="K898" s="36">
        <f t="shared" si="19"/>
        <v>2</v>
      </c>
      <c r="L898" s="36">
        <f>DAY(RESER3[[#This Row],[DATA]])</f>
        <v>9</v>
      </c>
      <c r="M898" s="36"/>
    </row>
    <row r="899" spans="1:13" x14ac:dyDescent="0.25">
      <c r="A899" s="36"/>
      <c r="B899" s="129" t="s">
        <v>5</v>
      </c>
      <c r="C899" s="28">
        <v>44601</v>
      </c>
      <c r="D899" s="36" t="s">
        <v>189</v>
      </c>
      <c r="E899" s="36" t="s">
        <v>462</v>
      </c>
      <c r="F899" s="36" t="s">
        <v>265</v>
      </c>
      <c r="G899" s="36" t="s">
        <v>477</v>
      </c>
      <c r="H899" s="36">
        <v>1</v>
      </c>
      <c r="I899" s="36" t="s">
        <v>179</v>
      </c>
      <c r="J899" s="36">
        <f>YEAR(RESER3[[#This Row],[DATA]])</f>
        <v>2022</v>
      </c>
      <c r="K899" s="36">
        <f t="shared" si="19"/>
        <v>2</v>
      </c>
      <c r="L899" s="36">
        <f>DAY(RESER3[[#This Row],[DATA]])</f>
        <v>9</v>
      </c>
      <c r="M899" s="36"/>
    </row>
    <row r="900" spans="1:13" x14ac:dyDescent="0.25">
      <c r="A900" s="36"/>
      <c r="B900" s="129" t="s">
        <v>18</v>
      </c>
      <c r="C900" s="28">
        <v>44602</v>
      </c>
      <c r="D900" s="36" t="s">
        <v>189</v>
      </c>
      <c r="E900" s="36" t="s">
        <v>462</v>
      </c>
      <c r="F900" s="36" t="s">
        <v>228</v>
      </c>
      <c r="G900" s="36" t="s">
        <v>486</v>
      </c>
      <c r="H900" s="36">
        <v>1</v>
      </c>
      <c r="I900" s="36" t="s">
        <v>179</v>
      </c>
      <c r="J900" s="36">
        <f>YEAR(RESER3[[#This Row],[DATA]])</f>
        <v>2022</v>
      </c>
      <c r="K900" s="36">
        <f>MONTH(RESER3[[#This Row],[DATA]])</f>
        <v>2</v>
      </c>
      <c r="L900" s="36">
        <f>DAY(RESER3[[#This Row],[DATA]])</f>
        <v>10</v>
      </c>
      <c r="M900" s="36"/>
    </row>
    <row r="901" spans="1:13" x14ac:dyDescent="0.25">
      <c r="A901" s="36"/>
      <c r="B901" s="129" t="s">
        <v>40</v>
      </c>
      <c r="C901" s="28">
        <v>44602</v>
      </c>
      <c r="D901" s="36" t="s">
        <v>189</v>
      </c>
      <c r="E901" s="36" t="s">
        <v>222</v>
      </c>
      <c r="F901" s="36" t="s">
        <v>228</v>
      </c>
      <c r="G901" s="36" t="s">
        <v>486</v>
      </c>
      <c r="H901" s="36">
        <v>1</v>
      </c>
      <c r="I901" s="36" t="s">
        <v>179</v>
      </c>
      <c r="J901" s="36">
        <f>YEAR(RESER3[[#This Row],[DATA]])</f>
        <v>2022</v>
      </c>
      <c r="K901" s="36">
        <f t="shared" ref="K901:K908" si="20">MONTH(C901)</f>
        <v>2</v>
      </c>
      <c r="L901" s="36">
        <f>DAY(RESER3[[#This Row],[DATA]])</f>
        <v>10</v>
      </c>
      <c r="M901" s="36"/>
    </row>
    <row r="902" spans="1:13" x14ac:dyDescent="0.25">
      <c r="A902" s="36"/>
      <c r="B902" s="129" t="s">
        <v>40</v>
      </c>
      <c r="C902" s="28">
        <v>44602</v>
      </c>
      <c r="D902" s="36" t="s">
        <v>189</v>
      </c>
      <c r="E902" s="36" t="s">
        <v>222</v>
      </c>
      <c r="F902" s="36" t="s">
        <v>194</v>
      </c>
      <c r="G902" s="36" t="s">
        <v>475</v>
      </c>
      <c r="H902" s="36">
        <v>1</v>
      </c>
      <c r="I902" s="36" t="s">
        <v>179</v>
      </c>
      <c r="J902" s="36">
        <f>YEAR(RESER3[[#This Row],[DATA]])</f>
        <v>2022</v>
      </c>
      <c r="K902" s="36">
        <f t="shared" si="20"/>
        <v>2</v>
      </c>
      <c r="L902" s="36">
        <f>DAY(RESER3[[#This Row],[DATA]])</f>
        <v>10</v>
      </c>
      <c r="M902" s="36"/>
    </row>
    <row r="903" spans="1:13" x14ac:dyDescent="0.25">
      <c r="A903" s="36"/>
      <c r="B903" s="129" t="s">
        <v>7</v>
      </c>
      <c r="C903" s="28">
        <v>44602</v>
      </c>
      <c r="D903" s="36" t="s">
        <v>189</v>
      </c>
      <c r="E903" s="36" t="s">
        <v>462</v>
      </c>
      <c r="F903" s="36" t="s">
        <v>915</v>
      </c>
      <c r="G903" s="36" t="s">
        <v>916</v>
      </c>
      <c r="H903" s="36">
        <v>1</v>
      </c>
      <c r="I903" s="36" t="s">
        <v>179</v>
      </c>
      <c r="J903" s="36">
        <f>YEAR(RESER3[[#This Row],[DATA]])</f>
        <v>2022</v>
      </c>
      <c r="K903" s="36">
        <f t="shared" si="20"/>
        <v>2</v>
      </c>
      <c r="L903" s="36">
        <f>DAY(RESER3[[#This Row],[DATA]])</f>
        <v>10</v>
      </c>
      <c r="M903" s="36"/>
    </row>
    <row r="904" spans="1:13" x14ac:dyDescent="0.25">
      <c r="A904" s="36"/>
      <c r="B904" s="129" t="s">
        <v>7</v>
      </c>
      <c r="C904" s="28">
        <v>44602</v>
      </c>
      <c r="D904" s="36" t="s">
        <v>189</v>
      </c>
      <c r="E904" s="36" t="s">
        <v>462</v>
      </c>
      <c r="F904" s="36" t="s">
        <v>202</v>
      </c>
      <c r="G904" s="36" t="s">
        <v>904</v>
      </c>
      <c r="H904" s="36">
        <v>1</v>
      </c>
      <c r="I904" s="36" t="s">
        <v>179</v>
      </c>
      <c r="J904" s="36">
        <f>YEAR(RESER3[[#This Row],[DATA]])</f>
        <v>2022</v>
      </c>
      <c r="K904" s="36">
        <f t="shared" si="20"/>
        <v>2</v>
      </c>
      <c r="L904" s="36">
        <f>DAY(RESER3[[#This Row],[DATA]])</f>
        <v>10</v>
      </c>
      <c r="M904" s="36"/>
    </row>
    <row r="905" spans="1:13" x14ac:dyDescent="0.25">
      <c r="A905" s="36"/>
      <c r="B905" s="129" t="s">
        <v>4</v>
      </c>
      <c r="C905" s="28">
        <v>44602</v>
      </c>
      <c r="D905" s="36" t="s">
        <v>189</v>
      </c>
      <c r="E905" s="36" t="s">
        <v>462</v>
      </c>
      <c r="F905" s="36" t="s">
        <v>194</v>
      </c>
      <c r="G905" s="36" t="s">
        <v>475</v>
      </c>
      <c r="H905" s="36">
        <v>1</v>
      </c>
      <c r="I905" s="36" t="s">
        <v>179</v>
      </c>
      <c r="J905" s="36">
        <f>YEAR(RESER3[[#This Row],[DATA]])</f>
        <v>2022</v>
      </c>
      <c r="K905" s="36">
        <f t="shared" si="20"/>
        <v>2</v>
      </c>
      <c r="L905" s="36">
        <f>DAY(RESER3[[#This Row],[DATA]])</f>
        <v>10</v>
      </c>
      <c r="M905" s="36"/>
    </row>
    <row r="906" spans="1:13" x14ac:dyDescent="0.25">
      <c r="A906" s="36"/>
      <c r="B906" s="129" t="s">
        <v>9</v>
      </c>
      <c r="C906" s="28">
        <v>44602</v>
      </c>
      <c r="D906" s="36" t="s">
        <v>189</v>
      </c>
      <c r="E906" s="36" t="s">
        <v>462</v>
      </c>
      <c r="F906" s="36" t="s">
        <v>202</v>
      </c>
      <c r="G906" s="36" t="s">
        <v>904</v>
      </c>
      <c r="H906" s="36">
        <v>1</v>
      </c>
      <c r="I906" s="36" t="s">
        <v>179</v>
      </c>
      <c r="J906" s="36">
        <f>YEAR(RESER3[[#This Row],[DATA]])</f>
        <v>2022</v>
      </c>
      <c r="K906" s="36">
        <f t="shared" si="20"/>
        <v>2</v>
      </c>
      <c r="L906" s="36">
        <f>DAY(RESER3[[#This Row],[DATA]])</f>
        <v>10</v>
      </c>
      <c r="M906" s="36"/>
    </row>
    <row r="907" spans="1:13" x14ac:dyDescent="0.25">
      <c r="A907" s="36"/>
      <c r="B907" s="129" t="s">
        <v>5</v>
      </c>
      <c r="C907" s="28">
        <v>44602</v>
      </c>
      <c r="D907" s="36" t="s">
        <v>189</v>
      </c>
      <c r="E907" s="36" t="s">
        <v>222</v>
      </c>
      <c r="F907" s="36" t="s">
        <v>915</v>
      </c>
      <c r="G907" s="36" t="s">
        <v>916</v>
      </c>
      <c r="H907" s="36">
        <v>1</v>
      </c>
      <c r="I907" s="36" t="s">
        <v>179</v>
      </c>
      <c r="J907" s="36">
        <f>YEAR(RESER3[[#This Row],[DATA]])</f>
        <v>2022</v>
      </c>
      <c r="K907" s="36">
        <f t="shared" si="20"/>
        <v>2</v>
      </c>
      <c r="L907" s="36">
        <f>DAY(RESER3[[#This Row],[DATA]])</f>
        <v>10</v>
      </c>
      <c r="M907" s="36"/>
    </row>
    <row r="908" spans="1:13" x14ac:dyDescent="0.25">
      <c r="A908" s="36"/>
      <c r="B908" s="129" t="s">
        <v>112</v>
      </c>
      <c r="C908" s="28">
        <v>44602</v>
      </c>
      <c r="D908" s="36" t="s">
        <v>189</v>
      </c>
      <c r="E908" s="36" t="s">
        <v>222</v>
      </c>
      <c r="F908" s="36" t="s">
        <v>202</v>
      </c>
      <c r="G908" s="36" t="s">
        <v>904</v>
      </c>
      <c r="H908" s="36">
        <v>1</v>
      </c>
      <c r="I908" s="36" t="s">
        <v>179</v>
      </c>
      <c r="J908" s="36">
        <f>YEAR(RESER3[[#This Row],[DATA]])</f>
        <v>2022</v>
      </c>
      <c r="K908" s="36">
        <f t="shared" si="20"/>
        <v>2</v>
      </c>
      <c r="L908" s="36">
        <f>DAY(RESER3[[#This Row],[DATA]])</f>
        <v>10</v>
      </c>
      <c r="M908" s="36"/>
    </row>
    <row r="909" spans="1:13" x14ac:dyDescent="0.25">
      <c r="A909" s="36"/>
      <c r="B909" s="129" t="s">
        <v>14</v>
      </c>
      <c r="C909" s="28">
        <v>44602</v>
      </c>
      <c r="D909" s="36" t="s">
        <v>189</v>
      </c>
      <c r="E909" s="36" t="s">
        <v>462</v>
      </c>
      <c r="F909" s="36" t="s">
        <v>228</v>
      </c>
      <c r="G909" s="36" t="s">
        <v>486</v>
      </c>
      <c r="H909" s="36">
        <v>1</v>
      </c>
      <c r="I909" s="36" t="s">
        <v>179</v>
      </c>
      <c r="J909" s="36">
        <f>YEAR(RESER3[[#This Row],[DATA]])</f>
        <v>2022</v>
      </c>
      <c r="K909" s="36">
        <f>MONTH(RESER3[[#This Row],[DATA]])</f>
        <v>2</v>
      </c>
      <c r="L909" s="36">
        <f>DAY(RESER3[[#This Row],[DATA]])</f>
        <v>10</v>
      </c>
      <c r="M909" s="36"/>
    </row>
    <row r="910" spans="1:13" x14ac:dyDescent="0.25">
      <c r="A910" s="36"/>
      <c r="B910" s="129" t="s">
        <v>7</v>
      </c>
      <c r="C910" s="28">
        <v>44603</v>
      </c>
      <c r="D910" s="36" t="s">
        <v>189</v>
      </c>
      <c r="E910" s="36" t="s">
        <v>222</v>
      </c>
      <c r="F910" s="36" t="s">
        <v>196</v>
      </c>
      <c r="G910" s="36" t="s">
        <v>790</v>
      </c>
      <c r="H910" s="36">
        <v>1</v>
      </c>
      <c r="I910" s="36" t="s">
        <v>179</v>
      </c>
      <c r="J910" s="36">
        <f>YEAR(RESER3[[#This Row],[DATA]])</f>
        <v>2022</v>
      </c>
      <c r="K910" s="36">
        <f>MONTH(C910)</f>
        <v>2</v>
      </c>
      <c r="L910" s="36">
        <f>DAY(RESER3[[#This Row],[DATA]])</f>
        <v>11</v>
      </c>
      <c r="M910" s="36"/>
    </row>
    <row r="911" spans="1:13" x14ac:dyDescent="0.25">
      <c r="A911" s="36"/>
      <c r="B911" s="129" t="s">
        <v>13</v>
      </c>
      <c r="C911" s="28">
        <v>44603</v>
      </c>
      <c r="D911" s="36" t="s">
        <v>189</v>
      </c>
      <c r="E911" s="36" t="s">
        <v>222</v>
      </c>
      <c r="F911" s="36" t="s">
        <v>894</v>
      </c>
      <c r="G911" s="36" t="s">
        <v>895</v>
      </c>
      <c r="H911" s="36">
        <v>1</v>
      </c>
      <c r="I911" s="36" t="s">
        <v>179</v>
      </c>
      <c r="J911" s="36">
        <f>YEAR(RESER3[[#This Row],[DATA]])</f>
        <v>2022</v>
      </c>
      <c r="K911" s="36">
        <f>MONTH(RESER3[[#This Row],[DATA]])</f>
        <v>2</v>
      </c>
      <c r="L911" s="36">
        <f>DAY(RESER3[[#This Row],[DATA]])</f>
        <v>11</v>
      </c>
      <c r="M911" s="36"/>
    </row>
    <row r="912" spans="1:13" x14ac:dyDescent="0.25">
      <c r="A912" s="36"/>
      <c r="B912" s="129" t="s">
        <v>7</v>
      </c>
      <c r="C912" s="28">
        <v>44606</v>
      </c>
      <c r="D912" s="36" t="s">
        <v>189</v>
      </c>
      <c r="E912" s="36" t="s">
        <v>462</v>
      </c>
      <c r="F912" s="36" t="s">
        <v>196</v>
      </c>
      <c r="G912" s="36" t="s">
        <v>790</v>
      </c>
      <c r="H912" s="36">
        <v>1</v>
      </c>
      <c r="I912" s="36" t="s">
        <v>179</v>
      </c>
      <c r="J912" s="36">
        <f>YEAR(RESER3[[#This Row],[DATA]])</f>
        <v>2022</v>
      </c>
      <c r="K912" s="36">
        <f t="shared" ref="K912:K917" si="21">MONTH(C912)</f>
        <v>2</v>
      </c>
      <c r="L912" s="36">
        <f>DAY(RESER3[[#This Row],[DATA]])</f>
        <v>14</v>
      </c>
      <c r="M912" s="36"/>
    </row>
    <row r="913" spans="1:13" x14ac:dyDescent="0.25">
      <c r="A913" s="36"/>
      <c r="B913" s="129" t="s">
        <v>10</v>
      </c>
      <c r="C913" s="28">
        <v>44606</v>
      </c>
      <c r="D913" s="36" t="s">
        <v>189</v>
      </c>
      <c r="E913" s="36" t="s">
        <v>222</v>
      </c>
      <c r="F913" s="36" t="s">
        <v>245</v>
      </c>
      <c r="G913" s="36" t="s">
        <v>474</v>
      </c>
      <c r="H913" s="36">
        <v>1</v>
      </c>
      <c r="I913" s="36" t="s">
        <v>179</v>
      </c>
      <c r="J913" s="36">
        <f>YEAR(RESER3[[#This Row],[DATA]])</f>
        <v>2022</v>
      </c>
      <c r="K913" s="36">
        <f t="shared" si="21"/>
        <v>2</v>
      </c>
      <c r="L913" s="36">
        <f>DAY(RESER3[[#This Row],[DATA]])</f>
        <v>14</v>
      </c>
      <c r="M913" s="36"/>
    </row>
    <row r="914" spans="1:13" x14ac:dyDescent="0.25">
      <c r="A914" s="36"/>
      <c r="B914" s="129" t="s">
        <v>112</v>
      </c>
      <c r="C914" s="28">
        <v>44606</v>
      </c>
      <c r="D914" s="36" t="s">
        <v>189</v>
      </c>
      <c r="E914" s="36" t="s">
        <v>462</v>
      </c>
      <c r="F914" s="36" t="s">
        <v>202</v>
      </c>
      <c r="G914" s="36" t="s">
        <v>904</v>
      </c>
      <c r="H914" s="36">
        <v>1</v>
      </c>
      <c r="I914" s="36" t="s">
        <v>179</v>
      </c>
      <c r="J914" s="36">
        <f>YEAR(RESER3[[#This Row],[DATA]])</f>
        <v>2022</v>
      </c>
      <c r="K914" s="36">
        <f t="shared" si="21"/>
        <v>2</v>
      </c>
      <c r="L914" s="36">
        <f>DAY(RESER3[[#This Row],[DATA]])</f>
        <v>14</v>
      </c>
      <c r="M914" s="36"/>
    </row>
    <row r="915" spans="1:13" x14ac:dyDescent="0.25">
      <c r="A915" s="36"/>
      <c r="B915" s="129" t="s">
        <v>4</v>
      </c>
      <c r="C915" s="28">
        <v>44606</v>
      </c>
      <c r="D915" s="36" t="s">
        <v>189</v>
      </c>
      <c r="E915" s="36" t="s">
        <v>222</v>
      </c>
      <c r="F915" s="36" t="s">
        <v>196</v>
      </c>
      <c r="G915" s="36" t="s">
        <v>790</v>
      </c>
      <c r="H915" s="36">
        <v>1</v>
      </c>
      <c r="I915" s="36" t="s">
        <v>179</v>
      </c>
      <c r="J915" s="36">
        <f>YEAR(RESER3[[#This Row],[DATA]])</f>
        <v>2022</v>
      </c>
      <c r="K915" s="36">
        <f t="shared" si="21"/>
        <v>2</v>
      </c>
      <c r="L915" s="36">
        <f>DAY(RESER3[[#This Row],[DATA]])</f>
        <v>14</v>
      </c>
      <c r="M915" s="36"/>
    </row>
    <row r="916" spans="1:13" x14ac:dyDescent="0.25">
      <c r="A916" s="36"/>
      <c r="B916" s="129" t="s">
        <v>112</v>
      </c>
      <c r="C916" s="28">
        <v>44606</v>
      </c>
      <c r="D916" s="36" t="s">
        <v>189</v>
      </c>
      <c r="E916" s="36" t="s">
        <v>462</v>
      </c>
      <c r="F916" s="36" t="s">
        <v>194</v>
      </c>
      <c r="G916" s="36" t="s">
        <v>475</v>
      </c>
      <c r="H916" s="36">
        <v>1</v>
      </c>
      <c r="I916" s="36" t="s">
        <v>179</v>
      </c>
      <c r="J916" s="36">
        <f>YEAR(RESER3[[#This Row],[DATA]])</f>
        <v>2022</v>
      </c>
      <c r="K916" s="36">
        <f t="shared" si="21"/>
        <v>2</v>
      </c>
      <c r="L916" s="36">
        <f>DAY(RESER3[[#This Row],[DATA]])</f>
        <v>14</v>
      </c>
      <c r="M916" s="36"/>
    </row>
    <row r="917" spans="1:13" x14ac:dyDescent="0.25">
      <c r="A917" s="36"/>
      <c r="B917" s="129" t="s">
        <v>112</v>
      </c>
      <c r="C917" s="28">
        <v>44606</v>
      </c>
      <c r="D917" s="36" t="s">
        <v>189</v>
      </c>
      <c r="E917" s="36" t="s">
        <v>222</v>
      </c>
      <c r="F917" s="36" t="s">
        <v>245</v>
      </c>
      <c r="G917" s="36" t="s">
        <v>474</v>
      </c>
      <c r="H917" s="36">
        <v>1</v>
      </c>
      <c r="I917" s="36" t="s">
        <v>179</v>
      </c>
      <c r="J917" s="36">
        <f>YEAR(RESER3[[#This Row],[DATA]])</f>
        <v>2022</v>
      </c>
      <c r="K917" s="36">
        <f t="shared" si="21"/>
        <v>2</v>
      </c>
      <c r="L917" s="36">
        <f>DAY(RESER3[[#This Row],[DATA]])</f>
        <v>14</v>
      </c>
      <c r="M917" s="36"/>
    </row>
    <row r="918" spans="1:13" x14ac:dyDescent="0.25">
      <c r="A918" s="36"/>
      <c r="B918" s="129" t="s">
        <v>18</v>
      </c>
      <c r="C918" s="28">
        <v>44606</v>
      </c>
      <c r="D918" s="36" t="s">
        <v>189</v>
      </c>
      <c r="E918" s="36" t="s">
        <v>462</v>
      </c>
      <c r="F918" s="36" t="s">
        <v>194</v>
      </c>
      <c r="G918" s="36" t="s">
        <v>473</v>
      </c>
      <c r="H918" s="36">
        <v>1</v>
      </c>
      <c r="I918" s="36" t="s">
        <v>179</v>
      </c>
      <c r="J918" s="36">
        <f>YEAR(RESER3[[#This Row],[DATA]])</f>
        <v>2022</v>
      </c>
      <c r="K918" s="36">
        <f>MONTH(RESER3[[#This Row],[DATA]])</f>
        <v>2</v>
      </c>
      <c r="L918" s="36">
        <f>DAY(RESER3[[#This Row],[DATA]])</f>
        <v>14</v>
      </c>
      <c r="M918" s="36"/>
    </row>
    <row r="919" spans="1:13" x14ac:dyDescent="0.25">
      <c r="A919" s="36"/>
      <c r="B919" s="129" t="s">
        <v>897</v>
      </c>
      <c r="C919" s="28">
        <v>44606</v>
      </c>
      <c r="D919" s="36" t="s">
        <v>189</v>
      </c>
      <c r="E919" s="36" t="s">
        <v>462</v>
      </c>
      <c r="F919" s="36" t="s">
        <v>228</v>
      </c>
      <c r="G919" s="36" t="s">
        <v>467</v>
      </c>
      <c r="H919" s="36">
        <v>1</v>
      </c>
      <c r="I919" s="36" t="s">
        <v>179</v>
      </c>
      <c r="J919" s="36">
        <f>YEAR(RESER3[[#This Row],[DATA]])</f>
        <v>2022</v>
      </c>
      <c r="K919" s="36">
        <f>MONTH(RESER3[[#This Row],[DATA]])</f>
        <v>2</v>
      </c>
      <c r="L919" s="36">
        <f>DAY(RESER3[[#This Row],[DATA]])</f>
        <v>14</v>
      </c>
      <c r="M919" s="36"/>
    </row>
    <row r="920" spans="1:13" x14ac:dyDescent="0.25">
      <c r="A920" s="36"/>
      <c r="B920" s="129" t="s">
        <v>8</v>
      </c>
      <c r="C920" s="28">
        <v>44607</v>
      </c>
      <c r="D920" s="36" t="s">
        <v>189</v>
      </c>
      <c r="E920" s="36" t="s">
        <v>222</v>
      </c>
      <c r="F920" s="36" t="s">
        <v>196</v>
      </c>
      <c r="G920" s="36" t="s">
        <v>790</v>
      </c>
      <c r="H920" s="36">
        <v>1</v>
      </c>
      <c r="I920" s="36" t="s">
        <v>179</v>
      </c>
      <c r="J920" s="36">
        <f>YEAR(RESER3[[#This Row],[DATA]])</f>
        <v>2022</v>
      </c>
      <c r="K920" s="36">
        <f t="shared" ref="K920:K925" si="22">MONTH(C920)</f>
        <v>2</v>
      </c>
      <c r="L920" s="36">
        <f>DAY(RESER3[[#This Row],[DATA]])</f>
        <v>15</v>
      </c>
      <c r="M920" s="36"/>
    </row>
    <row r="921" spans="1:13" x14ac:dyDescent="0.25">
      <c r="A921" s="36"/>
      <c r="B921" s="129" t="s">
        <v>112</v>
      </c>
      <c r="C921" s="28">
        <v>44607</v>
      </c>
      <c r="D921" s="36" t="s">
        <v>189</v>
      </c>
      <c r="E921" s="36" t="s">
        <v>462</v>
      </c>
      <c r="F921" s="36" t="s">
        <v>894</v>
      </c>
      <c r="G921" s="36" t="s">
        <v>907</v>
      </c>
      <c r="H921" s="36">
        <v>1</v>
      </c>
      <c r="I921" s="36" t="s">
        <v>179</v>
      </c>
      <c r="J921" s="36">
        <f>YEAR(RESER3[[#This Row],[DATA]])</f>
        <v>2022</v>
      </c>
      <c r="K921" s="36">
        <f t="shared" si="22"/>
        <v>2</v>
      </c>
      <c r="L921" s="36">
        <f>DAY(RESER3[[#This Row],[DATA]])</f>
        <v>15</v>
      </c>
      <c r="M921" s="36"/>
    </row>
    <row r="922" spans="1:13" x14ac:dyDescent="0.25">
      <c r="A922" s="36"/>
      <c r="B922" s="129" t="s">
        <v>40</v>
      </c>
      <c r="C922" s="28">
        <v>44607</v>
      </c>
      <c r="D922" s="36" t="s">
        <v>189</v>
      </c>
      <c r="E922" s="36" t="s">
        <v>222</v>
      </c>
      <c r="F922" s="36" t="s">
        <v>196</v>
      </c>
      <c r="G922" s="36" t="s">
        <v>790</v>
      </c>
      <c r="H922" s="36">
        <v>1</v>
      </c>
      <c r="I922" s="36" t="s">
        <v>179</v>
      </c>
      <c r="J922" s="36">
        <f>YEAR(RESER3[[#This Row],[DATA]])</f>
        <v>2022</v>
      </c>
      <c r="K922" s="36">
        <f t="shared" si="22"/>
        <v>2</v>
      </c>
      <c r="L922" s="36">
        <f>DAY(RESER3[[#This Row],[DATA]])</f>
        <v>15</v>
      </c>
      <c r="M922" s="36"/>
    </row>
    <row r="923" spans="1:13" x14ac:dyDescent="0.25">
      <c r="A923" s="36"/>
      <c r="B923" s="129" t="s">
        <v>7</v>
      </c>
      <c r="C923" s="28">
        <v>44607</v>
      </c>
      <c r="D923" s="36" t="s">
        <v>189</v>
      </c>
      <c r="E923" s="36" t="s">
        <v>462</v>
      </c>
      <c r="F923" s="36" t="s">
        <v>194</v>
      </c>
      <c r="G923" s="36" t="s">
        <v>475</v>
      </c>
      <c r="H923" s="36">
        <v>1</v>
      </c>
      <c r="I923" s="36" t="s">
        <v>179</v>
      </c>
      <c r="J923" s="36">
        <f>YEAR(RESER3[[#This Row],[DATA]])</f>
        <v>2022</v>
      </c>
      <c r="K923" s="36">
        <f t="shared" si="22"/>
        <v>2</v>
      </c>
      <c r="L923" s="36">
        <f>DAY(RESER3[[#This Row],[DATA]])</f>
        <v>15</v>
      </c>
      <c r="M923" s="36"/>
    </row>
    <row r="924" spans="1:13" x14ac:dyDescent="0.25">
      <c r="A924" s="36"/>
      <c r="B924" s="129" t="s">
        <v>5</v>
      </c>
      <c r="C924" s="28">
        <v>44607</v>
      </c>
      <c r="D924" s="36" t="s">
        <v>189</v>
      </c>
      <c r="E924" s="36" t="s">
        <v>462</v>
      </c>
      <c r="F924" s="36" t="s">
        <v>231</v>
      </c>
      <c r="G924" s="36" t="s">
        <v>909</v>
      </c>
      <c r="H924" s="36">
        <v>1</v>
      </c>
      <c r="I924" s="36" t="s">
        <v>179</v>
      </c>
      <c r="J924" s="36">
        <f>YEAR(RESER3[[#This Row],[DATA]])</f>
        <v>2022</v>
      </c>
      <c r="K924" s="36">
        <f t="shared" si="22"/>
        <v>2</v>
      </c>
      <c r="L924" s="36">
        <f>DAY(RESER3[[#This Row],[DATA]])</f>
        <v>15</v>
      </c>
      <c r="M924" s="36"/>
    </row>
    <row r="925" spans="1:13" x14ac:dyDescent="0.25">
      <c r="A925" s="36"/>
      <c r="B925" s="129" t="s">
        <v>41</v>
      </c>
      <c r="C925" s="28">
        <v>44607</v>
      </c>
      <c r="D925" s="36" t="s">
        <v>189</v>
      </c>
      <c r="E925" s="36" t="s">
        <v>222</v>
      </c>
      <c r="F925" s="36" t="s">
        <v>228</v>
      </c>
      <c r="G925" s="36" t="s">
        <v>901</v>
      </c>
      <c r="H925" s="36">
        <v>1</v>
      </c>
      <c r="I925" s="36" t="s">
        <v>179</v>
      </c>
      <c r="J925" s="36">
        <f>YEAR(RESER3[[#This Row],[DATA]])</f>
        <v>2022</v>
      </c>
      <c r="K925" s="36">
        <f t="shared" si="22"/>
        <v>2</v>
      </c>
      <c r="L925" s="36">
        <f>DAY(RESER3[[#This Row],[DATA]])</f>
        <v>15</v>
      </c>
      <c r="M925" s="36"/>
    </row>
    <row r="926" spans="1:13" x14ac:dyDescent="0.25">
      <c r="A926" s="36"/>
      <c r="B926" s="129" t="s">
        <v>21</v>
      </c>
      <c r="C926" s="28">
        <v>44608</v>
      </c>
      <c r="D926" s="36" t="s">
        <v>189</v>
      </c>
      <c r="E926" s="36" t="s">
        <v>222</v>
      </c>
      <c r="F926" s="36" t="s">
        <v>228</v>
      </c>
      <c r="G926" s="36" t="s">
        <v>467</v>
      </c>
      <c r="H926" s="36">
        <v>1</v>
      </c>
      <c r="I926" s="36" t="s">
        <v>179</v>
      </c>
      <c r="J926" s="36">
        <f>YEAR(RESER3[[#This Row],[DATA]])</f>
        <v>2022</v>
      </c>
      <c r="K926" s="36">
        <f>MONTH(RESER3[[#This Row],[DATA]])</f>
        <v>2</v>
      </c>
      <c r="L926" s="36">
        <f>DAY(RESER3[[#This Row],[DATA]])</f>
        <v>16</v>
      </c>
      <c r="M926" s="36"/>
    </row>
    <row r="927" spans="1:13" x14ac:dyDescent="0.25">
      <c r="A927" s="36"/>
      <c r="B927" s="129" t="s">
        <v>40</v>
      </c>
      <c r="C927" s="28">
        <v>44608</v>
      </c>
      <c r="D927" s="36" t="s">
        <v>189</v>
      </c>
      <c r="E927" s="36" t="s">
        <v>462</v>
      </c>
      <c r="F927" s="36" t="s">
        <v>228</v>
      </c>
      <c r="G927" s="36" t="s">
        <v>467</v>
      </c>
      <c r="H927" s="36">
        <v>1</v>
      </c>
      <c r="I927" s="36" t="s">
        <v>179</v>
      </c>
      <c r="J927" s="36">
        <f>YEAR(RESER3[[#This Row],[DATA]])</f>
        <v>2022</v>
      </c>
      <c r="K927" s="36">
        <f t="shared" ref="K927:K932" si="23">MONTH(C927)</f>
        <v>2</v>
      </c>
      <c r="L927" s="36">
        <f>DAY(RESER3[[#This Row],[DATA]])</f>
        <v>16</v>
      </c>
      <c r="M927" s="36"/>
    </row>
    <row r="928" spans="1:13" x14ac:dyDescent="0.25">
      <c r="A928" s="36"/>
      <c r="B928" s="129" t="s">
        <v>7</v>
      </c>
      <c r="C928" s="28">
        <v>44608</v>
      </c>
      <c r="D928" s="36" t="s">
        <v>189</v>
      </c>
      <c r="E928" s="36" t="s">
        <v>222</v>
      </c>
      <c r="F928" s="36" t="s">
        <v>228</v>
      </c>
      <c r="G928" s="36" t="s">
        <v>467</v>
      </c>
      <c r="H928" s="36">
        <v>1</v>
      </c>
      <c r="I928" s="36" t="s">
        <v>179</v>
      </c>
      <c r="J928" s="36">
        <f>YEAR(RESER3[[#This Row],[DATA]])</f>
        <v>2022</v>
      </c>
      <c r="K928" s="36">
        <f t="shared" si="23"/>
        <v>2</v>
      </c>
      <c r="L928" s="36">
        <f>DAY(RESER3[[#This Row],[DATA]])</f>
        <v>16</v>
      </c>
      <c r="M928" s="36"/>
    </row>
    <row r="929" spans="1:13" x14ac:dyDescent="0.25">
      <c r="A929" s="36"/>
      <c r="B929" s="129" t="s">
        <v>40</v>
      </c>
      <c r="C929" s="28">
        <v>44608</v>
      </c>
      <c r="D929" s="36" t="s">
        <v>189</v>
      </c>
      <c r="E929" s="36" t="s">
        <v>462</v>
      </c>
      <c r="F929" s="36" t="s">
        <v>196</v>
      </c>
      <c r="G929" s="36" t="s">
        <v>790</v>
      </c>
      <c r="H929" s="36">
        <v>1</v>
      </c>
      <c r="I929" s="36" t="s">
        <v>179</v>
      </c>
      <c r="J929" s="36">
        <f>YEAR(RESER3[[#This Row],[DATA]])</f>
        <v>2022</v>
      </c>
      <c r="K929" s="36">
        <f t="shared" si="23"/>
        <v>2</v>
      </c>
      <c r="L929" s="36">
        <f>DAY(RESER3[[#This Row],[DATA]])</f>
        <v>16</v>
      </c>
      <c r="M929" s="36"/>
    </row>
    <row r="930" spans="1:13" x14ac:dyDescent="0.25">
      <c r="A930" s="36"/>
      <c r="B930" s="129" t="s">
        <v>112</v>
      </c>
      <c r="C930" s="28">
        <v>44608</v>
      </c>
      <c r="D930" s="36" t="s">
        <v>189</v>
      </c>
      <c r="E930" s="36" t="s">
        <v>222</v>
      </c>
      <c r="F930" s="36" t="s">
        <v>894</v>
      </c>
      <c r="G930" s="36" t="s">
        <v>907</v>
      </c>
      <c r="H930" s="36">
        <v>1</v>
      </c>
      <c r="I930" s="36" t="s">
        <v>179</v>
      </c>
      <c r="J930" s="36">
        <f>YEAR(RESER3[[#This Row],[DATA]])</f>
        <v>2022</v>
      </c>
      <c r="K930" s="36">
        <f t="shared" si="23"/>
        <v>2</v>
      </c>
      <c r="L930" s="36">
        <f>DAY(RESER3[[#This Row],[DATA]])</f>
        <v>16</v>
      </c>
      <c r="M930" s="36"/>
    </row>
    <row r="931" spans="1:13" x14ac:dyDescent="0.25">
      <c r="A931" s="36"/>
      <c r="B931" s="129" t="s">
        <v>40</v>
      </c>
      <c r="C931" s="28">
        <v>44608</v>
      </c>
      <c r="D931" s="36" t="s">
        <v>189</v>
      </c>
      <c r="E931" s="36" t="s">
        <v>462</v>
      </c>
      <c r="F931" s="36" t="s">
        <v>245</v>
      </c>
      <c r="G931" s="36" t="s">
        <v>474</v>
      </c>
      <c r="H931" s="36">
        <v>1</v>
      </c>
      <c r="I931" s="36" t="s">
        <v>179</v>
      </c>
      <c r="J931" s="36">
        <f>YEAR(RESER3[[#This Row],[DATA]])</f>
        <v>2022</v>
      </c>
      <c r="K931" s="36">
        <f t="shared" si="23"/>
        <v>2</v>
      </c>
      <c r="L931" s="36">
        <f>DAY(RESER3[[#This Row],[DATA]])</f>
        <v>16</v>
      </c>
      <c r="M931" s="36"/>
    </row>
    <row r="932" spans="1:13" x14ac:dyDescent="0.25">
      <c r="A932" s="36"/>
      <c r="B932" s="129" t="s">
        <v>41</v>
      </c>
      <c r="C932" s="28">
        <v>44608</v>
      </c>
      <c r="D932" s="36" t="s">
        <v>189</v>
      </c>
      <c r="E932" s="36" t="s">
        <v>462</v>
      </c>
      <c r="F932" s="36" t="s">
        <v>228</v>
      </c>
      <c r="G932" s="36" t="s">
        <v>467</v>
      </c>
      <c r="H932" s="36">
        <v>1</v>
      </c>
      <c r="I932" s="36" t="s">
        <v>179</v>
      </c>
      <c r="J932" s="36">
        <f>YEAR(RESER3[[#This Row],[DATA]])</f>
        <v>2022</v>
      </c>
      <c r="K932" s="36">
        <f t="shared" si="23"/>
        <v>2</v>
      </c>
      <c r="L932" s="36">
        <f>DAY(RESER3[[#This Row],[DATA]])</f>
        <v>16</v>
      </c>
      <c r="M932" s="36"/>
    </row>
    <row r="933" spans="1:13" x14ac:dyDescent="0.25">
      <c r="A933" s="36"/>
      <c r="B933" s="129" t="s">
        <v>14</v>
      </c>
      <c r="C933" s="28">
        <v>44608</v>
      </c>
      <c r="D933" s="36" t="s">
        <v>189</v>
      </c>
      <c r="E933" s="36" t="s">
        <v>222</v>
      </c>
      <c r="F933" s="36" t="s">
        <v>898</v>
      </c>
      <c r="G933" s="36" t="s">
        <v>899</v>
      </c>
      <c r="H933" s="36">
        <v>1</v>
      </c>
      <c r="I933" s="36" t="s">
        <v>179</v>
      </c>
      <c r="J933" s="36">
        <f>YEAR(RESER3[[#This Row],[DATA]])</f>
        <v>2022</v>
      </c>
      <c r="K933" s="36">
        <f>MONTH(RESER3[[#This Row],[DATA]])</f>
        <v>2</v>
      </c>
      <c r="L933" s="36">
        <f>DAY(RESER3[[#This Row],[DATA]])</f>
        <v>16</v>
      </c>
      <c r="M933" s="36"/>
    </row>
    <row r="934" spans="1:13" x14ac:dyDescent="0.25">
      <c r="A934" s="36"/>
      <c r="B934" s="129" t="s">
        <v>10</v>
      </c>
      <c r="C934" s="28">
        <v>44609</v>
      </c>
      <c r="D934" s="36" t="s">
        <v>189</v>
      </c>
      <c r="E934" s="36" t="s">
        <v>462</v>
      </c>
      <c r="F934" s="36" t="s">
        <v>228</v>
      </c>
      <c r="G934" s="36" t="s">
        <v>901</v>
      </c>
      <c r="H934" s="36">
        <v>1</v>
      </c>
      <c r="I934" s="36" t="s">
        <v>179</v>
      </c>
      <c r="J934" s="36">
        <f>YEAR(RESER3[[#This Row],[DATA]])</f>
        <v>2022</v>
      </c>
      <c r="K934" s="36">
        <f>MONTH(C934)</f>
        <v>2</v>
      </c>
      <c r="L934" s="36">
        <f>DAY(RESER3[[#This Row],[DATA]])</f>
        <v>17</v>
      </c>
      <c r="M934" s="36"/>
    </row>
    <row r="935" spans="1:13" x14ac:dyDescent="0.25">
      <c r="A935" s="36"/>
      <c r="B935" s="129" t="s">
        <v>19</v>
      </c>
      <c r="C935" s="28">
        <v>44609</v>
      </c>
      <c r="D935" s="36" t="s">
        <v>189</v>
      </c>
      <c r="E935" s="36" t="s">
        <v>222</v>
      </c>
      <c r="F935" s="36" t="s">
        <v>228</v>
      </c>
      <c r="G935" s="36" t="s">
        <v>467</v>
      </c>
      <c r="H935" s="36">
        <v>1</v>
      </c>
      <c r="I935" s="36" t="s">
        <v>179</v>
      </c>
      <c r="J935" s="36">
        <f>YEAR(RESER3[[#This Row],[DATA]])</f>
        <v>2022</v>
      </c>
      <c r="K935" s="36">
        <f>MONTH(RESER3[[#This Row],[DATA]])</f>
        <v>2</v>
      </c>
      <c r="L935" s="36">
        <f>DAY(RESER3[[#This Row],[DATA]])</f>
        <v>17</v>
      </c>
      <c r="M935" s="36"/>
    </row>
    <row r="936" spans="1:13" x14ac:dyDescent="0.25">
      <c r="A936" s="36"/>
      <c r="B936" s="129" t="s">
        <v>20</v>
      </c>
      <c r="C936" s="28">
        <v>44609</v>
      </c>
      <c r="D936" s="36" t="s">
        <v>189</v>
      </c>
      <c r="E936" s="36" t="s">
        <v>462</v>
      </c>
      <c r="F936" s="36" t="s">
        <v>228</v>
      </c>
      <c r="G936" s="36" t="s">
        <v>467</v>
      </c>
      <c r="H936" s="36">
        <v>1</v>
      </c>
      <c r="I936" s="36" t="s">
        <v>179</v>
      </c>
      <c r="J936" s="36">
        <f>YEAR(RESER3[[#This Row],[DATA]])</f>
        <v>2022</v>
      </c>
      <c r="K936" s="36">
        <f>MONTH(RESER3[[#This Row],[DATA]])</f>
        <v>2</v>
      </c>
      <c r="L936" s="36">
        <f>DAY(RESER3[[#This Row],[DATA]])</f>
        <v>17</v>
      </c>
      <c r="M936" s="36"/>
    </row>
    <row r="937" spans="1:13" x14ac:dyDescent="0.25">
      <c r="A937" s="36"/>
      <c r="B937" s="129" t="s">
        <v>26</v>
      </c>
      <c r="C937" s="28">
        <v>44610</v>
      </c>
      <c r="D937" s="36" t="s">
        <v>189</v>
      </c>
      <c r="E937" s="36" t="s">
        <v>222</v>
      </c>
      <c r="F937" s="36" t="s">
        <v>245</v>
      </c>
      <c r="G937" s="36" t="s">
        <v>474</v>
      </c>
      <c r="H937" s="36">
        <v>1</v>
      </c>
      <c r="I937" s="36" t="s">
        <v>179</v>
      </c>
      <c r="J937" s="36">
        <f>YEAR(RESER3[[#This Row],[DATA]])</f>
        <v>2022</v>
      </c>
      <c r="K937" s="36">
        <f>MONTH(C937)</f>
        <v>2</v>
      </c>
      <c r="L937" s="36">
        <f>DAY(RESER3[[#This Row],[DATA]])</f>
        <v>18</v>
      </c>
      <c r="M937" s="36"/>
    </row>
    <row r="938" spans="1:13" x14ac:dyDescent="0.25">
      <c r="A938" s="36"/>
      <c r="B938" s="129" t="s">
        <v>18</v>
      </c>
      <c r="C938" s="28">
        <v>44610</v>
      </c>
      <c r="D938" s="36" t="s">
        <v>189</v>
      </c>
      <c r="E938" s="36" t="s">
        <v>462</v>
      </c>
      <c r="F938" s="36" t="s">
        <v>265</v>
      </c>
      <c r="G938" s="36" t="s">
        <v>477</v>
      </c>
      <c r="H938" s="36">
        <v>1</v>
      </c>
      <c r="I938" s="36" t="s">
        <v>179</v>
      </c>
      <c r="J938" s="36">
        <f>YEAR(RESER3[[#This Row],[DATA]])</f>
        <v>2022</v>
      </c>
      <c r="K938" s="36">
        <f>MONTH(RESER3[[#This Row],[DATA]])</f>
        <v>2</v>
      </c>
      <c r="L938" s="36">
        <f>DAY(RESER3[[#This Row],[DATA]])</f>
        <v>18</v>
      </c>
      <c r="M938" s="36"/>
    </row>
    <row r="939" spans="1:13" x14ac:dyDescent="0.25">
      <c r="A939" s="36"/>
      <c r="B939" s="129" t="s">
        <v>7</v>
      </c>
      <c r="C939" s="28">
        <v>44613</v>
      </c>
      <c r="D939" s="36" t="s">
        <v>189</v>
      </c>
      <c r="E939" s="36" t="s">
        <v>222</v>
      </c>
      <c r="F939" s="36" t="s">
        <v>228</v>
      </c>
      <c r="G939" s="36" t="s">
        <v>901</v>
      </c>
      <c r="H939" s="36">
        <v>1</v>
      </c>
      <c r="I939" s="36" t="s">
        <v>179</v>
      </c>
      <c r="J939" s="36">
        <f>YEAR(RESER3[[#This Row],[DATA]])</f>
        <v>2022</v>
      </c>
      <c r="K939" s="36">
        <f>MONTH(C939)</f>
        <v>2</v>
      </c>
      <c r="L939" s="36">
        <f>DAY(RESER3[[#This Row],[DATA]])</f>
        <v>21</v>
      </c>
      <c r="M939" s="36"/>
    </row>
    <row r="940" spans="1:13" x14ac:dyDescent="0.25">
      <c r="A940" s="36"/>
      <c r="B940" s="129" t="s">
        <v>41</v>
      </c>
      <c r="C940" s="28">
        <v>44613</v>
      </c>
      <c r="D940" s="36" t="s">
        <v>189</v>
      </c>
      <c r="E940" s="36" t="s">
        <v>462</v>
      </c>
      <c r="F940" s="36" t="s">
        <v>228</v>
      </c>
      <c r="G940" s="36" t="s">
        <v>901</v>
      </c>
      <c r="H940" s="36">
        <v>1</v>
      </c>
      <c r="I940" s="36" t="s">
        <v>179</v>
      </c>
      <c r="J940" s="36">
        <f>YEAR(RESER3[[#This Row],[DATA]])</f>
        <v>2022</v>
      </c>
      <c r="K940" s="36">
        <f>MONTH(C940)</f>
        <v>2</v>
      </c>
      <c r="L940" s="36">
        <f>DAY(RESER3[[#This Row],[DATA]])</f>
        <v>21</v>
      </c>
      <c r="M940" s="36"/>
    </row>
    <row r="941" spans="1:13" x14ac:dyDescent="0.25">
      <c r="A941" s="36"/>
      <c r="B941" s="129" t="s">
        <v>41</v>
      </c>
      <c r="C941" s="28">
        <v>44613</v>
      </c>
      <c r="D941" s="36" t="s">
        <v>189</v>
      </c>
      <c r="E941" s="36" t="s">
        <v>222</v>
      </c>
      <c r="F941" s="36" t="s">
        <v>194</v>
      </c>
      <c r="G941" s="36" t="s">
        <v>475</v>
      </c>
      <c r="H941" s="36">
        <v>1</v>
      </c>
      <c r="I941" s="36" t="s">
        <v>179</v>
      </c>
      <c r="J941" s="36">
        <f>YEAR(RESER3[[#This Row],[DATA]])</f>
        <v>2022</v>
      </c>
      <c r="K941" s="36">
        <f>MONTH(C941)</f>
        <v>2</v>
      </c>
      <c r="L941" s="36">
        <f>DAY(RESER3[[#This Row],[DATA]])</f>
        <v>21</v>
      </c>
      <c r="M941" s="36"/>
    </row>
    <row r="942" spans="1:13" x14ac:dyDescent="0.25">
      <c r="A942" s="36"/>
      <c r="B942" s="129" t="s">
        <v>15</v>
      </c>
      <c r="C942" s="28">
        <v>44613</v>
      </c>
      <c r="D942" s="36" t="s">
        <v>189</v>
      </c>
      <c r="E942" s="36" t="s">
        <v>222</v>
      </c>
      <c r="F942" s="36" t="s">
        <v>228</v>
      </c>
      <c r="G942" s="36" t="s">
        <v>467</v>
      </c>
      <c r="H942" s="36">
        <v>1</v>
      </c>
      <c r="I942" s="36" t="s">
        <v>179</v>
      </c>
      <c r="J942" s="36">
        <f>YEAR(RESER3[[#This Row],[DATA]])</f>
        <v>2022</v>
      </c>
      <c r="K942" s="36">
        <f>MONTH(RESER3[[#This Row],[DATA]])</f>
        <v>2</v>
      </c>
      <c r="L942" s="36">
        <f>DAY(RESER3[[#This Row],[DATA]])</f>
        <v>21</v>
      </c>
      <c r="M942" s="36"/>
    </row>
    <row r="943" spans="1:13" x14ac:dyDescent="0.25">
      <c r="A943" s="36"/>
      <c r="B943" s="129" t="s">
        <v>10</v>
      </c>
      <c r="C943" s="28">
        <v>44614</v>
      </c>
      <c r="D943" s="36" t="s">
        <v>189</v>
      </c>
      <c r="E943" s="36" t="s">
        <v>462</v>
      </c>
      <c r="F943" s="36" t="s">
        <v>228</v>
      </c>
      <c r="G943" s="36" t="s">
        <v>467</v>
      </c>
      <c r="H943" s="36">
        <v>1</v>
      </c>
      <c r="I943" s="36" t="s">
        <v>179</v>
      </c>
      <c r="J943" s="36">
        <f>YEAR(RESER3[[#This Row],[DATA]])</f>
        <v>2022</v>
      </c>
      <c r="K943" s="36">
        <f>MONTH(C943)</f>
        <v>2</v>
      </c>
      <c r="L943" s="36">
        <f>DAY(RESER3[[#This Row],[DATA]])</f>
        <v>22</v>
      </c>
      <c r="M943" s="36"/>
    </row>
    <row r="944" spans="1:13" x14ac:dyDescent="0.25">
      <c r="A944" s="36"/>
      <c r="B944" s="129" t="s">
        <v>112</v>
      </c>
      <c r="C944" s="28">
        <v>44614</v>
      </c>
      <c r="D944" s="36" t="s">
        <v>189</v>
      </c>
      <c r="E944" s="36" t="s">
        <v>222</v>
      </c>
      <c r="F944" s="36" t="s">
        <v>202</v>
      </c>
      <c r="G944" s="36" t="s">
        <v>904</v>
      </c>
      <c r="H944" s="36">
        <v>1</v>
      </c>
      <c r="I944" s="36" t="s">
        <v>179</v>
      </c>
      <c r="J944" s="36">
        <f>YEAR(RESER3[[#This Row],[DATA]])</f>
        <v>2022</v>
      </c>
      <c r="K944" s="36">
        <f>MONTH(C944)</f>
        <v>2</v>
      </c>
      <c r="L944" s="36">
        <f>DAY(RESER3[[#This Row],[DATA]])</f>
        <v>22</v>
      </c>
      <c r="M944" s="36"/>
    </row>
    <row r="945" spans="1:13" x14ac:dyDescent="0.25">
      <c r="A945" s="36"/>
      <c r="B945" s="129" t="s">
        <v>8</v>
      </c>
      <c r="C945" s="28">
        <v>44614</v>
      </c>
      <c r="D945" s="36" t="s">
        <v>189</v>
      </c>
      <c r="E945" s="36" t="s">
        <v>462</v>
      </c>
      <c r="F945" s="36" t="s">
        <v>464</v>
      </c>
      <c r="G945" s="36" t="s">
        <v>908</v>
      </c>
      <c r="H945" s="36">
        <v>1</v>
      </c>
      <c r="I945" s="36" t="s">
        <v>179</v>
      </c>
      <c r="J945" s="36">
        <f>YEAR(RESER3[[#This Row],[DATA]])</f>
        <v>2022</v>
      </c>
      <c r="K945" s="36">
        <f>MONTH(C945)</f>
        <v>2</v>
      </c>
      <c r="L945" s="36">
        <f>DAY(RESER3[[#This Row],[DATA]])</f>
        <v>22</v>
      </c>
      <c r="M945" s="36"/>
    </row>
    <row r="946" spans="1:13" x14ac:dyDescent="0.25">
      <c r="A946" s="36"/>
      <c r="B946" s="129" t="s">
        <v>20</v>
      </c>
      <c r="C946" s="28">
        <v>44614</v>
      </c>
      <c r="D946" s="36" t="s">
        <v>189</v>
      </c>
      <c r="E946" s="36" t="s">
        <v>462</v>
      </c>
      <c r="F946" s="36" t="s">
        <v>228</v>
      </c>
      <c r="G946" s="36" t="s">
        <v>467</v>
      </c>
      <c r="H946" s="36">
        <v>1</v>
      </c>
      <c r="I946" s="36" t="s">
        <v>179</v>
      </c>
      <c r="J946" s="36">
        <f>YEAR(RESER3[[#This Row],[DATA]])</f>
        <v>2022</v>
      </c>
      <c r="K946" s="36">
        <f>MONTH(RESER3[[#This Row],[DATA]])</f>
        <v>2</v>
      </c>
      <c r="L946" s="36">
        <f>DAY(RESER3[[#This Row],[DATA]])</f>
        <v>22</v>
      </c>
      <c r="M946" s="36"/>
    </row>
    <row r="947" spans="1:13" x14ac:dyDescent="0.25">
      <c r="A947" s="36"/>
      <c r="B947" s="129" t="s">
        <v>20</v>
      </c>
      <c r="C947" s="28">
        <v>44616</v>
      </c>
      <c r="D947" s="36" t="s">
        <v>189</v>
      </c>
      <c r="E947" s="36" t="s">
        <v>462</v>
      </c>
      <c r="F947" s="36" t="s">
        <v>228</v>
      </c>
      <c r="G947" s="36" t="s">
        <v>467</v>
      </c>
      <c r="H947" s="36">
        <v>1</v>
      </c>
      <c r="I947" s="36" t="s">
        <v>179</v>
      </c>
      <c r="J947" s="36">
        <f>YEAR(RESER3[[#This Row],[DATA]])</f>
        <v>2022</v>
      </c>
      <c r="K947" s="36">
        <f>MONTH(RESER3[[#This Row],[DATA]])</f>
        <v>2</v>
      </c>
      <c r="L947" s="36">
        <f>DAY(RESER3[[#This Row],[DATA]])</f>
        <v>24</v>
      </c>
      <c r="M947" s="36"/>
    </row>
    <row r="948" spans="1:13" x14ac:dyDescent="0.25">
      <c r="A948" s="36"/>
      <c r="B948" s="129" t="s">
        <v>7</v>
      </c>
      <c r="C948" s="28">
        <v>44616</v>
      </c>
      <c r="D948" s="36" t="s">
        <v>189</v>
      </c>
      <c r="E948" s="36" t="s">
        <v>222</v>
      </c>
      <c r="F948" s="36" t="s">
        <v>196</v>
      </c>
      <c r="G948" s="36" t="s">
        <v>790</v>
      </c>
      <c r="H948" s="36">
        <v>1</v>
      </c>
      <c r="I948" s="36" t="s">
        <v>179</v>
      </c>
      <c r="J948" s="36">
        <f>YEAR(RESER3[[#This Row],[DATA]])</f>
        <v>2022</v>
      </c>
      <c r="K948" s="36">
        <f>MONTH(C948)</f>
        <v>2</v>
      </c>
      <c r="L948" s="36">
        <f>DAY(RESER3[[#This Row],[DATA]])</f>
        <v>24</v>
      </c>
      <c r="M948" s="36"/>
    </row>
    <row r="949" spans="1:13" x14ac:dyDescent="0.25">
      <c r="A949" s="36"/>
      <c r="B949" s="129" t="s">
        <v>4</v>
      </c>
      <c r="C949" s="28">
        <v>44616</v>
      </c>
      <c r="D949" s="36" t="s">
        <v>189</v>
      </c>
      <c r="E949" s="36" t="s">
        <v>222</v>
      </c>
      <c r="F949" s="36" t="s">
        <v>918</v>
      </c>
      <c r="G949" s="36" t="s">
        <v>919</v>
      </c>
      <c r="H949" s="36">
        <v>1</v>
      </c>
      <c r="I949" s="36" t="s">
        <v>179</v>
      </c>
      <c r="J949" s="36">
        <f>YEAR(RESER3[[#This Row],[DATA]])</f>
        <v>2022</v>
      </c>
      <c r="K949" s="36">
        <f>MONTH(C949)</f>
        <v>2</v>
      </c>
      <c r="L949" s="36">
        <f>DAY(RESER3[[#This Row],[DATA]])</f>
        <v>24</v>
      </c>
      <c r="M949" s="36"/>
    </row>
    <row r="950" spans="1:13" x14ac:dyDescent="0.25">
      <c r="A950" s="36"/>
      <c r="B950" s="129" t="s">
        <v>14</v>
      </c>
      <c r="C950" s="28">
        <v>44616</v>
      </c>
      <c r="D950" s="36" t="s">
        <v>189</v>
      </c>
      <c r="E950" s="36" t="s">
        <v>462</v>
      </c>
      <c r="F950" s="36" t="s">
        <v>194</v>
      </c>
      <c r="G950" s="36" t="s">
        <v>475</v>
      </c>
      <c r="H950" s="36">
        <v>1</v>
      </c>
      <c r="I950" s="36" t="s">
        <v>179</v>
      </c>
      <c r="J950" s="36">
        <f>YEAR(RESER3[[#This Row],[DATA]])</f>
        <v>2022</v>
      </c>
      <c r="K950" s="36">
        <f>MONTH(RESER3[[#This Row],[DATA]])</f>
        <v>2</v>
      </c>
      <c r="L950" s="36">
        <f>DAY(RESER3[[#This Row],[DATA]])</f>
        <v>24</v>
      </c>
      <c r="M950" s="36"/>
    </row>
    <row r="951" spans="1:13" x14ac:dyDescent="0.25">
      <c r="A951" s="36"/>
      <c r="B951" s="129" t="s">
        <v>18</v>
      </c>
      <c r="C951" s="28">
        <v>44616</v>
      </c>
      <c r="D951" s="36" t="s">
        <v>189</v>
      </c>
      <c r="E951" s="36" t="s">
        <v>222</v>
      </c>
      <c r="F951" s="36" t="s">
        <v>265</v>
      </c>
      <c r="G951" s="36" t="s">
        <v>477</v>
      </c>
      <c r="H951" s="36">
        <v>1</v>
      </c>
      <c r="I951" s="36" t="s">
        <v>179</v>
      </c>
      <c r="J951" s="36">
        <f>YEAR(RESER3[[#This Row],[DATA]])</f>
        <v>2022</v>
      </c>
      <c r="K951" s="36">
        <f>MONTH(RESER3[[#This Row],[DATA]])</f>
        <v>2</v>
      </c>
      <c r="L951" s="36">
        <f>DAY(RESER3[[#This Row],[DATA]])</f>
        <v>24</v>
      </c>
      <c r="M951" s="36"/>
    </row>
    <row r="952" spans="1:13" x14ac:dyDescent="0.25">
      <c r="A952" s="36"/>
      <c r="B952" s="129" t="s">
        <v>7</v>
      </c>
      <c r="C952" s="28">
        <v>44617</v>
      </c>
      <c r="D952" s="36" t="s">
        <v>189</v>
      </c>
      <c r="E952" s="36" t="s">
        <v>462</v>
      </c>
      <c r="F952" s="36" t="s">
        <v>196</v>
      </c>
      <c r="G952" s="36" t="s">
        <v>790</v>
      </c>
      <c r="H952" s="36">
        <v>1</v>
      </c>
      <c r="I952" s="36" t="s">
        <v>179</v>
      </c>
      <c r="J952" s="36">
        <f>YEAR(RESER3[[#This Row],[DATA]])</f>
        <v>2022</v>
      </c>
      <c r="K952" s="36">
        <f>MONTH(C952)</f>
        <v>2</v>
      </c>
      <c r="L952" s="36">
        <f>DAY(RESER3[[#This Row],[DATA]])</f>
        <v>25</v>
      </c>
      <c r="M952" s="36"/>
    </row>
    <row r="953" spans="1:13" x14ac:dyDescent="0.25">
      <c r="A953" s="36"/>
      <c r="B953" s="129" t="s">
        <v>16</v>
      </c>
      <c r="C953" s="28">
        <v>44623</v>
      </c>
      <c r="D953" s="36" t="s">
        <v>189</v>
      </c>
      <c r="E953" s="36" t="s">
        <v>462</v>
      </c>
      <c r="F953" s="36" t="s">
        <v>228</v>
      </c>
      <c r="G953" s="36" t="s">
        <v>467</v>
      </c>
      <c r="H953" s="36">
        <v>1</v>
      </c>
      <c r="I953" s="36" t="s">
        <v>179</v>
      </c>
      <c r="J953" s="36">
        <f>YEAR(RESER3[[#This Row],[DATA]])</f>
        <v>2022</v>
      </c>
      <c r="K953" s="36">
        <f>MONTH(RESER3[[#This Row],[DATA]])</f>
        <v>3</v>
      </c>
      <c r="L953" s="36">
        <f>DAY(RESER3[[#This Row],[DATA]])</f>
        <v>3</v>
      </c>
      <c r="M953" s="36"/>
    </row>
    <row r="954" spans="1:13" x14ac:dyDescent="0.25">
      <c r="A954" s="36"/>
      <c r="B954" s="129" t="s">
        <v>40</v>
      </c>
      <c r="C954" s="28">
        <v>44623</v>
      </c>
      <c r="D954" s="36" t="s">
        <v>189</v>
      </c>
      <c r="E954" s="36" t="s">
        <v>222</v>
      </c>
      <c r="F954" s="36" t="s">
        <v>196</v>
      </c>
      <c r="G954" s="36" t="s">
        <v>790</v>
      </c>
      <c r="H954" s="36">
        <v>1</v>
      </c>
      <c r="I954" s="36" t="s">
        <v>179</v>
      </c>
      <c r="J954" s="36">
        <f>YEAR(RESER3[[#This Row],[DATA]])</f>
        <v>2022</v>
      </c>
      <c r="K954" s="36">
        <f>MONTH(C954)</f>
        <v>3</v>
      </c>
      <c r="L954" s="36">
        <f>DAY(RESER3[[#This Row],[DATA]])</f>
        <v>3</v>
      </c>
      <c r="M954" s="36"/>
    </row>
    <row r="955" spans="1:13" x14ac:dyDescent="0.25">
      <c r="A955" s="36"/>
      <c r="B955" s="129" t="s">
        <v>7</v>
      </c>
      <c r="C955" s="28">
        <v>44623</v>
      </c>
      <c r="D955" s="36" t="s">
        <v>189</v>
      </c>
      <c r="E955" s="36" t="s">
        <v>462</v>
      </c>
      <c r="F955" s="36" t="s">
        <v>245</v>
      </c>
      <c r="G955" s="36" t="s">
        <v>474</v>
      </c>
      <c r="H955" s="36">
        <v>1</v>
      </c>
      <c r="I955" s="36" t="s">
        <v>179</v>
      </c>
      <c r="J955" s="36">
        <f>YEAR(RESER3[[#This Row],[DATA]])</f>
        <v>2022</v>
      </c>
      <c r="K955" s="36">
        <f>MONTH(C955)</f>
        <v>3</v>
      </c>
      <c r="L955" s="36">
        <f>DAY(RESER3[[#This Row],[DATA]])</f>
        <v>3</v>
      </c>
      <c r="M955" s="36"/>
    </row>
    <row r="956" spans="1:13" x14ac:dyDescent="0.25">
      <c r="A956" s="36"/>
      <c r="B956" s="129" t="s">
        <v>7</v>
      </c>
      <c r="C956" s="28">
        <v>44623</v>
      </c>
      <c r="D956" s="36" t="s">
        <v>189</v>
      </c>
      <c r="E956" s="36" t="s">
        <v>222</v>
      </c>
      <c r="F956" s="36" t="s">
        <v>202</v>
      </c>
      <c r="G956" s="36" t="s">
        <v>904</v>
      </c>
      <c r="H956" s="36">
        <v>1</v>
      </c>
      <c r="I956" s="36" t="s">
        <v>179</v>
      </c>
      <c r="J956" s="36">
        <f>YEAR(RESER3[[#This Row],[DATA]])</f>
        <v>2022</v>
      </c>
      <c r="K956" s="36">
        <f>MONTH(C956)</f>
        <v>3</v>
      </c>
      <c r="L956" s="36">
        <f>DAY(RESER3[[#This Row],[DATA]])</f>
        <v>3</v>
      </c>
      <c r="M956" s="36"/>
    </row>
    <row r="957" spans="1:13" x14ac:dyDescent="0.25">
      <c r="A957" s="36"/>
      <c r="B957" s="129" t="s">
        <v>18</v>
      </c>
      <c r="C957" s="28">
        <v>44623</v>
      </c>
      <c r="D957" s="36" t="s">
        <v>189</v>
      </c>
      <c r="E957" s="36" t="s">
        <v>222</v>
      </c>
      <c r="F957" s="36" t="s">
        <v>194</v>
      </c>
      <c r="G957" s="36" t="s">
        <v>475</v>
      </c>
      <c r="H957" s="36">
        <v>1</v>
      </c>
      <c r="I957" s="36" t="s">
        <v>179</v>
      </c>
      <c r="J957" s="36">
        <f>YEAR(RESER3[[#This Row],[DATA]])</f>
        <v>2022</v>
      </c>
      <c r="K957" s="36">
        <f>MONTH(RESER3[[#This Row],[DATA]])</f>
        <v>3</v>
      </c>
      <c r="L957" s="36">
        <f>DAY(RESER3[[#This Row],[DATA]])</f>
        <v>3</v>
      </c>
      <c r="M957" s="36"/>
    </row>
    <row r="958" spans="1:13" x14ac:dyDescent="0.25">
      <c r="A958" s="36"/>
      <c r="B958" s="129" t="s">
        <v>28</v>
      </c>
      <c r="C958" s="128">
        <v>44624</v>
      </c>
      <c r="D958" s="36" t="s">
        <v>189</v>
      </c>
      <c r="E958" s="36" t="s">
        <v>462</v>
      </c>
      <c r="F958" s="36" t="s">
        <v>196</v>
      </c>
      <c r="G958" s="36" t="s">
        <v>790</v>
      </c>
      <c r="H958" s="36">
        <v>1</v>
      </c>
      <c r="I958" s="36" t="s">
        <v>179</v>
      </c>
      <c r="J958" s="36">
        <f>YEAR(RESER3[[#This Row],[DATA]])</f>
        <v>2022</v>
      </c>
      <c r="K958" s="36">
        <f>MONTH(C958)</f>
        <v>3</v>
      </c>
      <c r="L958" s="36">
        <f>DAY(RESER3[[#This Row],[DATA]])</f>
        <v>4</v>
      </c>
      <c r="M958" s="36"/>
    </row>
    <row r="959" spans="1:13" x14ac:dyDescent="0.25">
      <c r="A959" s="36"/>
      <c r="B959" s="129" t="s">
        <v>19</v>
      </c>
      <c r="C959" s="28">
        <v>44624</v>
      </c>
      <c r="D959" s="36" t="s">
        <v>189</v>
      </c>
      <c r="E959" s="36" t="s">
        <v>462</v>
      </c>
      <c r="F959" s="36" t="s">
        <v>528</v>
      </c>
      <c r="G959" s="36" t="s">
        <v>900</v>
      </c>
      <c r="H959" s="36">
        <v>1</v>
      </c>
      <c r="I959" s="36" t="s">
        <v>179</v>
      </c>
      <c r="J959" s="36">
        <f>YEAR(RESER3[[#This Row],[DATA]])</f>
        <v>2022</v>
      </c>
      <c r="K959" s="36">
        <f>MONTH(RESER3[[#This Row],[DATA]])</f>
        <v>3</v>
      </c>
      <c r="L959" s="36">
        <f>DAY(RESER3[[#This Row],[DATA]])</f>
        <v>4</v>
      </c>
      <c r="M959" s="36"/>
    </row>
    <row r="960" spans="1:13" x14ac:dyDescent="0.25">
      <c r="A960" s="36"/>
      <c r="B960" s="129" t="s">
        <v>41</v>
      </c>
      <c r="C960" s="28">
        <v>44624</v>
      </c>
      <c r="D960" s="36" t="s">
        <v>189</v>
      </c>
      <c r="E960" s="36" t="s">
        <v>222</v>
      </c>
      <c r="F960" s="36" t="s">
        <v>194</v>
      </c>
      <c r="G960" s="36" t="s">
        <v>475</v>
      </c>
      <c r="H960" s="36">
        <v>1</v>
      </c>
      <c r="I960" s="36" t="s">
        <v>179</v>
      </c>
      <c r="J960" s="36">
        <f>YEAR(RESER3[[#This Row],[DATA]])</f>
        <v>2022</v>
      </c>
      <c r="K960" s="36">
        <f>MONTH(C960)</f>
        <v>3</v>
      </c>
      <c r="L960" s="36">
        <f>DAY(RESER3[[#This Row],[DATA]])</f>
        <v>4</v>
      </c>
      <c r="M960" s="36"/>
    </row>
    <row r="961" spans="1:13" x14ac:dyDescent="0.25">
      <c r="A961" s="36"/>
      <c r="B961" s="129" t="s">
        <v>8</v>
      </c>
      <c r="C961" s="28">
        <v>44624</v>
      </c>
      <c r="D961" s="36" t="s">
        <v>189</v>
      </c>
      <c r="E961" s="36" t="s">
        <v>462</v>
      </c>
      <c r="F961" s="36" t="s">
        <v>196</v>
      </c>
      <c r="G961" s="36" t="s">
        <v>790</v>
      </c>
      <c r="H961" s="36">
        <v>1</v>
      </c>
      <c r="I961" s="36" t="s">
        <v>179</v>
      </c>
      <c r="J961" s="36">
        <f>YEAR(RESER3[[#This Row],[DATA]])</f>
        <v>2022</v>
      </c>
      <c r="K961" s="36">
        <f>MONTH(C961)</f>
        <v>3</v>
      </c>
      <c r="L961" s="36">
        <f>DAY(RESER3[[#This Row],[DATA]])</f>
        <v>4</v>
      </c>
      <c r="M961" s="36"/>
    </row>
    <row r="962" spans="1:13" x14ac:dyDescent="0.25">
      <c r="A962" s="36"/>
      <c r="B962" s="129" t="s">
        <v>21</v>
      </c>
      <c r="C962" s="28">
        <v>44624</v>
      </c>
      <c r="D962" s="36" t="s">
        <v>189</v>
      </c>
      <c r="E962" s="36" t="s">
        <v>462</v>
      </c>
      <c r="F962" s="36" t="s">
        <v>228</v>
      </c>
      <c r="G962" s="165" t="s">
        <v>901</v>
      </c>
      <c r="H962" s="36">
        <v>1</v>
      </c>
      <c r="I962" s="36" t="s">
        <v>179</v>
      </c>
      <c r="J962" s="36">
        <f>YEAR(RESER3[[#This Row],[DATA]])</f>
        <v>2022</v>
      </c>
      <c r="K962" s="36">
        <f>MONTH(RESER3[[#This Row],[DATA]])</f>
        <v>3</v>
      </c>
      <c r="L962" s="36">
        <f>DAY(RESER3[[#This Row],[DATA]])</f>
        <v>4</v>
      </c>
      <c r="M962" s="36"/>
    </row>
    <row r="963" spans="1:13" x14ac:dyDescent="0.25">
      <c r="A963" s="36"/>
      <c r="B963" s="129" t="s">
        <v>8</v>
      </c>
      <c r="C963" s="28">
        <v>44627</v>
      </c>
      <c r="D963" s="36" t="s">
        <v>189</v>
      </c>
      <c r="E963" s="36" t="s">
        <v>222</v>
      </c>
      <c r="F963" s="36" t="s">
        <v>196</v>
      </c>
      <c r="G963" s="36" t="s">
        <v>790</v>
      </c>
      <c r="H963" s="36">
        <v>1</v>
      </c>
      <c r="I963" s="36" t="s">
        <v>179</v>
      </c>
      <c r="J963" s="36">
        <f>YEAR(RESER3[[#This Row],[DATA]])</f>
        <v>2022</v>
      </c>
      <c r="K963" s="36">
        <f>MONTH(C963)</f>
        <v>3</v>
      </c>
      <c r="L963" s="36">
        <f>DAY(RESER3[[#This Row],[DATA]])</f>
        <v>7</v>
      </c>
      <c r="M963" s="36"/>
    </row>
    <row r="964" spans="1:13" x14ac:dyDescent="0.25">
      <c r="A964" s="36"/>
      <c r="B964" s="129" t="s">
        <v>40</v>
      </c>
      <c r="C964" s="28">
        <v>44627</v>
      </c>
      <c r="D964" s="36" t="s">
        <v>189</v>
      </c>
      <c r="E964" s="36" t="s">
        <v>462</v>
      </c>
      <c r="F964" s="36" t="s">
        <v>228</v>
      </c>
      <c r="G964" s="165" t="s">
        <v>901</v>
      </c>
      <c r="H964" s="36">
        <v>1</v>
      </c>
      <c r="I964" s="36" t="s">
        <v>179</v>
      </c>
      <c r="J964" s="36">
        <f>YEAR(RESER3[[#This Row],[DATA]])</f>
        <v>2022</v>
      </c>
      <c r="K964" s="36">
        <f>MONTH(C964)</f>
        <v>3</v>
      </c>
      <c r="L964" s="36">
        <f>DAY(RESER3[[#This Row],[DATA]])</f>
        <v>7</v>
      </c>
      <c r="M964" s="36"/>
    </row>
    <row r="965" spans="1:13" x14ac:dyDescent="0.25">
      <c r="A965" s="36"/>
      <c r="B965" s="129" t="s">
        <v>8</v>
      </c>
      <c r="C965" s="28">
        <v>44627</v>
      </c>
      <c r="D965" s="36" t="s">
        <v>189</v>
      </c>
      <c r="E965" s="36" t="s">
        <v>222</v>
      </c>
      <c r="F965" s="36" t="s">
        <v>196</v>
      </c>
      <c r="G965" s="36" t="s">
        <v>790</v>
      </c>
      <c r="H965" s="36">
        <v>1</v>
      </c>
      <c r="I965" s="36" t="s">
        <v>179</v>
      </c>
      <c r="J965" s="36">
        <f>YEAR(RESER3[[#This Row],[DATA]])</f>
        <v>2022</v>
      </c>
      <c r="K965" s="36">
        <f>MONTH(C965)</f>
        <v>3</v>
      </c>
      <c r="L965" s="36">
        <f>DAY(RESER3[[#This Row],[DATA]])</f>
        <v>7</v>
      </c>
      <c r="M965" s="36"/>
    </row>
    <row r="966" spans="1:13" x14ac:dyDescent="0.25">
      <c r="A966" s="36"/>
      <c r="B966" s="129" t="s">
        <v>9</v>
      </c>
      <c r="C966" s="28">
        <v>44627</v>
      </c>
      <c r="D966" s="36" t="s">
        <v>189</v>
      </c>
      <c r="E966" s="36" t="s">
        <v>462</v>
      </c>
      <c r="F966" s="36" t="s">
        <v>196</v>
      </c>
      <c r="G966" s="36" t="s">
        <v>790</v>
      </c>
      <c r="H966" s="36">
        <v>1</v>
      </c>
      <c r="I966" s="36" t="s">
        <v>179</v>
      </c>
      <c r="J966" s="36">
        <f>YEAR(RESER3[[#This Row],[DATA]])</f>
        <v>2022</v>
      </c>
      <c r="K966" s="36">
        <f>MONTH(C966)</f>
        <v>3</v>
      </c>
      <c r="L966" s="36">
        <f>DAY(RESER3[[#This Row],[DATA]])</f>
        <v>7</v>
      </c>
      <c r="M966" s="36"/>
    </row>
    <row r="967" spans="1:13" x14ac:dyDescent="0.25">
      <c r="A967" s="36"/>
      <c r="B967" s="129" t="s">
        <v>4</v>
      </c>
      <c r="C967" s="28">
        <v>44627</v>
      </c>
      <c r="D967" s="36" t="s">
        <v>189</v>
      </c>
      <c r="E967" s="36" t="s">
        <v>462</v>
      </c>
      <c r="F967" s="36" t="s">
        <v>196</v>
      </c>
      <c r="G967" s="36" t="s">
        <v>790</v>
      </c>
      <c r="H967" s="36">
        <v>1</v>
      </c>
      <c r="I967" s="36" t="s">
        <v>179</v>
      </c>
      <c r="J967" s="36">
        <f>YEAR(RESER3[[#This Row],[DATA]])</f>
        <v>2022</v>
      </c>
      <c r="K967" s="36">
        <f>MONTH(C967)</f>
        <v>3</v>
      </c>
      <c r="L967" s="36">
        <f>DAY(RESER3[[#This Row],[DATA]])</f>
        <v>7</v>
      </c>
      <c r="M967" s="36"/>
    </row>
    <row r="968" spans="1:13" x14ac:dyDescent="0.25">
      <c r="A968" s="36"/>
      <c r="B968" s="129" t="s">
        <v>20</v>
      </c>
      <c r="C968" s="28">
        <v>44627</v>
      </c>
      <c r="D968" s="36" t="s">
        <v>189</v>
      </c>
      <c r="E968" s="36" t="s">
        <v>222</v>
      </c>
      <c r="F968" s="36" t="s">
        <v>194</v>
      </c>
      <c r="G968" s="36" t="s">
        <v>475</v>
      </c>
      <c r="H968" s="36">
        <v>1</v>
      </c>
      <c r="I968" s="36" t="s">
        <v>179</v>
      </c>
      <c r="J968" s="36">
        <f>YEAR(RESER3[[#This Row],[DATA]])</f>
        <v>2022</v>
      </c>
      <c r="K968" s="36">
        <f>MONTH(RESER3[[#This Row],[DATA]])</f>
        <v>3</v>
      </c>
      <c r="L968" s="36">
        <f>DAY(RESER3[[#This Row],[DATA]])</f>
        <v>7</v>
      </c>
      <c r="M968" s="36"/>
    </row>
    <row r="969" spans="1:13" x14ac:dyDescent="0.25">
      <c r="A969" s="36"/>
      <c r="B969" s="129" t="s">
        <v>40</v>
      </c>
      <c r="C969" s="28">
        <v>44628</v>
      </c>
      <c r="D969" s="36" t="s">
        <v>189</v>
      </c>
      <c r="E969" s="36" t="s">
        <v>462</v>
      </c>
      <c r="F969" s="36" t="s">
        <v>228</v>
      </c>
      <c r="G969" s="36" t="s">
        <v>901</v>
      </c>
      <c r="H969" s="36">
        <v>1</v>
      </c>
      <c r="I969" s="36" t="s">
        <v>179</v>
      </c>
      <c r="J969" s="36">
        <f>YEAR(RESER3[[#This Row],[DATA]])</f>
        <v>2022</v>
      </c>
      <c r="K969" s="36">
        <f>MONTH(C969)</f>
        <v>3</v>
      </c>
      <c r="L969" s="36">
        <f>DAY(RESER3[[#This Row],[DATA]])</f>
        <v>8</v>
      </c>
      <c r="M969" s="36"/>
    </row>
    <row r="970" spans="1:13" x14ac:dyDescent="0.25">
      <c r="A970" s="36"/>
      <c r="B970" s="129" t="s">
        <v>112</v>
      </c>
      <c r="C970" s="28">
        <v>44628</v>
      </c>
      <c r="D970" s="36" t="s">
        <v>189</v>
      </c>
      <c r="E970" s="36" t="s">
        <v>462</v>
      </c>
      <c r="F970" s="36" t="s">
        <v>265</v>
      </c>
      <c r="G970" s="36" t="s">
        <v>477</v>
      </c>
      <c r="H970" s="36">
        <v>1</v>
      </c>
      <c r="I970" s="36" t="s">
        <v>179</v>
      </c>
      <c r="J970" s="36">
        <f>YEAR(RESER3[[#This Row],[DATA]])</f>
        <v>2022</v>
      </c>
      <c r="K970" s="36">
        <f>MONTH(C970)</f>
        <v>3</v>
      </c>
      <c r="L970" s="36">
        <f>DAY(RESER3[[#This Row],[DATA]])</f>
        <v>8</v>
      </c>
      <c r="M970" s="36"/>
    </row>
    <row r="971" spans="1:13" x14ac:dyDescent="0.25">
      <c r="A971" s="36"/>
      <c r="B971" s="129" t="s">
        <v>40</v>
      </c>
      <c r="C971" s="28">
        <v>44630</v>
      </c>
      <c r="D971" s="36" t="s">
        <v>189</v>
      </c>
      <c r="E971" s="36" t="s">
        <v>222</v>
      </c>
      <c r="F971" s="36" t="s">
        <v>196</v>
      </c>
      <c r="G971" s="36" t="s">
        <v>790</v>
      </c>
      <c r="H971" s="36">
        <v>1</v>
      </c>
      <c r="I971" s="36" t="s">
        <v>179</v>
      </c>
      <c r="J971" s="36">
        <f>YEAR(RESER3[[#This Row],[DATA]])</f>
        <v>2022</v>
      </c>
      <c r="K971" s="36">
        <f>MONTH(C971)</f>
        <v>3</v>
      </c>
      <c r="L971" s="36">
        <f>DAY(RESER3[[#This Row],[DATA]])</f>
        <v>10</v>
      </c>
      <c r="M971" s="36"/>
    </row>
    <row r="972" spans="1:13" x14ac:dyDescent="0.25">
      <c r="A972" s="36"/>
      <c r="B972" s="129" t="s">
        <v>41</v>
      </c>
      <c r="C972" s="28">
        <v>44630</v>
      </c>
      <c r="D972" s="36" t="s">
        <v>189</v>
      </c>
      <c r="E972" s="36" t="s">
        <v>222</v>
      </c>
      <c r="F972" s="36" t="s">
        <v>196</v>
      </c>
      <c r="G972" s="36" t="s">
        <v>790</v>
      </c>
      <c r="H972" s="36">
        <v>1</v>
      </c>
      <c r="I972" s="36" t="s">
        <v>179</v>
      </c>
      <c r="J972" s="36">
        <f>YEAR(RESER3[[#This Row],[DATA]])</f>
        <v>2022</v>
      </c>
      <c r="K972" s="36">
        <f>MONTH(C972)</f>
        <v>3</v>
      </c>
      <c r="L972" s="36">
        <f>DAY(RESER3[[#This Row],[DATA]])</f>
        <v>10</v>
      </c>
      <c r="M972" s="36"/>
    </row>
    <row r="973" spans="1:13" x14ac:dyDescent="0.25">
      <c r="A973" s="36"/>
      <c r="B973" s="129" t="s">
        <v>14</v>
      </c>
      <c r="C973" s="28">
        <v>44630</v>
      </c>
      <c r="D973" s="36" t="s">
        <v>189</v>
      </c>
      <c r="E973" s="36" t="s">
        <v>222</v>
      </c>
      <c r="F973" s="36" t="s">
        <v>228</v>
      </c>
      <c r="G973" s="36" t="s">
        <v>902</v>
      </c>
      <c r="H973" s="36">
        <v>1</v>
      </c>
      <c r="I973" s="36" t="s">
        <v>179</v>
      </c>
      <c r="J973" s="36">
        <f>YEAR(RESER3[[#This Row],[DATA]])</f>
        <v>2022</v>
      </c>
      <c r="K973" s="36">
        <f>MONTH(RESER3[[#This Row],[DATA]])</f>
        <v>3</v>
      </c>
      <c r="L973" s="36">
        <f>DAY(RESER3[[#This Row],[DATA]])</f>
        <v>10</v>
      </c>
      <c r="M973" s="36"/>
    </row>
    <row r="974" spans="1:13" x14ac:dyDescent="0.25">
      <c r="A974" s="36"/>
      <c r="B974" s="129" t="s">
        <v>112</v>
      </c>
      <c r="C974" s="28">
        <v>44631</v>
      </c>
      <c r="D974" s="36" t="s">
        <v>189</v>
      </c>
      <c r="E974" s="36" t="s">
        <v>462</v>
      </c>
      <c r="F974" s="36" t="s">
        <v>894</v>
      </c>
      <c r="G974" s="36" t="s">
        <v>907</v>
      </c>
      <c r="H974" s="36">
        <v>1</v>
      </c>
      <c r="I974" s="36" t="s">
        <v>179</v>
      </c>
      <c r="J974" s="36">
        <f>YEAR(RESER3[[#This Row],[DATA]])</f>
        <v>2022</v>
      </c>
      <c r="K974" s="36">
        <f>MONTH(C974)</f>
        <v>3</v>
      </c>
      <c r="L974" s="36">
        <f>DAY(RESER3[[#This Row],[DATA]])</f>
        <v>11</v>
      </c>
      <c r="M974" s="36"/>
    </row>
    <row r="975" spans="1:13" x14ac:dyDescent="0.25">
      <c r="A975" s="36"/>
      <c r="B975" s="129" t="s">
        <v>8</v>
      </c>
      <c r="C975" s="28">
        <v>44634</v>
      </c>
      <c r="D975" s="36" t="s">
        <v>189</v>
      </c>
      <c r="E975" s="36" t="s">
        <v>222</v>
      </c>
      <c r="F975" s="36" t="s">
        <v>228</v>
      </c>
      <c r="G975" s="36" t="s">
        <v>901</v>
      </c>
      <c r="H975" s="36">
        <v>1</v>
      </c>
      <c r="I975" s="36" t="s">
        <v>179</v>
      </c>
      <c r="J975" s="36">
        <f>YEAR(RESER3[[#This Row],[DATA]])</f>
        <v>2022</v>
      </c>
      <c r="K975" s="36">
        <f>MONTH(C975)</f>
        <v>3</v>
      </c>
      <c r="L975" s="36">
        <f>DAY(RESER3[[#This Row],[DATA]])</f>
        <v>14</v>
      </c>
      <c r="M975" s="36"/>
    </row>
    <row r="976" spans="1:13" x14ac:dyDescent="0.25">
      <c r="A976" s="36"/>
      <c r="B976" s="129" t="s">
        <v>9</v>
      </c>
      <c r="C976" s="28">
        <v>44634</v>
      </c>
      <c r="D976" s="36" t="s">
        <v>189</v>
      </c>
      <c r="E976" s="36" t="s">
        <v>462</v>
      </c>
      <c r="F976" s="36" t="s">
        <v>202</v>
      </c>
      <c r="G976" s="36" t="s">
        <v>904</v>
      </c>
      <c r="H976" s="36">
        <v>1</v>
      </c>
      <c r="I976" s="36" t="s">
        <v>179</v>
      </c>
      <c r="J976" s="36">
        <f>YEAR(RESER3[[#This Row],[DATA]])</f>
        <v>2022</v>
      </c>
      <c r="K976" s="36">
        <f>MONTH(C976)</f>
        <v>3</v>
      </c>
      <c r="L976" s="36">
        <f>DAY(RESER3[[#This Row],[DATA]])</f>
        <v>14</v>
      </c>
      <c r="M976" s="36"/>
    </row>
    <row r="977" spans="1:13" x14ac:dyDescent="0.25">
      <c r="A977" s="36"/>
      <c r="B977" s="129" t="s">
        <v>4</v>
      </c>
      <c r="C977" s="28">
        <v>44634</v>
      </c>
      <c r="D977" s="36" t="s">
        <v>189</v>
      </c>
      <c r="E977" s="36" t="s">
        <v>222</v>
      </c>
      <c r="F977" s="36" t="s">
        <v>265</v>
      </c>
      <c r="G977" s="36" t="s">
        <v>477</v>
      </c>
      <c r="H977" s="36">
        <v>1</v>
      </c>
      <c r="I977" s="36" t="s">
        <v>179</v>
      </c>
      <c r="J977" s="36">
        <f>YEAR(RESER3[[#This Row],[DATA]])</f>
        <v>2022</v>
      </c>
      <c r="K977" s="36">
        <f>MONTH(C977)</f>
        <v>3</v>
      </c>
      <c r="L977" s="36">
        <f>DAY(RESER3[[#This Row],[DATA]])</f>
        <v>14</v>
      </c>
      <c r="M977" s="36"/>
    </row>
    <row r="978" spans="1:13" x14ac:dyDescent="0.25">
      <c r="A978" s="36"/>
      <c r="B978" s="129" t="s">
        <v>18</v>
      </c>
      <c r="C978" s="28">
        <v>44634</v>
      </c>
      <c r="D978" s="36" t="s">
        <v>189</v>
      </c>
      <c r="E978" s="36" t="s">
        <v>462</v>
      </c>
      <c r="F978" s="36" t="s">
        <v>265</v>
      </c>
      <c r="G978" s="165" t="s">
        <v>903</v>
      </c>
      <c r="H978" s="36">
        <v>1</v>
      </c>
      <c r="I978" s="36" t="s">
        <v>179</v>
      </c>
      <c r="J978" s="36">
        <f>YEAR(RESER3[[#This Row],[DATA]])</f>
        <v>2022</v>
      </c>
      <c r="K978" s="36">
        <f>MONTH(RESER3[[#This Row],[DATA]])</f>
        <v>3</v>
      </c>
      <c r="L978" s="36">
        <f>DAY(RESER3[[#This Row],[DATA]])</f>
        <v>14</v>
      </c>
      <c r="M978" s="36"/>
    </row>
    <row r="979" spans="1:13" x14ac:dyDescent="0.25">
      <c r="A979" s="36"/>
      <c r="B979" s="129" t="s">
        <v>112</v>
      </c>
      <c r="C979" s="28">
        <v>44635</v>
      </c>
      <c r="D979" s="36" t="s">
        <v>189</v>
      </c>
      <c r="E979" s="36" t="s">
        <v>462</v>
      </c>
      <c r="F979" s="36" t="s">
        <v>265</v>
      </c>
      <c r="G979" s="165" t="s">
        <v>477</v>
      </c>
      <c r="H979" s="36">
        <v>1</v>
      </c>
      <c r="I979" s="36" t="s">
        <v>179</v>
      </c>
      <c r="J979" s="36">
        <f>YEAR(RESER3[[#This Row],[DATA]])</f>
        <v>2022</v>
      </c>
      <c r="K979" s="36">
        <f>MONTH(C979)</f>
        <v>3</v>
      </c>
      <c r="L979" s="36">
        <f>DAY(RESER3[[#This Row],[DATA]])</f>
        <v>15</v>
      </c>
      <c r="M979" s="36"/>
    </row>
    <row r="980" spans="1:13" x14ac:dyDescent="0.25">
      <c r="A980" s="36"/>
      <c r="B980" s="129" t="s">
        <v>41</v>
      </c>
      <c r="C980" s="28">
        <v>44635</v>
      </c>
      <c r="D980" s="36" t="s">
        <v>189</v>
      </c>
      <c r="E980" s="36" t="s">
        <v>222</v>
      </c>
      <c r="F980" s="36" t="s">
        <v>265</v>
      </c>
      <c r="G980" s="165" t="s">
        <v>477</v>
      </c>
      <c r="H980" s="36">
        <v>1</v>
      </c>
      <c r="I980" s="36" t="s">
        <v>179</v>
      </c>
      <c r="J980" s="36">
        <f>YEAR(RESER3[[#This Row],[DATA]])</f>
        <v>2022</v>
      </c>
      <c r="K980" s="36">
        <f>MONTH(C980)</f>
        <v>3</v>
      </c>
      <c r="L980" s="36">
        <f>DAY(RESER3[[#This Row],[DATA]])</f>
        <v>15</v>
      </c>
      <c r="M980" s="36"/>
    </row>
    <row r="981" spans="1:13" x14ac:dyDescent="0.25">
      <c r="A981" s="36"/>
      <c r="B981" s="129" t="s">
        <v>21</v>
      </c>
      <c r="C981" s="28">
        <v>44635</v>
      </c>
      <c r="D981" s="36" t="s">
        <v>189</v>
      </c>
      <c r="E981" s="36" t="s">
        <v>222</v>
      </c>
      <c r="F981" s="36" t="s">
        <v>228</v>
      </c>
      <c r="G981" s="36" t="s">
        <v>901</v>
      </c>
      <c r="H981" s="36">
        <v>1</v>
      </c>
      <c r="I981" s="36" t="s">
        <v>179</v>
      </c>
      <c r="J981" s="36">
        <f>YEAR(RESER3[[#This Row],[DATA]])</f>
        <v>2022</v>
      </c>
      <c r="K981" s="36">
        <f>MONTH(RESER3[[#This Row],[DATA]])</f>
        <v>3</v>
      </c>
      <c r="L981" s="36">
        <f>DAY(RESER3[[#This Row],[DATA]])</f>
        <v>15</v>
      </c>
      <c r="M981" s="36"/>
    </row>
    <row r="982" spans="1:13" x14ac:dyDescent="0.25">
      <c r="A982" s="36"/>
      <c r="B982" s="129" t="s">
        <v>17</v>
      </c>
      <c r="C982" s="28">
        <v>44635</v>
      </c>
      <c r="D982" s="36" t="s">
        <v>189</v>
      </c>
      <c r="E982" s="36" t="s">
        <v>462</v>
      </c>
      <c r="F982" s="36" t="s">
        <v>202</v>
      </c>
      <c r="G982" s="36" t="s">
        <v>904</v>
      </c>
      <c r="H982" s="36">
        <v>1</v>
      </c>
      <c r="I982" s="36" t="s">
        <v>179</v>
      </c>
      <c r="J982" s="36">
        <f>YEAR(RESER3[[#This Row],[DATA]])</f>
        <v>2022</v>
      </c>
      <c r="K982" s="36">
        <f>MONTH(RESER3[[#This Row],[DATA]])</f>
        <v>3</v>
      </c>
      <c r="L982" s="36">
        <f>DAY(RESER3[[#This Row],[DATA]])</f>
        <v>15</v>
      </c>
      <c r="M982" s="36"/>
    </row>
    <row r="983" spans="1:13" x14ac:dyDescent="0.25">
      <c r="A983" s="36"/>
      <c r="B983" s="129" t="s">
        <v>21</v>
      </c>
      <c r="C983" s="28">
        <v>44636</v>
      </c>
      <c r="D983" s="36" t="s">
        <v>189</v>
      </c>
      <c r="E983" s="36" t="s">
        <v>462</v>
      </c>
      <c r="F983" s="36" t="s">
        <v>194</v>
      </c>
      <c r="G983" s="36" t="s">
        <v>475</v>
      </c>
      <c r="H983" s="36">
        <v>1</v>
      </c>
      <c r="I983" s="36" t="s">
        <v>179</v>
      </c>
      <c r="J983" s="36">
        <f>YEAR(RESER3[[#This Row],[DATA]])</f>
        <v>2022</v>
      </c>
      <c r="K983" s="36">
        <f>MONTH(RESER3[[#This Row],[DATA]])</f>
        <v>3</v>
      </c>
      <c r="L983" s="36">
        <f>DAY(RESER3[[#This Row],[DATA]])</f>
        <v>16</v>
      </c>
      <c r="M983" s="36"/>
    </row>
    <row r="984" spans="1:13" x14ac:dyDescent="0.25">
      <c r="A984" s="36"/>
      <c r="B984" s="129" t="s">
        <v>8</v>
      </c>
      <c r="C984" s="28">
        <v>44637</v>
      </c>
      <c r="D984" s="36" t="s">
        <v>189</v>
      </c>
      <c r="E984" s="36" t="s">
        <v>222</v>
      </c>
      <c r="F984" s="36" t="s">
        <v>245</v>
      </c>
      <c r="G984" s="36" t="s">
        <v>474</v>
      </c>
      <c r="H984" s="36">
        <v>1</v>
      </c>
      <c r="I984" s="36" t="s">
        <v>179</v>
      </c>
      <c r="J984" s="36">
        <f>YEAR(RESER3[[#This Row],[DATA]])</f>
        <v>2022</v>
      </c>
      <c r="K984" s="36">
        <f>MONTH(C984)</f>
        <v>3</v>
      </c>
      <c r="L984" s="36">
        <f>DAY(RESER3[[#This Row],[DATA]])</f>
        <v>17</v>
      </c>
      <c r="M984" s="36"/>
    </row>
    <row r="985" spans="1:13" x14ac:dyDescent="0.25">
      <c r="A985" s="36"/>
      <c r="B985" s="129" t="s">
        <v>41</v>
      </c>
      <c r="C985" s="28">
        <v>44637</v>
      </c>
      <c r="D985" s="36" t="s">
        <v>189</v>
      </c>
      <c r="E985" s="36" t="s">
        <v>222</v>
      </c>
      <c r="F985" s="36" t="s">
        <v>265</v>
      </c>
      <c r="G985" s="36" t="s">
        <v>477</v>
      </c>
      <c r="H985" s="36">
        <v>1</v>
      </c>
      <c r="I985" s="36" t="s">
        <v>179</v>
      </c>
      <c r="J985" s="36">
        <f>YEAR(RESER3[[#This Row],[DATA]])</f>
        <v>2022</v>
      </c>
      <c r="K985" s="36">
        <f>MONTH(C985)</f>
        <v>3</v>
      </c>
      <c r="L985" s="36">
        <f>DAY(RESER3[[#This Row],[DATA]])</f>
        <v>17</v>
      </c>
      <c r="M985" s="36"/>
    </row>
    <row r="986" spans="1:13" x14ac:dyDescent="0.25">
      <c r="A986" s="36"/>
      <c r="B986" s="129" t="s">
        <v>112</v>
      </c>
      <c r="C986" s="28">
        <v>44637</v>
      </c>
      <c r="D986" s="36" t="s">
        <v>189</v>
      </c>
      <c r="E986" s="36" t="s">
        <v>462</v>
      </c>
      <c r="F986" s="36" t="s">
        <v>245</v>
      </c>
      <c r="G986" s="36" t="s">
        <v>474</v>
      </c>
      <c r="H986" s="36">
        <v>1</v>
      </c>
      <c r="I986" s="36" t="s">
        <v>179</v>
      </c>
      <c r="J986" s="36">
        <f>YEAR(RESER3[[#This Row],[DATA]])</f>
        <v>2022</v>
      </c>
      <c r="K986" s="36">
        <f>MONTH(C986)</f>
        <v>3</v>
      </c>
      <c r="L986" s="36">
        <f>DAY(RESER3[[#This Row],[DATA]])</f>
        <v>17</v>
      </c>
      <c r="M986" s="36"/>
    </row>
    <row r="987" spans="1:13" x14ac:dyDescent="0.25">
      <c r="A987" s="36"/>
      <c r="B987" s="129" t="s">
        <v>98</v>
      </c>
      <c r="C987" s="28">
        <v>44637</v>
      </c>
      <c r="D987" s="36" t="s">
        <v>189</v>
      </c>
      <c r="E987" s="36" t="s">
        <v>222</v>
      </c>
      <c r="F987" s="36" t="s">
        <v>245</v>
      </c>
      <c r="G987" s="36" t="s">
        <v>474</v>
      </c>
      <c r="H987" s="36">
        <v>1</v>
      </c>
      <c r="I987" s="36" t="s">
        <v>179</v>
      </c>
      <c r="J987" s="36">
        <f>YEAR(RESER3[[#This Row],[DATA]])</f>
        <v>2022</v>
      </c>
      <c r="K987" s="36">
        <f>MONTH(RESER3[[#This Row],[DATA]])</f>
        <v>3</v>
      </c>
      <c r="L987" s="36">
        <f>DAY(RESER3[[#This Row],[DATA]])</f>
        <v>17</v>
      </c>
      <c r="M987" s="36"/>
    </row>
    <row r="988" spans="1:13" x14ac:dyDescent="0.25">
      <c r="A988" s="36"/>
      <c r="B988" s="129" t="s">
        <v>9</v>
      </c>
      <c r="C988" s="28">
        <v>44638</v>
      </c>
      <c r="D988" s="36" t="s">
        <v>189</v>
      </c>
      <c r="E988" s="36" t="s">
        <v>462</v>
      </c>
      <c r="F988" s="36" t="s">
        <v>245</v>
      </c>
      <c r="G988" s="36" t="s">
        <v>474</v>
      </c>
      <c r="H988" s="36">
        <v>1</v>
      </c>
      <c r="I988" s="36" t="s">
        <v>179</v>
      </c>
      <c r="J988" s="36">
        <f>YEAR(RESER3[[#This Row],[DATA]])</f>
        <v>2022</v>
      </c>
      <c r="K988" s="36">
        <f>MONTH(C988)</f>
        <v>3</v>
      </c>
      <c r="L988" s="36">
        <f>DAY(RESER3[[#This Row],[DATA]])</f>
        <v>18</v>
      </c>
      <c r="M988" s="36"/>
    </row>
    <row r="989" spans="1:13" x14ac:dyDescent="0.25">
      <c r="A989" s="36"/>
      <c r="B989" s="129" t="s">
        <v>17</v>
      </c>
      <c r="C989" s="28">
        <v>44638</v>
      </c>
      <c r="D989" s="36" t="s">
        <v>189</v>
      </c>
      <c r="E989" s="36" t="s">
        <v>222</v>
      </c>
      <c r="F989" s="36" t="s">
        <v>202</v>
      </c>
      <c r="G989" s="36" t="s">
        <v>904</v>
      </c>
      <c r="H989" s="36">
        <v>1</v>
      </c>
      <c r="I989" s="36" t="s">
        <v>179</v>
      </c>
      <c r="J989" s="36">
        <f>YEAR(RESER3[[#This Row],[DATA]])</f>
        <v>2022</v>
      </c>
      <c r="K989" s="36">
        <f>MONTH(RESER3[[#This Row],[DATA]])</f>
        <v>3</v>
      </c>
      <c r="L989" s="36">
        <f>DAY(RESER3[[#This Row],[DATA]])</f>
        <v>18</v>
      </c>
      <c r="M989" s="36"/>
    </row>
    <row r="990" spans="1:13" x14ac:dyDescent="0.25">
      <c r="A990" s="36"/>
      <c r="B990" s="129" t="s">
        <v>40</v>
      </c>
      <c r="C990" s="28">
        <v>44642</v>
      </c>
      <c r="D990" s="36" t="s">
        <v>189</v>
      </c>
      <c r="E990" s="36" t="s">
        <v>462</v>
      </c>
      <c r="F990" s="36" t="s">
        <v>196</v>
      </c>
      <c r="G990" s="36" t="s">
        <v>790</v>
      </c>
      <c r="H990" s="36">
        <v>1</v>
      </c>
      <c r="I990" s="36" t="s">
        <v>179</v>
      </c>
      <c r="J990" s="36">
        <f>YEAR(RESER3[[#This Row],[DATA]])</f>
        <v>2022</v>
      </c>
      <c r="K990" s="36">
        <f>MONTH(C990)</f>
        <v>3</v>
      </c>
      <c r="L990" s="36">
        <f>DAY(RESER3[[#This Row],[DATA]])</f>
        <v>22</v>
      </c>
      <c r="M990" s="36"/>
    </row>
    <row r="991" spans="1:13" x14ac:dyDescent="0.25">
      <c r="A991" s="36"/>
      <c r="B991" s="129" t="s">
        <v>41</v>
      </c>
      <c r="C991" s="28">
        <v>44642</v>
      </c>
      <c r="D991" s="36" t="s">
        <v>189</v>
      </c>
      <c r="E991" s="36" t="s">
        <v>462</v>
      </c>
      <c r="F991" s="36" t="s">
        <v>196</v>
      </c>
      <c r="G991" s="36" t="s">
        <v>790</v>
      </c>
      <c r="H991" s="36">
        <v>1</v>
      </c>
      <c r="I991" s="36" t="s">
        <v>179</v>
      </c>
      <c r="J991" s="36">
        <f>YEAR(RESER3[[#This Row],[DATA]])</f>
        <v>2022</v>
      </c>
      <c r="K991" s="36">
        <f>MONTH(C991)</f>
        <v>3</v>
      </c>
      <c r="L991" s="36">
        <f>DAY(RESER3[[#This Row],[DATA]])</f>
        <v>22</v>
      </c>
      <c r="M991" s="36"/>
    </row>
    <row r="992" spans="1:13" x14ac:dyDescent="0.25">
      <c r="A992" s="36"/>
      <c r="B992" s="129" t="s">
        <v>21</v>
      </c>
      <c r="C992" s="28">
        <v>44643</v>
      </c>
      <c r="D992" s="36" t="s">
        <v>189</v>
      </c>
      <c r="E992" s="36" t="s">
        <v>462</v>
      </c>
      <c r="F992" s="36" t="s">
        <v>202</v>
      </c>
      <c r="G992" s="165" t="s">
        <v>904</v>
      </c>
      <c r="H992" s="36">
        <v>1</v>
      </c>
      <c r="I992" s="36" t="s">
        <v>179</v>
      </c>
      <c r="J992" s="36">
        <f>YEAR(RESER3[[#This Row],[DATA]])</f>
        <v>2022</v>
      </c>
      <c r="K992" s="36">
        <f>MONTH(RESER3[[#This Row],[DATA]])</f>
        <v>3</v>
      </c>
      <c r="L992" s="36">
        <f>DAY(RESER3[[#This Row],[DATA]])</f>
        <v>23</v>
      </c>
      <c r="M992" s="36"/>
    </row>
    <row r="993" spans="1:13" x14ac:dyDescent="0.25">
      <c r="A993" s="36"/>
      <c r="B993" s="129" t="s">
        <v>18</v>
      </c>
      <c r="C993" s="28">
        <v>44643</v>
      </c>
      <c r="D993" s="36" t="s">
        <v>189</v>
      </c>
      <c r="E993" s="36" t="s">
        <v>462</v>
      </c>
      <c r="F993" s="36" t="s">
        <v>265</v>
      </c>
      <c r="G993" s="36" t="s">
        <v>477</v>
      </c>
      <c r="H993" s="36">
        <v>1</v>
      </c>
      <c r="I993" s="36" t="s">
        <v>179</v>
      </c>
      <c r="J993" s="36">
        <f>YEAR(RESER3[[#This Row],[DATA]])</f>
        <v>2022</v>
      </c>
      <c r="K993" s="36">
        <f>MONTH(RESER3[[#This Row],[DATA]])</f>
        <v>3</v>
      </c>
      <c r="L993" s="36">
        <f>DAY(RESER3[[#This Row],[DATA]])</f>
        <v>23</v>
      </c>
      <c r="M993" s="36"/>
    </row>
    <row r="994" spans="1:13" x14ac:dyDescent="0.25">
      <c r="A994" s="36"/>
      <c r="B994" s="129" t="s">
        <v>19</v>
      </c>
      <c r="C994" s="28">
        <v>44644</v>
      </c>
      <c r="D994" s="36" t="s">
        <v>189</v>
      </c>
      <c r="E994" s="36" t="s">
        <v>462</v>
      </c>
      <c r="F994" s="36" t="s">
        <v>528</v>
      </c>
      <c r="G994" s="36" t="s">
        <v>905</v>
      </c>
      <c r="H994" s="36">
        <v>1</v>
      </c>
      <c r="I994" s="36" t="s">
        <v>179</v>
      </c>
      <c r="J994" s="36">
        <f>YEAR(RESER3[[#This Row],[DATA]])</f>
        <v>2022</v>
      </c>
      <c r="K994" s="36">
        <f>MONTH(RESER3[[#This Row],[DATA]])</f>
        <v>3</v>
      </c>
      <c r="L994" s="36">
        <f>DAY(RESER3[[#This Row],[DATA]])</f>
        <v>24</v>
      </c>
      <c r="M994" s="36"/>
    </row>
    <row r="995" spans="1:13" x14ac:dyDescent="0.25">
      <c r="A995" s="36"/>
      <c r="B995" s="129" t="s">
        <v>19</v>
      </c>
      <c r="C995" s="28">
        <v>44645</v>
      </c>
      <c r="D995" s="36" t="s">
        <v>189</v>
      </c>
      <c r="E995" s="36" t="s">
        <v>222</v>
      </c>
      <c r="F995" s="36" t="s">
        <v>202</v>
      </c>
      <c r="G995" s="36" t="s">
        <v>904</v>
      </c>
      <c r="H995" s="36">
        <v>1</v>
      </c>
      <c r="I995" s="36" t="s">
        <v>179</v>
      </c>
      <c r="J995" s="36">
        <f>YEAR(RESER3[[#This Row],[DATA]])</f>
        <v>2022</v>
      </c>
      <c r="K995" s="36">
        <f>MONTH(RESER3[[#This Row],[DATA]])</f>
        <v>3</v>
      </c>
      <c r="L995" s="36">
        <f>DAY(RESER3[[#This Row],[DATA]])</f>
        <v>25</v>
      </c>
      <c r="M995" s="36"/>
    </row>
    <row r="996" spans="1:13" x14ac:dyDescent="0.25">
      <c r="A996" s="36"/>
      <c r="B996" s="129" t="s">
        <v>17</v>
      </c>
      <c r="C996" s="28">
        <v>44645</v>
      </c>
      <c r="D996" s="36" t="s">
        <v>189</v>
      </c>
      <c r="E996" s="36" t="s">
        <v>222</v>
      </c>
      <c r="F996" s="36" t="s">
        <v>202</v>
      </c>
      <c r="G996" s="36" t="s">
        <v>904</v>
      </c>
      <c r="H996" s="36">
        <v>1</v>
      </c>
      <c r="I996" s="36" t="s">
        <v>179</v>
      </c>
      <c r="J996" s="36">
        <f>YEAR(RESER3[[#This Row],[DATA]])</f>
        <v>2022</v>
      </c>
      <c r="K996" s="36">
        <f>MONTH(RESER3[[#This Row],[DATA]])</f>
        <v>3</v>
      </c>
      <c r="L996" s="36">
        <f>DAY(RESER3[[#This Row],[DATA]])</f>
        <v>25</v>
      </c>
      <c r="M996" s="36"/>
    </row>
    <row r="997" spans="1:13" x14ac:dyDescent="0.25">
      <c r="A997" s="36"/>
      <c r="B997" s="129" t="s">
        <v>9</v>
      </c>
      <c r="C997" s="28">
        <v>44648</v>
      </c>
      <c r="D997" s="36" t="s">
        <v>189</v>
      </c>
      <c r="E997" s="36" t="s">
        <v>462</v>
      </c>
      <c r="F997" s="36" t="s">
        <v>231</v>
      </c>
      <c r="G997" s="36" t="s">
        <v>909</v>
      </c>
      <c r="H997" s="36">
        <v>1</v>
      </c>
      <c r="I997" s="36" t="s">
        <v>179</v>
      </c>
      <c r="J997" s="36">
        <f>YEAR(RESER3[[#This Row],[DATA]])</f>
        <v>2022</v>
      </c>
      <c r="K997" s="36">
        <f>MONTH(C997)</f>
        <v>3</v>
      </c>
      <c r="L997" s="36">
        <f>DAY(RESER3[[#This Row],[DATA]])</f>
        <v>28</v>
      </c>
      <c r="M997" s="36"/>
    </row>
    <row r="998" spans="1:13" x14ac:dyDescent="0.25">
      <c r="A998" s="36"/>
      <c r="B998" s="129" t="s">
        <v>112</v>
      </c>
      <c r="C998" s="28">
        <v>44648</v>
      </c>
      <c r="D998" s="36" t="s">
        <v>189</v>
      </c>
      <c r="E998" s="36" t="s">
        <v>222</v>
      </c>
      <c r="F998" s="36" t="s">
        <v>194</v>
      </c>
      <c r="G998" s="36" t="s">
        <v>906</v>
      </c>
      <c r="H998" s="36">
        <v>1</v>
      </c>
      <c r="I998" s="36" t="s">
        <v>179</v>
      </c>
      <c r="J998" s="36">
        <f>YEAR(RESER3[[#This Row],[DATA]])</f>
        <v>2022</v>
      </c>
      <c r="K998" s="36">
        <f>MONTH(C998)</f>
        <v>3</v>
      </c>
      <c r="L998" s="36">
        <f>DAY(RESER3[[#This Row],[DATA]])</f>
        <v>28</v>
      </c>
      <c r="M998" s="36"/>
    </row>
    <row r="999" spans="1:13" x14ac:dyDescent="0.25">
      <c r="A999" s="36"/>
      <c r="B999" s="129" t="s">
        <v>9</v>
      </c>
      <c r="C999" s="28">
        <v>44648</v>
      </c>
      <c r="D999" s="36" t="s">
        <v>189</v>
      </c>
      <c r="E999" s="36" t="s">
        <v>222</v>
      </c>
      <c r="F999" s="36" t="s">
        <v>194</v>
      </c>
      <c r="G999" s="36" t="s">
        <v>906</v>
      </c>
      <c r="H999" s="36">
        <v>1</v>
      </c>
      <c r="I999" s="36" t="s">
        <v>179</v>
      </c>
      <c r="J999" s="36">
        <f>YEAR(RESER3[[#This Row],[DATA]])</f>
        <v>2022</v>
      </c>
      <c r="K999" s="36">
        <f>MONTH(C999)</f>
        <v>3</v>
      </c>
      <c r="L999" s="36">
        <f>DAY(RESER3[[#This Row],[DATA]])</f>
        <v>28</v>
      </c>
      <c r="M999" s="36"/>
    </row>
    <row r="1000" spans="1:13" x14ac:dyDescent="0.25">
      <c r="A1000" s="36"/>
      <c r="B1000" s="129" t="s">
        <v>15</v>
      </c>
      <c r="C1000" s="28">
        <v>44648</v>
      </c>
      <c r="D1000" s="36" t="s">
        <v>189</v>
      </c>
      <c r="E1000" s="36" t="s">
        <v>462</v>
      </c>
      <c r="F1000" s="36" t="s">
        <v>228</v>
      </c>
      <c r="G1000" s="36" t="s">
        <v>901</v>
      </c>
      <c r="H1000" s="36">
        <v>1</v>
      </c>
      <c r="I1000" s="36" t="s">
        <v>179</v>
      </c>
      <c r="J1000" s="36">
        <f>YEAR(RESER3[[#This Row],[DATA]])</f>
        <v>2022</v>
      </c>
      <c r="K1000" s="36">
        <f>MONTH(RESER3[[#This Row],[DATA]])</f>
        <v>3</v>
      </c>
      <c r="L1000" s="36">
        <f>DAY(RESER3[[#This Row],[DATA]])</f>
        <v>28</v>
      </c>
      <c r="M1000" s="36"/>
    </row>
    <row r="1001" spans="1:13" x14ac:dyDescent="0.25">
      <c r="A1001" s="36"/>
      <c r="B1001" s="129" t="s">
        <v>15</v>
      </c>
      <c r="C1001" s="28">
        <v>44648</v>
      </c>
      <c r="D1001" s="36" t="s">
        <v>189</v>
      </c>
      <c r="E1001" s="36" t="s">
        <v>462</v>
      </c>
      <c r="F1001" s="36" t="s">
        <v>228</v>
      </c>
      <c r="G1001" s="36" t="s">
        <v>901</v>
      </c>
      <c r="H1001" s="36">
        <v>1</v>
      </c>
      <c r="I1001" s="36" t="s">
        <v>179</v>
      </c>
      <c r="J1001" s="36">
        <f>YEAR(RESER3[[#This Row],[DATA]])</f>
        <v>2022</v>
      </c>
      <c r="K1001" s="36">
        <f>MONTH(RESER3[[#This Row],[DATA]])</f>
        <v>3</v>
      </c>
      <c r="L1001" s="36">
        <f>DAY(RESER3[[#This Row],[DATA]])</f>
        <v>28</v>
      </c>
      <c r="M1001" s="36"/>
    </row>
    <row r="1002" spans="1:13" x14ac:dyDescent="0.25">
      <c r="A1002" s="36"/>
      <c r="B1002" s="129" t="s">
        <v>112</v>
      </c>
      <c r="C1002" s="28">
        <v>44649</v>
      </c>
      <c r="D1002" s="36" t="s">
        <v>189</v>
      </c>
      <c r="E1002" s="36" t="s">
        <v>222</v>
      </c>
      <c r="F1002" s="36" t="s">
        <v>265</v>
      </c>
      <c r="G1002" s="36" t="s">
        <v>477</v>
      </c>
      <c r="H1002" s="36">
        <v>1</v>
      </c>
      <c r="I1002" s="36" t="s">
        <v>179</v>
      </c>
      <c r="J1002" s="36">
        <f>YEAR(RESER3[[#This Row],[DATA]])</f>
        <v>2022</v>
      </c>
      <c r="K1002" s="36">
        <f>MONTH(C1002)</f>
        <v>3</v>
      </c>
      <c r="L1002" s="36">
        <f>DAY(RESER3[[#This Row],[DATA]])</f>
        <v>29</v>
      </c>
      <c r="M1002" s="36"/>
    </row>
    <row r="1003" spans="1:13" x14ac:dyDescent="0.25">
      <c r="A1003" s="36"/>
      <c r="B1003" s="129" t="s">
        <v>40</v>
      </c>
      <c r="C1003" s="28">
        <v>44649</v>
      </c>
      <c r="D1003" s="36" t="s">
        <v>189</v>
      </c>
      <c r="E1003" s="36" t="s">
        <v>222</v>
      </c>
      <c r="F1003" s="36" t="s">
        <v>228</v>
      </c>
      <c r="G1003" s="36" t="s">
        <v>901</v>
      </c>
      <c r="H1003" s="36">
        <v>1</v>
      </c>
      <c r="I1003" s="36" t="s">
        <v>179</v>
      </c>
      <c r="J1003" s="36">
        <f>YEAR(RESER3[[#This Row],[DATA]])</f>
        <v>2022</v>
      </c>
      <c r="K1003" s="36">
        <f>MONTH(C1003)</f>
        <v>3</v>
      </c>
      <c r="L1003" s="36">
        <f>DAY(RESER3[[#This Row],[DATA]])</f>
        <v>29</v>
      </c>
      <c r="M1003" s="36"/>
    </row>
    <row r="1004" spans="1:13" x14ac:dyDescent="0.25">
      <c r="A1004" s="36"/>
      <c r="B1004" s="129" t="s">
        <v>41</v>
      </c>
      <c r="C1004" s="28">
        <v>44649</v>
      </c>
      <c r="D1004" s="36" t="s">
        <v>189</v>
      </c>
      <c r="E1004" s="36" t="s">
        <v>222</v>
      </c>
      <c r="F1004" s="36" t="s">
        <v>196</v>
      </c>
      <c r="G1004" s="36" t="s">
        <v>790</v>
      </c>
      <c r="H1004" s="36">
        <v>1</v>
      </c>
      <c r="I1004" s="36" t="s">
        <v>179</v>
      </c>
      <c r="J1004" s="36">
        <f>YEAR(RESER3[[#This Row],[DATA]])</f>
        <v>2022</v>
      </c>
      <c r="K1004" s="36">
        <f>MONTH(C1004)</f>
        <v>3</v>
      </c>
      <c r="L1004" s="36">
        <f>DAY(RESER3[[#This Row],[DATA]])</f>
        <v>29</v>
      </c>
      <c r="M1004" s="36"/>
    </row>
    <row r="1005" spans="1:13" x14ac:dyDescent="0.25">
      <c r="A1005" s="36"/>
      <c r="B1005" s="129" t="s">
        <v>9</v>
      </c>
      <c r="C1005" s="28">
        <v>44650</v>
      </c>
      <c r="D1005" s="36" t="s">
        <v>189</v>
      </c>
      <c r="E1005" s="36" t="s">
        <v>462</v>
      </c>
      <c r="F1005" s="36" t="s">
        <v>245</v>
      </c>
      <c r="G1005" s="36" t="s">
        <v>474</v>
      </c>
      <c r="H1005" s="36">
        <v>1</v>
      </c>
      <c r="I1005" s="36" t="s">
        <v>179</v>
      </c>
      <c r="J1005" s="36">
        <f>YEAR(RESER3[[#This Row],[DATA]])</f>
        <v>2022</v>
      </c>
      <c r="K1005" s="36">
        <f>MONTH(C1005)</f>
        <v>3</v>
      </c>
      <c r="L1005" s="36">
        <f>DAY(RESER3[[#This Row],[DATA]])</f>
        <v>30</v>
      </c>
      <c r="M1005" s="36"/>
    </row>
    <row r="1006" spans="1:13" x14ac:dyDescent="0.25">
      <c r="A1006" s="36"/>
      <c r="B1006" s="129" t="s">
        <v>17</v>
      </c>
      <c r="C1006" s="28">
        <v>44651</v>
      </c>
      <c r="D1006" s="36" t="s">
        <v>189</v>
      </c>
      <c r="E1006" s="36" t="s">
        <v>462</v>
      </c>
      <c r="F1006" s="36" t="s">
        <v>228</v>
      </c>
      <c r="G1006" s="36" t="s">
        <v>901</v>
      </c>
      <c r="H1006" s="36">
        <v>1</v>
      </c>
      <c r="I1006" s="36" t="s">
        <v>179</v>
      </c>
      <c r="J1006" s="36">
        <f>YEAR(RESER3[[#This Row],[DATA]])</f>
        <v>2022</v>
      </c>
      <c r="K1006" s="36">
        <f>MONTH(RESER3[[#This Row],[DATA]])</f>
        <v>3</v>
      </c>
      <c r="L1006" s="36">
        <f>DAY(RESER3[[#This Row],[DATA]])</f>
        <v>31</v>
      </c>
      <c r="M1006" s="36"/>
    </row>
    <row r="1007" spans="1:13" x14ac:dyDescent="0.25">
      <c r="A1007" s="36"/>
      <c r="B1007" s="129" t="s">
        <v>21</v>
      </c>
      <c r="C1007" s="28">
        <v>44652</v>
      </c>
      <c r="D1007" s="36" t="s">
        <v>189</v>
      </c>
      <c r="E1007" s="36" t="s">
        <v>222</v>
      </c>
      <c r="F1007" s="36" t="s">
        <v>228</v>
      </c>
      <c r="G1007" s="36" t="s">
        <v>901</v>
      </c>
      <c r="H1007" s="36">
        <v>1</v>
      </c>
      <c r="I1007" s="36" t="s">
        <v>179</v>
      </c>
      <c r="J1007" s="36">
        <f>YEAR(RESER3[[#This Row],[DATA]])</f>
        <v>2022</v>
      </c>
      <c r="K1007" s="36">
        <f>MONTH(RESER3[[#This Row],[DATA]])</f>
        <v>4</v>
      </c>
      <c r="L1007" s="36">
        <f>DAY(RESER3[[#This Row],[DATA]])</f>
        <v>1</v>
      </c>
      <c r="M1007" s="36"/>
    </row>
    <row r="1008" spans="1:13" x14ac:dyDescent="0.25">
      <c r="A1008" s="36"/>
      <c r="B1008" s="129" t="s">
        <v>41</v>
      </c>
      <c r="C1008" s="28">
        <v>44656</v>
      </c>
      <c r="D1008" s="36" t="s">
        <v>189</v>
      </c>
      <c r="E1008" s="36" t="s">
        <v>222</v>
      </c>
      <c r="F1008" s="36" t="s">
        <v>228</v>
      </c>
      <c r="G1008" s="36" t="s">
        <v>901</v>
      </c>
      <c r="H1008" s="36">
        <v>1</v>
      </c>
      <c r="I1008" s="36" t="s">
        <v>179</v>
      </c>
      <c r="J1008" s="36">
        <f>YEAR(RESER3[[#This Row],[DATA]])</f>
        <v>2022</v>
      </c>
      <c r="K1008" s="36">
        <f>MONTH(C1008)</f>
        <v>4</v>
      </c>
      <c r="L1008" s="36">
        <f>DAY(RESER3[[#This Row],[DATA]])</f>
        <v>5</v>
      </c>
      <c r="M1008" s="36"/>
    </row>
    <row r="1009" spans="1:13" x14ac:dyDescent="0.25">
      <c r="A1009" s="36"/>
      <c r="B1009" s="129" t="s">
        <v>41</v>
      </c>
      <c r="C1009" s="28">
        <v>44656</v>
      </c>
      <c r="D1009" s="36" t="s">
        <v>189</v>
      </c>
      <c r="E1009" s="36" t="s">
        <v>222</v>
      </c>
      <c r="F1009" s="36" t="s">
        <v>196</v>
      </c>
      <c r="G1009" s="36" t="s">
        <v>790</v>
      </c>
      <c r="H1009" s="36">
        <v>1</v>
      </c>
      <c r="I1009" s="36" t="s">
        <v>179</v>
      </c>
      <c r="J1009" s="36">
        <f>YEAR(RESER3[[#This Row],[DATA]])</f>
        <v>2022</v>
      </c>
      <c r="K1009" s="36">
        <f>MONTH(C1009)</f>
        <v>4</v>
      </c>
      <c r="L1009" s="36">
        <f>DAY(RESER3[[#This Row],[DATA]])</f>
        <v>5</v>
      </c>
      <c r="M1009" s="36"/>
    </row>
    <row r="1010" spans="1:13" x14ac:dyDescent="0.25">
      <c r="A1010" s="36"/>
      <c r="B1010" s="129" t="s">
        <v>41</v>
      </c>
      <c r="C1010" s="170" t="s">
        <v>920</v>
      </c>
      <c r="D1010" s="36" t="s">
        <v>189</v>
      </c>
      <c r="E1010" s="36" t="s">
        <v>462</v>
      </c>
      <c r="F1010" s="36" t="s">
        <v>196</v>
      </c>
      <c r="G1010" s="36" t="s">
        <v>790</v>
      </c>
      <c r="H1010" s="36">
        <v>1</v>
      </c>
      <c r="I1010" s="36" t="s">
        <v>179</v>
      </c>
      <c r="J1010" s="36">
        <f>YEAR(RESER3[[#This Row],[DATA]])</f>
        <v>2022</v>
      </c>
      <c r="K1010" s="36">
        <f>MONTH(C1010)</f>
        <v>4</v>
      </c>
      <c r="L1010" s="36">
        <f>DAY(RESER3[[#This Row],[DATA]])</f>
        <v>6</v>
      </c>
      <c r="M1010" s="36"/>
    </row>
    <row r="1011" spans="1:13" x14ac:dyDescent="0.25">
      <c r="A1011" s="36"/>
      <c r="B1011" s="129" t="s">
        <v>4</v>
      </c>
      <c r="C1011" s="28">
        <v>44657</v>
      </c>
      <c r="D1011" s="36" t="s">
        <v>189</v>
      </c>
      <c r="E1011" s="36" t="s">
        <v>462</v>
      </c>
      <c r="F1011" s="36" t="s">
        <v>196</v>
      </c>
      <c r="G1011" s="36" t="s">
        <v>790</v>
      </c>
      <c r="H1011" s="36">
        <v>1</v>
      </c>
      <c r="I1011" s="36" t="s">
        <v>179</v>
      </c>
      <c r="J1011" s="36">
        <f>YEAR(RESER3[[#This Row],[DATA]])</f>
        <v>2022</v>
      </c>
      <c r="K1011" s="36">
        <f>MONTH(C1011)</f>
        <v>4</v>
      </c>
      <c r="L1011" s="36">
        <f>DAY(RESER3[[#This Row],[DATA]])</f>
        <v>6</v>
      </c>
      <c r="M1011" s="36"/>
    </row>
    <row r="1012" spans="1:13" x14ac:dyDescent="0.25">
      <c r="A1012" s="36"/>
      <c r="B1012" s="129" t="s">
        <v>22</v>
      </c>
      <c r="C1012" s="28">
        <v>44657</v>
      </c>
      <c r="D1012" s="36" t="s">
        <v>189</v>
      </c>
      <c r="E1012" s="36" t="s">
        <v>462</v>
      </c>
      <c r="F1012" s="36" t="s">
        <v>194</v>
      </c>
      <c r="G1012" s="165" t="s">
        <v>475</v>
      </c>
      <c r="H1012" s="36">
        <v>1</v>
      </c>
      <c r="I1012" s="36" t="s">
        <v>179</v>
      </c>
      <c r="J1012" s="36">
        <f>YEAR(RESER3[[#This Row],[DATA]])</f>
        <v>2022</v>
      </c>
      <c r="K1012" s="36">
        <f>MONTH(RESER3[[#This Row],[DATA]])</f>
        <v>4</v>
      </c>
      <c r="L1012" s="36">
        <f>DAY(RESER3[[#This Row],[DATA]])</f>
        <v>6</v>
      </c>
      <c r="M1012" s="36"/>
    </row>
    <row r="1013" spans="1:13" x14ac:dyDescent="0.25">
      <c r="A1013" s="36"/>
      <c r="B1013" s="129" t="s">
        <v>4</v>
      </c>
      <c r="C1013" s="28">
        <v>44658</v>
      </c>
      <c r="D1013" s="36" t="s">
        <v>189</v>
      </c>
      <c r="E1013" s="36" t="s">
        <v>222</v>
      </c>
      <c r="F1013" s="36" t="s">
        <v>202</v>
      </c>
      <c r="G1013" s="165" t="s">
        <v>904</v>
      </c>
      <c r="H1013" s="36">
        <v>1</v>
      </c>
      <c r="I1013" s="36" t="s">
        <v>179</v>
      </c>
      <c r="J1013" s="36">
        <f>YEAR(RESER3[[#This Row],[DATA]])</f>
        <v>2022</v>
      </c>
      <c r="K1013" s="36">
        <f>MONTH(C1013)</f>
        <v>4</v>
      </c>
      <c r="L1013" s="36">
        <f>DAY(RESER3[[#This Row],[DATA]])</f>
        <v>7</v>
      </c>
      <c r="M1013" s="36"/>
    </row>
    <row r="1014" spans="1:13" x14ac:dyDescent="0.25">
      <c r="A1014" s="36"/>
      <c r="B1014" s="129" t="s">
        <v>41</v>
      </c>
      <c r="C1014" s="28">
        <v>44658</v>
      </c>
      <c r="D1014" s="36" t="s">
        <v>189</v>
      </c>
      <c r="E1014" s="36" t="s">
        <v>222</v>
      </c>
      <c r="F1014" s="36" t="s">
        <v>196</v>
      </c>
      <c r="G1014" s="165" t="s">
        <v>790</v>
      </c>
      <c r="H1014" s="36">
        <v>1</v>
      </c>
      <c r="I1014" s="36" t="s">
        <v>179</v>
      </c>
      <c r="J1014" s="36">
        <f>YEAR(RESER3[[#This Row],[DATA]])</f>
        <v>2022</v>
      </c>
      <c r="K1014" s="36">
        <f>MONTH(C1014)</f>
        <v>4</v>
      </c>
      <c r="L1014" s="36">
        <f>DAY(RESER3[[#This Row],[DATA]])</f>
        <v>7</v>
      </c>
      <c r="M1014" s="36"/>
    </row>
    <row r="1015" spans="1:13" x14ac:dyDescent="0.25">
      <c r="A1015" s="36"/>
      <c r="B1015" s="129" t="s">
        <v>41</v>
      </c>
      <c r="C1015" s="28">
        <v>44659</v>
      </c>
      <c r="D1015" s="36" t="s">
        <v>189</v>
      </c>
      <c r="E1015" s="36" t="s">
        <v>462</v>
      </c>
      <c r="F1015" s="36" t="s">
        <v>265</v>
      </c>
      <c r="G1015" s="165" t="s">
        <v>477</v>
      </c>
      <c r="H1015" s="36">
        <v>1</v>
      </c>
      <c r="I1015" s="36" t="s">
        <v>179</v>
      </c>
      <c r="J1015" s="36">
        <f>YEAR(RESER3[[#This Row],[DATA]])</f>
        <v>2022</v>
      </c>
      <c r="K1015" s="36">
        <f>MONTH(C1015)</f>
        <v>4</v>
      </c>
      <c r="L1015" s="36">
        <f>DAY(RESER3[[#This Row],[DATA]])</f>
        <v>8</v>
      </c>
      <c r="M1015" s="36"/>
    </row>
    <row r="1016" spans="1:13" x14ac:dyDescent="0.25">
      <c r="A1016" s="36"/>
      <c r="B1016" s="129" t="s">
        <v>15</v>
      </c>
      <c r="C1016" s="28">
        <v>44662</v>
      </c>
      <c r="D1016" s="36" t="s">
        <v>189</v>
      </c>
      <c r="E1016" s="36" t="s">
        <v>462</v>
      </c>
      <c r="F1016" s="36" t="s">
        <v>194</v>
      </c>
      <c r="G1016" s="36" t="s">
        <v>475</v>
      </c>
      <c r="H1016" s="36">
        <v>1</v>
      </c>
      <c r="I1016" s="36" t="s">
        <v>179</v>
      </c>
      <c r="J1016" s="36">
        <f>YEAR(RESER3[[#This Row],[DATA]])</f>
        <v>2022</v>
      </c>
      <c r="K1016" s="36">
        <f>MONTH(RESER3[[#This Row],[DATA]])</f>
        <v>4</v>
      </c>
      <c r="L1016" s="36">
        <f>DAY(RESER3[[#This Row],[DATA]])</f>
        <v>11</v>
      </c>
      <c r="M1016" s="36"/>
    </row>
    <row r="1017" spans="1:13" x14ac:dyDescent="0.25">
      <c r="A1017" s="36"/>
      <c r="B1017" s="129" t="s">
        <v>41</v>
      </c>
      <c r="C1017" s="28">
        <v>44663</v>
      </c>
      <c r="D1017" s="36" t="s">
        <v>189</v>
      </c>
      <c r="E1017" s="36" t="s">
        <v>222</v>
      </c>
      <c r="F1017" s="36" t="s">
        <v>228</v>
      </c>
      <c r="G1017" s="36" t="s">
        <v>901</v>
      </c>
      <c r="H1017" s="36">
        <v>1</v>
      </c>
      <c r="I1017" s="36" t="s">
        <v>179</v>
      </c>
      <c r="J1017" s="36">
        <f>YEAR(RESER3[[#This Row],[DATA]])</f>
        <v>2022</v>
      </c>
      <c r="K1017" s="36">
        <f>MONTH(C1017)</f>
        <v>4</v>
      </c>
      <c r="L1017" s="36">
        <f>DAY(RESER3[[#This Row],[DATA]])</f>
        <v>12</v>
      </c>
      <c r="M1017" s="36"/>
    </row>
    <row r="1018" spans="1:13" x14ac:dyDescent="0.25">
      <c r="A1018" s="36"/>
      <c r="B1018" s="129" t="s">
        <v>9</v>
      </c>
      <c r="C1018" s="28">
        <v>44663</v>
      </c>
      <c r="D1018" s="36" t="s">
        <v>189</v>
      </c>
      <c r="E1018" s="36" t="s">
        <v>462</v>
      </c>
      <c r="F1018" s="36" t="s">
        <v>202</v>
      </c>
      <c r="G1018" s="36" t="s">
        <v>904</v>
      </c>
      <c r="H1018" s="36">
        <v>1</v>
      </c>
      <c r="I1018" s="36" t="s">
        <v>179</v>
      </c>
      <c r="J1018" s="36">
        <f>YEAR(RESER3[[#This Row],[DATA]])</f>
        <v>2022</v>
      </c>
      <c r="K1018" s="36">
        <f>MONTH(C1018)</f>
        <v>4</v>
      </c>
      <c r="L1018" s="36">
        <f>DAY(RESER3[[#This Row],[DATA]])</f>
        <v>12</v>
      </c>
      <c r="M1018" s="36"/>
    </row>
    <row r="1019" spans="1:13" x14ac:dyDescent="0.25">
      <c r="A1019" s="36"/>
      <c r="B1019" s="129" t="s">
        <v>41</v>
      </c>
      <c r="C1019" s="28">
        <v>44664</v>
      </c>
      <c r="D1019" s="36" t="s">
        <v>189</v>
      </c>
      <c r="E1019" s="36" t="s">
        <v>462</v>
      </c>
      <c r="F1019" s="36" t="s">
        <v>196</v>
      </c>
      <c r="G1019" s="36" t="s">
        <v>790</v>
      </c>
      <c r="H1019" s="36">
        <v>1</v>
      </c>
      <c r="I1019" s="36" t="s">
        <v>179</v>
      </c>
      <c r="J1019" s="36">
        <f>YEAR(RESER3[[#This Row],[DATA]])</f>
        <v>2022</v>
      </c>
      <c r="K1019" s="36">
        <f>MONTH(C1019)</f>
        <v>4</v>
      </c>
      <c r="L1019" s="36">
        <f>DAY(RESER3[[#This Row],[DATA]])</f>
        <v>13</v>
      </c>
      <c r="M1019" s="36"/>
    </row>
    <row r="1020" spans="1:13" x14ac:dyDescent="0.25">
      <c r="A1020" s="36"/>
      <c r="B1020" s="129" t="s">
        <v>8</v>
      </c>
      <c r="C1020" s="28">
        <v>44664</v>
      </c>
      <c r="D1020" s="36" t="s">
        <v>189</v>
      </c>
      <c r="E1020" s="36" t="s">
        <v>222</v>
      </c>
      <c r="F1020" s="36" t="s">
        <v>194</v>
      </c>
      <c r="G1020" s="36" t="s">
        <v>475</v>
      </c>
      <c r="H1020" s="36">
        <v>1</v>
      </c>
      <c r="I1020" s="36" t="s">
        <v>179</v>
      </c>
      <c r="J1020" s="36">
        <f>YEAR(RESER3[[#This Row],[DATA]])</f>
        <v>2022</v>
      </c>
      <c r="K1020" s="36">
        <f>MONTH(C1020)</f>
        <v>4</v>
      </c>
      <c r="L1020" s="36">
        <f>DAY(RESER3[[#This Row],[DATA]])</f>
        <v>13</v>
      </c>
      <c r="M1020" s="36"/>
    </row>
    <row r="1021" spans="1:13" x14ac:dyDescent="0.25">
      <c r="A1021" s="36"/>
      <c r="B1021" s="129" t="s">
        <v>15</v>
      </c>
      <c r="C1021" s="28">
        <v>44665</v>
      </c>
      <c r="D1021" s="36" t="s">
        <v>189</v>
      </c>
      <c r="E1021" s="36" t="s">
        <v>222</v>
      </c>
      <c r="F1021" s="36" t="s">
        <v>194</v>
      </c>
      <c r="G1021" s="36" t="s">
        <v>475</v>
      </c>
      <c r="H1021" s="36">
        <v>1</v>
      </c>
      <c r="I1021" s="36" t="s">
        <v>179</v>
      </c>
      <c r="J1021" s="36">
        <f>YEAR(RESER3[[#This Row],[DATA]])</f>
        <v>2022</v>
      </c>
      <c r="K1021" s="36">
        <f>MONTH(RESER3[[#This Row],[DATA]])</f>
        <v>4</v>
      </c>
      <c r="L1021" s="36">
        <f>DAY(RESER3[[#This Row],[DATA]])</f>
        <v>14</v>
      </c>
      <c r="M1021" s="36"/>
    </row>
    <row r="1022" spans="1:13" x14ac:dyDescent="0.25">
      <c r="A1022" s="36"/>
      <c r="B1022" s="129" t="s">
        <v>8</v>
      </c>
      <c r="C1022" s="28">
        <v>44669</v>
      </c>
      <c r="D1022" s="36" t="s">
        <v>189</v>
      </c>
      <c r="E1022" s="36" t="s">
        <v>462</v>
      </c>
      <c r="F1022" s="36" t="s">
        <v>898</v>
      </c>
      <c r="G1022" s="36" t="s">
        <v>899</v>
      </c>
      <c r="H1022" s="36">
        <v>1</v>
      </c>
      <c r="I1022" s="36" t="s">
        <v>179</v>
      </c>
      <c r="J1022" s="36">
        <f>YEAR(RESER3[[#This Row],[DATA]])</f>
        <v>2022</v>
      </c>
      <c r="K1022" s="36">
        <f>MONTH(C1022)</f>
        <v>4</v>
      </c>
      <c r="L1022" s="36">
        <f>DAY(RESER3[[#This Row],[DATA]])</f>
        <v>18</v>
      </c>
      <c r="M1022" s="36"/>
    </row>
    <row r="1023" spans="1:13" x14ac:dyDescent="0.25">
      <c r="A1023" s="36"/>
      <c r="B1023" s="129" t="s">
        <v>9</v>
      </c>
      <c r="C1023" s="28">
        <v>44669</v>
      </c>
      <c r="D1023" s="36" t="s">
        <v>189</v>
      </c>
      <c r="E1023" s="36" t="s">
        <v>462</v>
      </c>
      <c r="F1023" s="36" t="s">
        <v>194</v>
      </c>
      <c r="G1023" s="36" t="s">
        <v>475</v>
      </c>
      <c r="H1023" s="36">
        <v>1</v>
      </c>
      <c r="I1023" s="36" t="s">
        <v>179</v>
      </c>
      <c r="J1023" s="36">
        <f>YEAR(RESER3[[#This Row],[DATA]])</f>
        <v>2022</v>
      </c>
      <c r="K1023" s="36">
        <f>MONTH(C1023)</f>
        <v>4</v>
      </c>
      <c r="L1023" s="36">
        <f>DAY(RESER3[[#This Row],[DATA]])</f>
        <v>18</v>
      </c>
      <c r="M1023" s="36"/>
    </row>
    <row r="1024" spans="1:13" x14ac:dyDescent="0.25">
      <c r="A1024" s="36"/>
      <c r="B1024" s="129" t="s">
        <v>21</v>
      </c>
      <c r="C1024" s="28">
        <v>44669</v>
      </c>
      <c r="D1024" s="36" t="s">
        <v>189</v>
      </c>
      <c r="E1024" s="36" t="s">
        <v>222</v>
      </c>
      <c r="F1024" s="36" t="s">
        <v>228</v>
      </c>
      <c r="G1024" s="36" t="s">
        <v>901</v>
      </c>
      <c r="H1024" s="36">
        <v>1</v>
      </c>
      <c r="I1024" s="36" t="s">
        <v>179</v>
      </c>
      <c r="J1024" s="36">
        <f>YEAR(RESER3[[#This Row],[DATA]])</f>
        <v>2022</v>
      </c>
      <c r="K1024" s="36">
        <f>MONTH(RESER3[[#This Row],[DATA]])</f>
        <v>4</v>
      </c>
      <c r="L1024" s="36">
        <f>DAY(RESER3[[#This Row],[DATA]])</f>
        <v>18</v>
      </c>
      <c r="M1024" s="36"/>
    </row>
    <row r="1025" spans="1:13" x14ac:dyDescent="0.25">
      <c r="A1025" s="36"/>
      <c r="B1025" s="129" t="s">
        <v>14</v>
      </c>
      <c r="C1025" s="28">
        <v>44669</v>
      </c>
      <c r="D1025" s="36" t="s">
        <v>189</v>
      </c>
      <c r="E1025" s="36" t="s">
        <v>222</v>
      </c>
      <c r="F1025" s="36" t="s">
        <v>228</v>
      </c>
      <c r="G1025" s="36" t="s">
        <v>901</v>
      </c>
      <c r="H1025" s="36">
        <v>1</v>
      </c>
      <c r="I1025" s="36" t="s">
        <v>179</v>
      </c>
      <c r="J1025" s="36">
        <f>YEAR(RESER3[[#This Row],[DATA]])</f>
        <v>2022</v>
      </c>
      <c r="K1025" s="36">
        <f>MONTH(RESER3[[#This Row],[DATA]])</f>
        <v>4</v>
      </c>
      <c r="L1025" s="36">
        <f>DAY(RESER3[[#This Row],[DATA]])</f>
        <v>18</v>
      </c>
      <c r="M1025" s="36"/>
    </row>
    <row r="1026" spans="1:13" x14ac:dyDescent="0.25">
      <c r="A1026" s="36"/>
      <c r="B1026" s="129" t="s">
        <v>14</v>
      </c>
      <c r="C1026" s="28">
        <v>44669</v>
      </c>
      <c r="D1026" s="36" t="s">
        <v>189</v>
      </c>
      <c r="E1026" s="36" t="s">
        <v>462</v>
      </c>
      <c r="F1026" s="36" t="s">
        <v>194</v>
      </c>
      <c r="G1026" s="36" t="s">
        <v>475</v>
      </c>
      <c r="H1026" s="36">
        <v>1</v>
      </c>
      <c r="I1026" s="36" t="s">
        <v>179</v>
      </c>
      <c r="J1026" s="36">
        <f>YEAR(RESER3[[#This Row],[DATA]])</f>
        <v>2022</v>
      </c>
      <c r="K1026" s="36">
        <f>MONTH(RESER3[[#This Row],[DATA]])</f>
        <v>4</v>
      </c>
      <c r="L1026" s="36">
        <f>DAY(RESER3[[#This Row],[DATA]])</f>
        <v>18</v>
      </c>
      <c r="M1026" s="36"/>
    </row>
    <row r="1027" spans="1:13" x14ac:dyDescent="0.25">
      <c r="A1027" s="36"/>
      <c r="B1027" s="129" t="s">
        <v>9</v>
      </c>
      <c r="C1027" s="28">
        <v>44670</v>
      </c>
      <c r="D1027" s="36" t="s">
        <v>189</v>
      </c>
      <c r="E1027" s="36" t="s">
        <v>222</v>
      </c>
      <c r="F1027" s="36" t="s">
        <v>228</v>
      </c>
      <c r="G1027" s="36" t="s">
        <v>902</v>
      </c>
      <c r="H1027" s="36">
        <v>1</v>
      </c>
      <c r="I1027" s="36" t="s">
        <v>179</v>
      </c>
      <c r="J1027" s="36">
        <f>YEAR(RESER3[[#This Row],[DATA]])</f>
        <v>2022</v>
      </c>
      <c r="K1027" s="36">
        <f>MONTH(C1027)</f>
        <v>4</v>
      </c>
      <c r="L1027" s="36">
        <f>DAY(RESER3[[#This Row],[DATA]])</f>
        <v>19</v>
      </c>
      <c r="M1027" s="36"/>
    </row>
    <row r="1028" spans="1:13" x14ac:dyDescent="0.25">
      <c r="A1028" s="36"/>
      <c r="B1028" s="129" t="s">
        <v>19</v>
      </c>
      <c r="C1028" s="28">
        <v>44670</v>
      </c>
      <c r="D1028" s="36" t="s">
        <v>189</v>
      </c>
      <c r="E1028" s="36" t="s">
        <v>462</v>
      </c>
      <c r="F1028" s="36" t="s">
        <v>196</v>
      </c>
      <c r="G1028" s="36" t="s">
        <v>790</v>
      </c>
      <c r="H1028" s="36">
        <v>1</v>
      </c>
      <c r="I1028" s="36" t="s">
        <v>179</v>
      </c>
      <c r="J1028" s="36">
        <f>YEAR(RESER3[[#This Row],[DATA]])</f>
        <v>2022</v>
      </c>
      <c r="K1028" s="36">
        <f>MONTH(RESER3[[#This Row],[DATA]])</f>
        <v>4</v>
      </c>
      <c r="L1028" s="36">
        <f>DAY(RESER3[[#This Row],[DATA]])</f>
        <v>19</v>
      </c>
      <c r="M1028" s="36"/>
    </row>
    <row r="1029" spans="1:13" x14ac:dyDescent="0.25">
      <c r="A1029" s="36"/>
      <c r="B1029" s="129" t="s">
        <v>41</v>
      </c>
      <c r="C1029" s="28">
        <v>44671</v>
      </c>
      <c r="D1029" s="36" t="s">
        <v>189</v>
      </c>
      <c r="E1029" s="36" t="s">
        <v>222</v>
      </c>
      <c r="F1029" s="36" t="s">
        <v>228</v>
      </c>
      <c r="G1029" s="36" t="s">
        <v>901</v>
      </c>
      <c r="H1029" s="36">
        <v>1</v>
      </c>
      <c r="I1029" s="36" t="s">
        <v>179</v>
      </c>
      <c r="J1029" s="36">
        <f>YEAR(RESER3[[#This Row],[DATA]])</f>
        <v>2022</v>
      </c>
      <c r="K1029" s="36">
        <f>MONTH(C1029)</f>
        <v>4</v>
      </c>
      <c r="L1029" s="36">
        <f>DAY(RESER3[[#This Row],[DATA]])</f>
        <v>20</v>
      </c>
      <c r="M1029" s="36"/>
    </row>
    <row r="1030" spans="1:13" x14ac:dyDescent="0.25">
      <c r="A1030" s="36"/>
      <c r="B1030" s="129" t="s">
        <v>20</v>
      </c>
      <c r="C1030" s="28">
        <v>44675</v>
      </c>
      <c r="D1030" s="36" t="s">
        <v>189</v>
      </c>
      <c r="E1030" s="36" t="s">
        <v>462</v>
      </c>
      <c r="F1030" s="36" t="s">
        <v>228</v>
      </c>
      <c r="G1030" s="36" t="s">
        <v>901</v>
      </c>
      <c r="H1030" s="36">
        <v>1</v>
      </c>
      <c r="I1030" s="36" t="s">
        <v>179</v>
      </c>
      <c r="J1030" s="36">
        <f>YEAR(RESER3[[#This Row],[DATA]])</f>
        <v>2022</v>
      </c>
      <c r="K1030" s="36">
        <f>MONTH(RESER3[[#This Row],[DATA]])</f>
        <v>4</v>
      </c>
      <c r="L1030" s="36">
        <f>DAY(RESER3[[#This Row],[DATA]])</f>
        <v>24</v>
      </c>
      <c r="M1030" s="36"/>
    </row>
    <row r="1031" spans="1:13" x14ac:dyDescent="0.25">
      <c r="A1031" s="36"/>
      <c r="B1031" s="129" t="s">
        <v>4</v>
      </c>
      <c r="C1031" s="28">
        <v>44675</v>
      </c>
      <c r="D1031" s="36" t="s">
        <v>189</v>
      </c>
      <c r="E1031" s="36" t="s">
        <v>462</v>
      </c>
      <c r="F1031" s="36" t="s">
        <v>894</v>
      </c>
      <c r="G1031" s="36" t="s">
        <v>907</v>
      </c>
      <c r="H1031" s="36">
        <v>1</v>
      </c>
      <c r="I1031" s="36" t="s">
        <v>179</v>
      </c>
      <c r="J1031" s="36">
        <f>YEAR(RESER3[[#This Row],[DATA]])</f>
        <v>2022</v>
      </c>
      <c r="K1031" s="36">
        <f>MONTH(C1031)</f>
        <v>4</v>
      </c>
      <c r="L1031" s="36">
        <f>DAY(RESER3[[#This Row],[DATA]])</f>
        <v>24</v>
      </c>
      <c r="M1031" s="36"/>
    </row>
    <row r="1032" spans="1:13" x14ac:dyDescent="0.25">
      <c r="A1032" s="36"/>
      <c r="B1032" s="129" t="s">
        <v>41</v>
      </c>
      <c r="C1032" s="28">
        <v>44677</v>
      </c>
      <c r="D1032" s="36" t="s">
        <v>189</v>
      </c>
      <c r="E1032" s="36" t="s">
        <v>222</v>
      </c>
      <c r="F1032" s="36" t="s">
        <v>196</v>
      </c>
      <c r="G1032" s="36" t="s">
        <v>790</v>
      </c>
      <c r="H1032" s="36">
        <v>1</v>
      </c>
      <c r="I1032" s="36" t="s">
        <v>179</v>
      </c>
      <c r="J1032" s="36">
        <f>YEAR(RESER3[[#This Row],[DATA]])</f>
        <v>2022</v>
      </c>
      <c r="K1032" s="36">
        <f>MONTH(C1032)</f>
        <v>4</v>
      </c>
      <c r="L1032" s="36">
        <f>DAY(RESER3[[#This Row],[DATA]])</f>
        <v>26</v>
      </c>
      <c r="M1032" s="36"/>
    </row>
    <row r="1033" spans="1:13" x14ac:dyDescent="0.25">
      <c r="A1033" s="36"/>
      <c r="B1033" s="129" t="s">
        <v>9</v>
      </c>
      <c r="C1033" s="28">
        <v>44677</v>
      </c>
      <c r="D1033" s="36" t="s">
        <v>189</v>
      </c>
      <c r="E1033" s="36" t="s">
        <v>462</v>
      </c>
      <c r="F1033" s="36" t="s">
        <v>194</v>
      </c>
      <c r="G1033" s="36" t="s">
        <v>475</v>
      </c>
      <c r="H1033" s="36">
        <v>1</v>
      </c>
      <c r="I1033" s="36" t="s">
        <v>179</v>
      </c>
      <c r="J1033" s="36">
        <f>YEAR(RESER3[[#This Row],[DATA]])</f>
        <v>2022</v>
      </c>
      <c r="K1033" s="36">
        <f>MONTH(C1033)</f>
        <v>4</v>
      </c>
      <c r="L1033" s="36">
        <f>DAY(RESER3[[#This Row],[DATA]])</f>
        <v>26</v>
      </c>
      <c r="M1033" s="36"/>
    </row>
    <row r="1034" spans="1:13" x14ac:dyDescent="0.25">
      <c r="A1034" s="36"/>
      <c r="B1034" s="129" t="s">
        <v>17</v>
      </c>
      <c r="C1034" s="28">
        <v>44677</v>
      </c>
      <c r="D1034" s="36" t="s">
        <v>189</v>
      </c>
      <c r="E1034" s="36" t="s">
        <v>222</v>
      </c>
      <c r="F1034" s="36" t="s">
        <v>202</v>
      </c>
      <c r="G1034" s="36" t="s">
        <v>904</v>
      </c>
      <c r="H1034" s="36">
        <v>1</v>
      </c>
      <c r="I1034" s="36" t="s">
        <v>179</v>
      </c>
      <c r="J1034" s="36">
        <f>YEAR(RESER3[[#This Row],[DATA]])</f>
        <v>2022</v>
      </c>
      <c r="K1034" s="36">
        <f>MONTH(RESER3[[#This Row],[DATA]])</f>
        <v>4</v>
      </c>
      <c r="L1034" s="36">
        <f>DAY(RESER3[[#This Row],[DATA]])</f>
        <v>26</v>
      </c>
      <c r="M1034" s="36"/>
    </row>
    <row r="1035" spans="1:13" x14ac:dyDescent="0.25">
      <c r="A1035" s="36"/>
      <c r="B1035" s="129" t="s">
        <v>40</v>
      </c>
      <c r="C1035" s="28">
        <v>44678</v>
      </c>
      <c r="D1035" s="36" t="s">
        <v>189</v>
      </c>
      <c r="E1035" s="36" t="s">
        <v>462</v>
      </c>
      <c r="F1035" s="36" t="s">
        <v>228</v>
      </c>
      <c r="G1035" s="36" t="s">
        <v>921</v>
      </c>
      <c r="H1035" s="36">
        <v>1</v>
      </c>
      <c r="I1035" s="36" t="s">
        <v>179</v>
      </c>
      <c r="J1035" s="36">
        <f>YEAR(RESER3[[#This Row],[DATA]])</f>
        <v>2022</v>
      </c>
      <c r="K1035" s="36">
        <f>MONTH(C1035)</f>
        <v>4</v>
      </c>
      <c r="L1035" s="36">
        <f>DAY(RESER3[[#This Row],[DATA]])</f>
        <v>27</v>
      </c>
      <c r="M1035" s="36"/>
    </row>
    <row r="1036" spans="1:13" x14ac:dyDescent="0.25">
      <c r="A1036" s="36"/>
      <c r="B1036" s="129" t="s">
        <v>9</v>
      </c>
      <c r="C1036" s="28">
        <v>44678</v>
      </c>
      <c r="D1036" s="36" t="s">
        <v>189</v>
      </c>
      <c r="E1036" s="36" t="s">
        <v>222</v>
      </c>
      <c r="F1036" s="36" t="s">
        <v>528</v>
      </c>
      <c r="G1036" s="36" t="s">
        <v>905</v>
      </c>
      <c r="H1036" s="36">
        <v>1</v>
      </c>
      <c r="I1036" s="36" t="s">
        <v>179</v>
      </c>
      <c r="J1036" s="36">
        <f>YEAR(RESER3[[#This Row],[DATA]])</f>
        <v>2022</v>
      </c>
      <c r="K1036" s="36">
        <f>MONTH(C1036)</f>
        <v>4</v>
      </c>
      <c r="L1036" s="36">
        <f>DAY(RESER3[[#This Row],[DATA]])</f>
        <v>27</v>
      </c>
      <c r="M1036" s="36"/>
    </row>
    <row r="1037" spans="1:13" x14ac:dyDescent="0.25">
      <c r="A1037" s="36"/>
      <c r="B1037" s="129" t="s">
        <v>8</v>
      </c>
      <c r="C1037" s="28">
        <v>44678</v>
      </c>
      <c r="D1037" s="36" t="s">
        <v>189</v>
      </c>
      <c r="E1037" s="36" t="s">
        <v>222</v>
      </c>
      <c r="F1037" s="36" t="s">
        <v>228</v>
      </c>
      <c r="G1037" s="36" t="s">
        <v>901</v>
      </c>
      <c r="H1037" s="36">
        <v>1</v>
      </c>
      <c r="I1037" s="36" t="s">
        <v>179</v>
      </c>
      <c r="J1037" s="36">
        <f>YEAR(RESER3[[#This Row],[DATA]])</f>
        <v>2022</v>
      </c>
      <c r="K1037" s="36">
        <f>MONTH(C1037)</f>
        <v>4</v>
      </c>
      <c r="L1037" s="36">
        <f>DAY(RESER3[[#This Row],[DATA]])</f>
        <v>27</v>
      </c>
      <c r="M1037" s="36"/>
    </row>
    <row r="1038" spans="1:13" x14ac:dyDescent="0.25">
      <c r="A1038" s="36"/>
      <c r="B1038" s="129" t="s">
        <v>21</v>
      </c>
      <c r="C1038" s="28">
        <v>44678</v>
      </c>
      <c r="D1038" s="36" t="s">
        <v>189</v>
      </c>
      <c r="E1038" s="36" t="s">
        <v>222</v>
      </c>
      <c r="F1038" s="36" t="s">
        <v>265</v>
      </c>
      <c r="G1038" s="36" t="s">
        <v>477</v>
      </c>
      <c r="H1038" s="36">
        <v>1</v>
      </c>
      <c r="I1038" s="36" t="s">
        <v>179</v>
      </c>
      <c r="J1038" s="36">
        <f>YEAR(RESER3[[#This Row],[DATA]])</f>
        <v>2022</v>
      </c>
      <c r="K1038" s="36">
        <f>MONTH(RESER3[[#This Row],[DATA]])</f>
        <v>4</v>
      </c>
      <c r="L1038" s="36">
        <f>DAY(RESER3[[#This Row],[DATA]])</f>
        <v>27</v>
      </c>
      <c r="M1038" s="36"/>
    </row>
    <row r="1039" spans="1:13" x14ac:dyDescent="0.25">
      <c r="A1039" s="36"/>
      <c r="B1039" s="129" t="s">
        <v>21</v>
      </c>
      <c r="C1039" s="28">
        <v>44678</v>
      </c>
      <c r="D1039" s="36" t="s">
        <v>189</v>
      </c>
      <c r="E1039" s="36" t="s">
        <v>462</v>
      </c>
      <c r="F1039" s="36" t="s">
        <v>228</v>
      </c>
      <c r="G1039" s="36" t="s">
        <v>901</v>
      </c>
      <c r="H1039" s="36">
        <v>1</v>
      </c>
      <c r="I1039" s="36" t="s">
        <v>179</v>
      </c>
      <c r="J1039" s="36">
        <f>YEAR(RESER3[[#This Row],[DATA]])</f>
        <v>2022</v>
      </c>
      <c r="K1039" s="36">
        <f>MONTH(RESER3[[#This Row],[DATA]])</f>
        <v>4</v>
      </c>
      <c r="L1039" s="36">
        <f>DAY(RESER3[[#This Row],[DATA]])</f>
        <v>27</v>
      </c>
      <c r="M1039" s="36"/>
    </row>
    <row r="1040" spans="1:13" x14ac:dyDescent="0.25">
      <c r="A1040" s="36"/>
      <c r="B1040" s="129" t="s">
        <v>18</v>
      </c>
      <c r="C1040" s="28">
        <v>44678</v>
      </c>
      <c r="D1040" s="36" t="s">
        <v>189</v>
      </c>
      <c r="E1040" s="36" t="s">
        <v>462</v>
      </c>
      <c r="F1040" s="36" t="s">
        <v>202</v>
      </c>
      <c r="G1040" s="36" t="s">
        <v>904</v>
      </c>
      <c r="H1040" s="36">
        <v>1</v>
      </c>
      <c r="I1040" s="36" t="s">
        <v>179</v>
      </c>
      <c r="J1040" s="36">
        <f>YEAR(RESER3[[#This Row],[DATA]])</f>
        <v>2022</v>
      </c>
      <c r="K1040" s="36">
        <f>MONTH(RESER3[[#This Row],[DATA]])</f>
        <v>4</v>
      </c>
      <c r="L1040" s="36">
        <f>DAY(RESER3[[#This Row],[DATA]])</f>
        <v>27</v>
      </c>
      <c r="M1040" s="36"/>
    </row>
    <row r="1041" spans="1:13" x14ac:dyDescent="0.25">
      <c r="A1041" s="36"/>
      <c r="B1041" s="129" t="s">
        <v>40</v>
      </c>
      <c r="C1041" s="28">
        <v>44679</v>
      </c>
      <c r="D1041" s="36" t="s">
        <v>189</v>
      </c>
      <c r="E1041" s="36" t="s">
        <v>222</v>
      </c>
      <c r="F1041" s="36" t="s">
        <v>228</v>
      </c>
      <c r="G1041" s="36" t="s">
        <v>901</v>
      </c>
      <c r="H1041" s="36">
        <v>1</v>
      </c>
      <c r="I1041" s="36" t="s">
        <v>179</v>
      </c>
      <c r="J1041" s="36">
        <f>YEAR(RESER3[[#This Row],[DATA]])</f>
        <v>2022</v>
      </c>
      <c r="K1041" s="36">
        <f>MONTH(C1041)</f>
        <v>4</v>
      </c>
      <c r="L1041" s="36">
        <f>DAY(RESER3[[#This Row],[DATA]])</f>
        <v>28</v>
      </c>
      <c r="M1041" s="36"/>
    </row>
    <row r="1042" spans="1:13" x14ac:dyDescent="0.25">
      <c r="A1042" s="36"/>
      <c r="B1042" s="129" t="s">
        <v>40</v>
      </c>
      <c r="C1042" s="28">
        <v>44679</v>
      </c>
      <c r="D1042" s="36" t="s">
        <v>189</v>
      </c>
      <c r="E1042" s="36" t="s">
        <v>222</v>
      </c>
      <c r="F1042" s="36" t="s">
        <v>194</v>
      </c>
      <c r="G1042" s="36" t="s">
        <v>475</v>
      </c>
      <c r="H1042" s="36">
        <v>1</v>
      </c>
      <c r="I1042" s="36" t="s">
        <v>179</v>
      </c>
      <c r="J1042" s="36">
        <f>YEAR(RESER3[[#This Row],[DATA]])</f>
        <v>2022</v>
      </c>
      <c r="K1042" s="36">
        <f>MONTH(C1042)</f>
        <v>4</v>
      </c>
      <c r="L1042" s="36">
        <f>DAY(RESER3[[#This Row],[DATA]])</f>
        <v>28</v>
      </c>
      <c r="M1042" s="36"/>
    </row>
    <row r="1043" spans="1:13" x14ac:dyDescent="0.25">
      <c r="A1043" s="36"/>
      <c r="B1043" s="129" t="s">
        <v>20</v>
      </c>
      <c r="C1043" s="28">
        <v>44679</v>
      </c>
      <c r="D1043" s="36" t="s">
        <v>189</v>
      </c>
      <c r="E1043" s="36" t="s">
        <v>222</v>
      </c>
      <c r="F1043" s="36" t="s">
        <v>228</v>
      </c>
      <c r="G1043" s="36" t="s">
        <v>902</v>
      </c>
      <c r="H1043" s="36">
        <v>1</v>
      </c>
      <c r="I1043" s="36" t="s">
        <v>179</v>
      </c>
      <c r="J1043" s="36">
        <f>YEAR(RESER3[[#This Row],[DATA]])</f>
        <v>2022</v>
      </c>
      <c r="K1043" s="36">
        <f>MONTH(RESER3[[#This Row],[DATA]])</f>
        <v>4</v>
      </c>
      <c r="L1043" s="36">
        <f>DAY(RESER3[[#This Row],[DATA]])</f>
        <v>28</v>
      </c>
      <c r="M1043" s="36"/>
    </row>
    <row r="1044" spans="1:13" x14ac:dyDescent="0.25">
      <c r="A1044" s="36"/>
      <c r="B1044" s="129" t="s">
        <v>18</v>
      </c>
      <c r="C1044" s="28">
        <v>44680</v>
      </c>
      <c r="D1044" s="36" t="s">
        <v>189</v>
      </c>
      <c r="E1044" s="36" t="s">
        <v>462</v>
      </c>
      <c r="F1044" s="36" t="s">
        <v>202</v>
      </c>
      <c r="G1044" s="36" t="s">
        <v>904</v>
      </c>
      <c r="H1044" s="36">
        <v>1</v>
      </c>
      <c r="I1044" s="36" t="s">
        <v>179</v>
      </c>
      <c r="J1044" s="36">
        <f>YEAR(RESER3[[#This Row],[DATA]])</f>
        <v>2022</v>
      </c>
      <c r="K1044" s="36">
        <f>MONTH(RESER3[[#This Row],[DATA]])</f>
        <v>4</v>
      </c>
      <c r="L1044" s="36">
        <f>DAY(RESER3[[#This Row],[DATA]])</f>
        <v>29</v>
      </c>
      <c r="M1044" s="36"/>
    </row>
    <row r="1045" spans="1:13" x14ac:dyDescent="0.25">
      <c r="A1045" s="36"/>
      <c r="B1045" s="129" t="s">
        <v>19</v>
      </c>
      <c r="C1045" s="28">
        <v>44683</v>
      </c>
      <c r="D1045" s="36" t="s">
        <v>189</v>
      </c>
      <c r="E1045" s="36" t="s">
        <v>222</v>
      </c>
      <c r="F1045" s="36" t="s">
        <v>265</v>
      </c>
      <c r="G1045" s="36" t="s">
        <v>477</v>
      </c>
      <c r="H1045" s="36">
        <v>1</v>
      </c>
      <c r="I1045" s="36" t="s">
        <v>179</v>
      </c>
      <c r="J1045" s="36">
        <f>YEAR(RESER3[[#This Row],[DATA]])</f>
        <v>2022</v>
      </c>
      <c r="K1045" s="36">
        <f>MONTH(RESER3[[#This Row],[DATA]])</f>
        <v>5</v>
      </c>
      <c r="L1045" s="36">
        <f>DAY(RESER3[[#This Row],[DATA]])</f>
        <v>2</v>
      </c>
      <c r="M1045" s="36"/>
    </row>
    <row r="1046" spans="1:13" x14ac:dyDescent="0.25">
      <c r="A1046" s="36"/>
      <c r="B1046" s="129" t="s">
        <v>13</v>
      </c>
      <c r="C1046" s="28">
        <v>44683</v>
      </c>
      <c r="D1046" s="36" t="s">
        <v>189</v>
      </c>
      <c r="E1046" s="36" t="s">
        <v>222</v>
      </c>
      <c r="F1046" s="36" t="s">
        <v>194</v>
      </c>
      <c r="G1046" s="36" t="s">
        <v>475</v>
      </c>
      <c r="H1046" s="36">
        <v>1</v>
      </c>
      <c r="I1046" s="36" t="s">
        <v>179</v>
      </c>
      <c r="J1046" s="36">
        <f>YEAR(RESER3[[#This Row],[DATA]])</f>
        <v>2022</v>
      </c>
      <c r="K1046" s="36">
        <f>MONTH(RESER3[[#This Row],[DATA]])</f>
        <v>5</v>
      </c>
      <c r="L1046" s="36">
        <f>DAY(RESER3[[#This Row],[DATA]])</f>
        <v>2</v>
      </c>
      <c r="M1046" s="36"/>
    </row>
    <row r="1047" spans="1:13" x14ac:dyDescent="0.25">
      <c r="A1047" s="36"/>
      <c r="B1047" s="129" t="s">
        <v>9</v>
      </c>
      <c r="C1047" s="28">
        <v>44684</v>
      </c>
      <c r="D1047" s="36" t="s">
        <v>189</v>
      </c>
      <c r="E1047" s="36" t="s">
        <v>462</v>
      </c>
      <c r="F1047" s="36" t="s">
        <v>228</v>
      </c>
      <c r="G1047" s="36" t="s">
        <v>901</v>
      </c>
      <c r="H1047" s="36">
        <v>1</v>
      </c>
      <c r="I1047" s="36" t="s">
        <v>179</v>
      </c>
      <c r="J1047" s="36">
        <f>YEAR(RESER3[[#This Row],[DATA]])</f>
        <v>2022</v>
      </c>
      <c r="K1047" s="36">
        <f>MONTH(C1047)</f>
        <v>5</v>
      </c>
      <c r="L1047" s="36">
        <f>DAY(RESER3[[#This Row],[DATA]])</f>
        <v>3</v>
      </c>
      <c r="M1047" s="36"/>
    </row>
    <row r="1048" spans="1:13" x14ac:dyDescent="0.25">
      <c r="A1048" s="36"/>
      <c r="B1048" s="129" t="s">
        <v>8</v>
      </c>
      <c r="C1048" s="28">
        <v>44684</v>
      </c>
      <c r="D1048" s="36" t="s">
        <v>189</v>
      </c>
      <c r="E1048" s="36" t="s">
        <v>462</v>
      </c>
      <c r="F1048" s="36" t="s">
        <v>194</v>
      </c>
      <c r="G1048" s="36" t="s">
        <v>475</v>
      </c>
      <c r="H1048" s="36">
        <v>1</v>
      </c>
      <c r="I1048" s="36" t="s">
        <v>179</v>
      </c>
      <c r="J1048" s="36">
        <f>YEAR(RESER3[[#This Row],[DATA]])</f>
        <v>2022</v>
      </c>
      <c r="K1048" s="36">
        <f>MONTH(C1048)</f>
        <v>5</v>
      </c>
      <c r="L1048" s="36">
        <f>DAY(RESER3[[#This Row],[DATA]])</f>
        <v>3</v>
      </c>
      <c r="M1048" s="36"/>
    </row>
    <row r="1049" spans="1:13" x14ac:dyDescent="0.25">
      <c r="A1049" s="36"/>
      <c r="B1049" s="129" t="s">
        <v>9</v>
      </c>
      <c r="C1049" s="28">
        <v>44684</v>
      </c>
      <c r="D1049" s="36" t="s">
        <v>189</v>
      </c>
      <c r="E1049" s="36" t="s">
        <v>222</v>
      </c>
      <c r="F1049" s="36" t="s">
        <v>228</v>
      </c>
      <c r="G1049" s="36" t="s">
        <v>901</v>
      </c>
      <c r="H1049" s="36">
        <v>1</v>
      </c>
      <c r="I1049" s="36" t="s">
        <v>179</v>
      </c>
      <c r="J1049" s="36">
        <f>YEAR(RESER3[[#This Row],[DATA]])</f>
        <v>2022</v>
      </c>
      <c r="K1049" s="36">
        <f>MONTH(C1049)</f>
        <v>5</v>
      </c>
      <c r="L1049" s="36">
        <f>DAY(RESER3[[#This Row],[DATA]])</f>
        <v>3</v>
      </c>
      <c r="M1049" s="36"/>
    </row>
    <row r="1050" spans="1:13" x14ac:dyDescent="0.25">
      <c r="A1050" s="36"/>
      <c r="B1050" s="129" t="s">
        <v>20</v>
      </c>
      <c r="C1050" s="28">
        <v>44684</v>
      </c>
      <c r="D1050" s="36" t="s">
        <v>189</v>
      </c>
      <c r="E1050" s="36" t="s">
        <v>462</v>
      </c>
      <c r="F1050" s="36" t="s">
        <v>228</v>
      </c>
      <c r="G1050" s="36" t="s">
        <v>901</v>
      </c>
      <c r="H1050" s="36">
        <v>1</v>
      </c>
      <c r="I1050" s="36" t="s">
        <v>179</v>
      </c>
      <c r="J1050" s="36">
        <f>YEAR(RESER3[[#This Row],[DATA]])</f>
        <v>2022</v>
      </c>
      <c r="K1050" s="36">
        <f>MONTH(RESER3[[#This Row],[DATA]])</f>
        <v>5</v>
      </c>
      <c r="L1050" s="36">
        <f>DAY(RESER3[[#This Row],[DATA]])</f>
        <v>3</v>
      </c>
      <c r="M1050" s="36"/>
    </row>
    <row r="1051" spans="1:13" x14ac:dyDescent="0.25">
      <c r="A1051" s="36"/>
      <c r="B1051" s="129" t="s">
        <v>15</v>
      </c>
      <c r="C1051" s="28">
        <v>44684</v>
      </c>
      <c r="D1051" s="36" t="s">
        <v>189</v>
      </c>
      <c r="E1051" s="36" t="s">
        <v>222</v>
      </c>
      <c r="F1051" s="36" t="s">
        <v>194</v>
      </c>
      <c r="G1051" s="36" t="s">
        <v>475</v>
      </c>
      <c r="H1051" s="36">
        <v>1</v>
      </c>
      <c r="I1051" s="36" t="s">
        <v>179</v>
      </c>
      <c r="J1051" s="36">
        <f>YEAR(RESER3[[#This Row],[DATA]])</f>
        <v>2022</v>
      </c>
      <c r="K1051" s="36">
        <f>MONTH(RESER3[[#This Row],[DATA]])</f>
        <v>5</v>
      </c>
      <c r="L1051" s="36">
        <f>DAY(RESER3[[#This Row],[DATA]])</f>
        <v>3</v>
      </c>
      <c r="M1051" s="36"/>
    </row>
    <row r="1052" spans="1:13" x14ac:dyDescent="0.25">
      <c r="A1052" s="36"/>
      <c r="B1052" s="129" t="s">
        <v>4</v>
      </c>
      <c r="C1052" s="28">
        <v>44685</v>
      </c>
      <c r="D1052" s="36" t="s">
        <v>189</v>
      </c>
      <c r="E1052" s="36" t="s">
        <v>462</v>
      </c>
      <c r="F1052" s="36" t="s">
        <v>202</v>
      </c>
      <c r="G1052" s="36" t="s">
        <v>904</v>
      </c>
      <c r="H1052" s="36">
        <v>1</v>
      </c>
      <c r="I1052" s="36" t="s">
        <v>179</v>
      </c>
      <c r="J1052" s="36">
        <f>YEAR(RESER3[[#This Row],[DATA]])</f>
        <v>2022</v>
      </c>
      <c r="K1052" s="36">
        <f>MONTH(C1052)</f>
        <v>5</v>
      </c>
      <c r="L1052" s="36">
        <f>DAY(RESER3[[#This Row],[DATA]])</f>
        <v>4</v>
      </c>
      <c r="M1052" s="36"/>
    </row>
    <row r="1053" spans="1:13" x14ac:dyDescent="0.25">
      <c r="A1053" s="36"/>
      <c r="B1053" s="129" t="s">
        <v>10</v>
      </c>
      <c r="C1053" s="28">
        <v>44686</v>
      </c>
      <c r="D1053" s="36" t="s">
        <v>189</v>
      </c>
      <c r="E1053" s="36" t="s">
        <v>462</v>
      </c>
      <c r="F1053" s="36" t="s">
        <v>194</v>
      </c>
      <c r="G1053" s="36" t="s">
        <v>475</v>
      </c>
      <c r="H1053" s="36">
        <v>1</v>
      </c>
      <c r="I1053" s="36" t="s">
        <v>179</v>
      </c>
      <c r="J1053" s="36">
        <f>YEAR(RESER3[[#This Row],[DATA]])</f>
        <v>2022</v>
      </c>
      <c r="K1053" s="36">
        <f>MONTH(C1053)</f>
        <v>5</v>
      </c>
      <c r="L1053" s="36">
        <f>DAY(RESER3[[#This Row],[DATA]])</f>
        <v>5</v>
      </c>
      <c r="M1053" s="36"/>
    </row>
    <row r="1054" spans="1:13" x14ac:dyDescent="0.25">
      <c r="A1054" s="36"/>
      <c r="B1054" s="129" t="s">
        <v>112</v>
      </c>
      <c r="C1054" s="28">
        <v>44687</v>
      </c>
      <c r="D1054" s="36" t="s">
        <v>189</v>
      </c>
      <c r="E1054" s="36" t="s">
        <v>222</v>
      </c>
      <c r="F1054" s="36" t="s">
        <v>245</v>
      </c>
      <c r="G1054" s="36" t="s">
        <v>474</v>
      </c>
      <c r="H1054" s="36">
        <v>1</v>
      </c>
      <c r="I1054" s="36" t="s">
        <v>179</v>
      </c>
      <c r="J1054" s="36">
        <f>YEAR(RESER3[[#This Row],[DATA]])</f>
        <v>2022</v>
      </c>
      <c r="K1054" s="36">
        <f>MONTH(C1054)</f>
        <v>5</v>
      </c>
      <c r="L1054" s="36">
        <f>DAY(RESER3[[#This Row],[DATA]])</f>
        <v>6</v>
      </c>
      <c r="M1054" s="36"/>
    </row>
    <row r="1055" spans="1:13" x14ac:dyDescent="0.25">
      <c r="A1055" s="36"/>
      <c r="B1055" s="129" t="s">
        <v>4</v>
      </c>
      <c r="C1055" s="28">
        <v>44687</v>
      </c>
      <c r="D1055" s="36" t="s">
        <v>189</v>
      </c>
      <c r="E1055" s="36" t="s">
        <v>462</v>
      </c>
      <c r="F1055" s="36" t="s">
        <v>228</v>
      </c>
      <c r="G1055" s="36" t="s">
        <v>902</v>
      </c>
      <c r="H1055" s="36">
        <v>1</v>
      </c>
      <c r="I1055" s="36" t="s">
        <v>179</v>
      </c>
      <c r="J1055" s="36">
        <f>YEAR(RESER3[[#This Row],[DATA]])</f>
        <v>2022</v>
      </c>
      <c r="K1055" s="36">
        <f>MONTH(C1055)</f>
        <v>5</v>
      </c>
      <c r="L1055" s="36">
        <f>DAY(RESER3[[#This Row],[DATA]])</f>
        <v>6</v>
      </c>
      <c r="M1055" s="36"/>
    </row>
    <row r="1056" spans="1:13" x14ac:dyDescent="0.25">
      <c r="A1056" s="36"/>
      <c r="B1056" s="129" t="s">
        <v>21</v>
      </c>
      <c r="C1056" s="28">
        <v>44687</v>
      </c>
      <c r="D1056" s="36" t="s">
        <v>189</v>
      </c>
      <c r="E1056" s="36" t="s">
        <v>222</v>
      </c>
      <c r="F1056" s="36" t="s">
        <v>265</v>
      </c>
      <c r="G1056" s="36" t="s">
        <v>477</v>
      </c>
      <c r="H1056" s="36">
        <v>1</v>
      </c>
      <c r="I1056" s="36" t="s">
        <v>179</v>
      </c>
      <c r="J1056" s="36">
        <f>YEAR(RESER3[[#This Row],[DATA]])</f>
        <v>2022</v>
      </c>
      <c r="K1056" s="36">
        <f>MONTH(RESER3[[#This Row],[DATA]])</f>
        <v>5</v>
      </c>
      <c r="L1056" s="36">
        <f>DAY(RESER3[[#This Row],[DATA]])</f>
        <v>6</v>
      </c>
      <c r="M1056" s="36"/>
    </row>
    <row r="1057" spans="1:13" x14ac:dyDescent="0.25">
      <c r="A1057" s="36"/>
      <c r="B1057" s="129" t="s">
        <v>14</v>
      </c>
      <c r="C1057" s="28">
        <v>44690</v>
      </c>
      <c r="D1057" s="36" t="s">
        <v>189</v>
      </c>
      <c r="E1057" s="36" t="s">
        <v>462</v>
      </c>
      <c r="F1057" s="36" t="s">
        <v>228</v>
      </c>
      <c r="G1057" s="36" t="s">
        <v>901</v>
      </c>
      <c r="H1057" s="36">
        <v>1</v>
      </c>
      <c r="I1057" s="36" t="s">
        <v>179</v>
      </c>
      <c r="J1057" s="36">
        <f>YEAR(RESER3[[#This Row],[DATA]])</f>
        <v>2022</v>
      </c>
      <c r="K1057" s="36">
        <f>MONTH(RESER3[[#This Row],[DATA]])</f>
        <v>5</v>
      </c>
      <c r="L1057" s="36">
        <f>DAY(RESER3[[#This Row],[DATA]])</f>
        <v>9</v>
      </c>
      <c r="M1057" s="36"/>
    </row>
    <row r="1058" spans="1:13" x14ac:dyDescent="0.25">
      <c r="A1058" s="36"/>
      <c r="B1058" s="129" t="s">
        <v>98</v>
      </c>
      <c r="C1058" s="28">
        <v>44691</v>
      </c>
      <c r="D1058" s="36" t="s">
        <v>189</v>
      </c>
      <c r="E1058" s="36" t="s">
        <v>222</v>
      </c>
      <c r="F1058" s="36" t="s">
        <v>202</v>
      </c>
      <c r="G1058" s="36" t="s">
        <v>904</v>
      </c>
      <c r="H1058" s="36">
        <v>1</v>
      </c>
      <c r="I1058" s="36" t="s">
        <v>179</v>
      </c>
      <c r="J1058" s="36">
        <f>YEAR(RESER3[[#This Row],[DATA]])</f>
        <v>2022</v>
      </c>
      <c r="K1058" s="36">
        <f>MONTH(RESER3[[#This Row],[DATA]])</f>
        <v>5</v>
      </c>
      <c r="L1058" s="36">
        <f>DAY(RESER3[[#This Row],[DATA]])</f>
        <v>10</v>
      </c>
      <c r="M1058" s="36"/>
    </row>
    <row r="1059" spans="1:13" x14ac:dyDescent="0.25">
      <c r="A1059" s="36"/>
      <c r="B1059" s="129" t="s">
        <v>41</v>
      </c>
      <c r="C1059" s="28">
        <v>44691</v>
      </c>
      <c r="D1059" s="36" t="s">
        <v>189</v>
      </c>
      <c r="E1059" s="36" t="s">
        <v>462</v>
      </c>
      <c r="F1059" s="36" t="s">
        <v>196</v>
      </c>
      <c r="G1059" s="36" t="s">
        <v>790</v>
      </c>
      <c r="H1059" s="36">
        <v>1</v>
      </c>
      <c r="I1059" s="36" t="s">
        <v>179</v>
      </c>
      <c r="J1059" s="36">
        <f>YEAR(RESER3[[#This Row],[DATA]])</f>
        <v>2022</v>
      </c>
      <c r="K1059" s="36">
        <f>MONTH(C1059)</f>
        <v>5</v>
      </c>
      <c r="L1059" s="36">
        <f>DAY(RESER3[[#This Row],[DATA]])</f>
        <v>10</v>
      </c>
      <c r="M1059" s="36"/>
    </row>
    <row r="1060" spans="1:13" x14ac:dyDescent="0.25">
      <c r="A1060" s="36"/>
      <c r="B1060" s="129" t="s">
        <v>41</v>
      </c>
      <c r="C1060" s="28">
        <v>44691</v>
      </c>
      <c r="D1060" s="36" t="s">
        <v>189</v>
      </c>
      <c r="E1060" s="36" t="s">
        <v>462</v>
      </c>
      <c r="F1060" s="36" t="s">
        <v>202</v>
      </c>
      <c r="G1060" s="36" t="s">
        <v>904</v>
      </c>
      <c r="H1060" s="36">
        <v>1</v>
      </c>
      <c r="I1060" s="36" t="s">
        <v>179</v>
      </c>
      <c r="J1060" s="36">
        <f>YEAR(RESER3[[#This Row],[DATA]])</f>
        <v>2022</v>
      </c>
      <c r="K1060" s="36">
        <f>MONTH(C1060)</f>
        <v>5</v>
      </c>
      <c r="L1060" s="36">
        <f>DAY(RESER3[[#This Row],[DATA]])</f>
        <v>10</v>
      </c>
      <c r="M1060" s="36"/>
    </row>
    <row r="1061" spans="1:13" x14ac:dyDescent="0.25">
      <c r="A1061" s="36"/>
      <c r="B1061" s="129" t="s">
        <v>21</v>
      </c>
      <c r="C1061" s="28">
        <v>44691</v>
      </c>
      <c r="D1061" s="36" t="s">
        <v>189</v>
      </c>
      <c r="E1061" s="36" t="s">
        <v>222</v>
      </c>
      <c r="F1061" s="36" t="s">
        <v>228</v>
      </c>
      <c r="G1061" s="36" t="s">
        <v>901</v>
      </c>
      <c r="H1061" s="36">
        <v>1</v>
      </c>
      <c r="I1061" s="36" t="s">
        <v>179</v>
      </c>
      <c r="J1061" s="36">
        <f>YEAR(RESER3[[#This Row],[DATA]])</f>
        <v>2022</v>
      </c>
      <c r="K1061" s="36">
        <f>MONTH(RESER3[[#This Row],[DATA]])</f>
        <v>5</v>
      </c>
      <c r="L1061" s="36">
        <f>DAY(RESER3[[#This Row],[DATA]])</f>
        <v>10</v>
      </c>
      <c r="M1061" s="36"/>
    </row>
    <row r="1062" spans="1:13" x14ac:dyDescent="0.25">
      <c r="A1062" s="36"/>
      <c r="B1062" s="129" t="s">
        <v>21</v>
      </c>
      <c r="C1062" s="28">
        <v>44692</v>
      </c>
      <c r="D1062" s="36" t="s">
        <v>189</v>
      </c>
      <c r="E1062" s="36" t="s">
        <v>222</v>
      </c>
      <c r="F1062" s="36" t="s">
        <v>228</v>
      </c>
      <c r="G1062" s="36" t="s">
        <v>901</v>
      </c>
      <c r="H1062" s="36">
        <v>1</v>
      </c>
      <c r="I1062" s="36" t="s">
        <v>179</v>
      </c>
      <c r="J1062" s="36">
        <f>YEAR(RESER3[[#This Row],[DATA]])</f>
        <v>2022</v>
      </c>
      <c r="K1062" s="36">
        <f>MONTH(RESER3[[#This Row],[DATA]])</f>
        <v>5</v>
      </c>
      <c r="L1062" s="36">
        <f>DAY(RESER3[[#This Row],[DATA]])</f>
        <v>11</v>
      </c>
      <c r="M1062" s="36"/>
    </row>
    <row r="1063" spans="1:13" x14ac:dyDescent="0.25">
      <c r="A1063" s="36"/>
      <c r="B1063" s="129" t="s">
        <v>21</v>
      </c>
      <c r="C1063" s="28">
        <v>44692</v>
      </c>
      <c r="D1063" s="36" t="s">
        <v>189</v>
      </c>
      <c r="E1063" s="36" t="s">
        <v>462</v>
      </c>
      <c r="F1063" s="36" t="s">
        <v>194</v>
      </c>
      <c r="G1063" s="36" t="s">
        <v>906</v>
      </c>
      <c r="H1063" s="36">
        <v>1</v>
      </c>
      <c r="I1063" s="36" t="s">
        <v>179</v>
      </c>
      <c r="J1063" s="36">
        <f>YEAR(RESER3[[#This Row],[DATA]])</f>
        <v>2022</v>
      </c>
      <c r="K1063" s="36">
        <f>MONTH(RESER3[[#This Row],[DATA]])</f>
        <v>5</v>
      </c>
      <c r="L1063" s="36">
        <f>DAY(RESER3[[#This Row],[DATA]])</f>
        <v>11</v>
      </c>
      <c r="M1063" s="36"/>
    </row>
    <row r="1064" spans="1:13" x14ac:dyDescent="0.25">
      <c r="A1064" s="36"/>
      <c r="B1064" s="129" t="s">
        <v>40</v>
      </c>
      <c r="C1064" s="28">
        <v>44694</v>
      </c>
      <c r="D1064" s="36" t="s">
        <v>189</v>
      </c>
      <c r="E1064" s="36" t="s">
        <v>222</v>
      </c>
      <c r="F1064" s="36" t="s">
        <v>265</v>
      </c>
      <c r="G1064" s="36" t="s">
        <v>477</v>
      </c>
      <c r="H1064" s="36">
        <v>1</v>
      </c>
      <c r="I1064" s="36" t="s">
        <v>179</v>
      </c>
      <c r="J1064" s="36">
        <f>YEAR(RESER3[[#This Row],[DATA]])</f>
        <v>2022</v>
      </c>
      <c r="K1064" s="36">
        <f>MONTH(C1064)</f>
        <v>5</v>
      </c>
      <c r="L1064" s="36">
        <f>DAY(RESER3[[#This Row],[DATA]])</f>
        <v>13</v>
      </c>
      <c r="M1064" s="36"/>
    </row>
    <row r="1065" spans="1:13" x14ac:dyDescent="0.25">
      <c r="A1065" s="36"/>
      <c r="B1065" s="129" t="s">
        <v>19</v>
      </c>
      <c r="C1065" s="28">
        <v>44694</v>
      </c>
      <c r="D1065" s="36" t="s">
        <v>189</v>
      </c>
      <c r="E1065" s="36" t="s">
        <v>462</v>
      </c>
      <c r="F1065" s="36" t="s">
        <v>194</v>
      </c>
      <c r="G1065" s="36" t="s">
        <v>475</v>
      </c>
      <c r="H1065" s="36">
        <v>1</v>
      </c>
      <c r="I1065" s="36" t="s">
        <v>179</v>
      </c>
      <c r="J1065" s="36">
        <f>YEAR(RESER3[[#This Row],[DATA]])</f>
        <v>2022</v>
      </c>
      <c r="K1065" s="36">
        <f>MONTH(RESER3[[#This Row],[DATA]])</f>
        <v>5</v>
      </c>
      <c r="L1065" s="36">
        <f>DAY(RESER3[[#This Row],[DATA]])</f>
        <v>13</v>
      </c>
      <c r="M1065" s="36"/>
    </row>
    <row r="1066" spans="1:13" x14ac:dyDescent="0.25">
      <c r="A1066" s="36"/>
      <c r="B1066" s="129" t="s">
        <v>9</v>
      </c>
      <c r="C1066" s="28">
        <v>44697</v>
      </c>
      <c r="D1066" s="36" t="s">
        <v>189</v>
      </c>
      <c r="E1066" s="36" t="s">
        <v>222</v>
      </c>
      <c r="F1066" s="36" t="s">
        <v>228</v>
      </c>
      <c r="G1066" s="36" t="s">
        <v>901</v>
      </c>
      <c r="H1066" s="36">
        <v>1</v>
      </c>
      <c r="I1066" s="36" t="s">
        <v>179</v>
      </c>
      <c r="J1066" s="36">
        <f>YEAR(RESER3[[#This Row],[DATA]])</f>
        <v>2022</v>
      </c>
      <c r="K1066" s="36">
        <f t="shared" ref="K1066:K1071" si="24">MONTH(C1066)</f>
        <v>5</v>
      </c>
      <c r="L1066" s="36">
        <f>DAY(RESER3[[#This Row],[DATA]])</f>
        <v>16</v>
      </c>
      <c r="M1066" s="36"/>
    </row>
    <row r="1067" spans="1:13" x14ac:dyDescent="0.25">
      <c r="A1067" s="36"/>
      <c r="B1067" s="129" t="s">
        <v>26</v>
      </c>
      <c r="C1067" s="28">
        <v>44697</v>
      </c>
      <c r="D1067" s="36" t="s">
        <v>189</v>
      </c>
      <c r="E1067" s="36" t="s">
        <v>462</v>
      </c>
      <c r="F1067" s="36" t="s">
        <v>196</v>
      </c>
      <c r="G1067" s="36" t="s">
        <v>790</v>
      </c>
      <c r="H1067" s="36">
        <v>1</v>
      </c>
      <c r="I1067" s="36" t="s">
        <v>179</v>
      </c>
      <c r="J1067" s="36">
        <f>YEAR(RESER3[[#This Row],[DATA]])</f>
        <v>2022</v>
      </c>
      <c r="K1067" s="36">
        <f t="shared" si="24"/>
        <v>5</v>
      </c>
      <c r="L1067" s="36">
        <f>DAY(RESER3[[#This Row],[DATA]])</f>
        <v>16</v>
      </c>
      <c r="M1067" s="36"/>
    </row>
    <row r="1068" spans="1:13" x14ac:dyDescent="0.25">
      <c r="A1068" s="36"/>
      <c r="B1068" s="129" t="s">
        <v>8</v>
      </c>
      <c r="C1068" s="28">
        <v>44697</v>
      </c>
      <c r="D1068" s="36" t="s">
        <v>189</v>
      </c>
      <c r="E1068" s="36" t="s">
        <v>222</v>
      </c>
      <c r="F1068" s="36" t="s">
        <v>194</v>
      </c>
      <c r="G1068" s="36" t="s">
        <v>475</v>
      </c>
      <c r="H1068" s="36">
        <v>1</v>
      </c>
      <c r="I1068" s="36" t="s">
        <v>179</v>
      </c>
      <c r="J1068" s="36">
        <f>YEAR(RESER3[[#This Row],[DATA]])</f>
        <v>2022</v>
      </c>
      <c r="K1068" s="36">
        <f t="shared" si="24"/>
        <v>5</v>
      </c>
      <c r="L1068" s="36">
        <f>DAY(RESER3[[#This Row],[DATA]])</f>
        <v>16</v>
      </c>
      <c r="M1068" s="36"/>
    </row>
    <row r="1069" spans="1:13" x14ac:dyDescent="0.25">
      <c r="A1069" s="36"/>
      <c r="B1069" s="129" t="s">
        <v>9</v>
      </c>
      <c r="C1069" s="28">
        <v>44697</v>
      </c>
      <c r="D1069" s="36" t="s">
        <v>189</v>
      </c>
      <c r="E1069" s="36" t="s">
        <v>462</v>
      </c>
      <c r="F1069" s="36" t="s">
        <v>194</v>
      </c>
      <c r="G1069" s="36" t="s">
        <v>475</v>
      </c>
      <c r="H1069" s="36">
        <v>1</v>
      </c>
      <c r="I1069" s="36" t="s">
        <v>179</v>
      </c>
      <c r="J1069" s="36">
        <f>YEAR(RESER3[[#This Row],[DATA]])</f>
        <v>2022</v>
      </c>
      <c r="K1069" s="36">
        <f t="shared" si="24"/>
        <v>5</v>
      </c>
      <c r="L1069" s="36">
        <f>DAY(RESER3[[#This Row],[DATA]])</f>
        <v>16</v>
      </c>
      <c r="M1069" s="36"/>
    </row>
    <row r="1070" spans="1:13" x14ac:dyDescent="0.25">
      <c r="A1070" s="36"/>
      <c r="B1070" s="129" t="s">
        <v>40</v>
      </c>
      <c r="C1070" s="28">
        <v>44698</v>
      </c>
      <c r="D1070" s="36" t="s">
        <v>189</v>
      </c>
      <c r="E1070" s="36" t="s">
        <v>222</v>
      </c>
      <c r="F1070" s="36" t="s">
        <v>228</v>
      </c>
      <c r="G1070" s="36" t="s">
        <v>902</v>
      </c>
      <c r="H1070" s="36">
        <v>1</v>
      </c>
      <c r="I1070" s="36" t="s">
        <v>179</v>
      </c>
      <c r="J1070" s="36">
        <f>YEAR(RESER3[[#This Row],[DATA]])</f>
        <v>2022</v>
      </c>
      <c r="K1070" s="36">
        <f t="shared" si="24"/>
        <v>5</v>
      </c>
      <c r="L1070" s="36">
        <f>DAY(RESER3[[#This Row],[DATA]])</f>
        <v>17</v>
      </c>
      <c r="M1070" s="36"/>
    </row>
    <row r="1071" spans="1:13" x14ac:dyDescent="0.25">
      <c r="A1071" s="36"/>
      <c r="B1071" s="129" t="s">
        <v>112</v>
      </c>
      <c r="C1071" s="28">
        <v>44698</v>
      </c>
      <c r="D1071" s="36" t="s">
        <v>189</v>
      </c>
      <c r="E1071" s="36" t="s">
        <v>462</v>
      </c>
      <c r="F1071" s="36" t="s">
        <v>245</v>
      </c>
      <c r="G1071" s="36" t="s">
        <v>474</v>
      </c>
      <c r="H1071" s="36">
        <v>1</v>
      </c>
      <c r="I1071" s="36" t="s">
        <v>179</v>
      </c>
      <c r="J1071" s="36">
        <f>YEAR(RESER3[[#This Row],[DATA]])</f>
        <v>2022</v>
      </c>
      <c r="K1071" s="36">
        <f t="shared" si="24"/>
        <v>5</v>
      </c>
      <c r="L1071" s="36">
        <f>DAY(RESER3[[#This Row],[DATA]])</f>
        <v>17</v>
      </c>
      <c r="M1071" s="36"/>
    </row>
    <row r="1072" spans="1:13" x14ac:dyDescent="0.25">
      <c r="A1072" s="36"/>
      <c r="B1072" s="129" t="s">
        <v>15</v>
      </c>
      <c r="C1072" s="28">
        <v>44698</v>
      </c>
      <c r="D1072" s="36" t="s">
        <v>189</v>
      </c>
      <c r="E1072" s="36" t="s">
        <v>222</v>
      </c>
      <c r="F1072" s="36" t="s">
        <v>898</v>
      </c>
      <c r="G1072" s="36" t="s">
        <v>899</v>
      </c>
      <c r="H1072" s="36">
        <v>1</v>
      </c>
      <c r="I1072" s="36" t="s">
        <v>179</v>
      </c>
      <c r="J1072" s="36">
        <f>YEAR(RESER3[[#This Row],[DATA]])</f>
        <v>2022</v>
      </c>
      <c r="K1072" s="36">
        <f>MONTH(RESER3[[#This Row],[DATA]])</f>
        <v>5</v>
      </c>
      <c r="L1072" s="36">
        <f>DAY(RESER3[[#This Row],[DATA]])</f>
        <v>17</v>
      </c>
      <c r="M1072" s="36"/>
    </row>
    <row r="1073" spans="1:13" x14ac:dyDescent="0.25">
      <c r="A1073" s="36"/>
      <c r="B1073" s="129" t="s">
        <v>19</v>
      </c>
      <c r="C1073" s="28">
        <v>44698</v>
      </c>
      <c r="D1073" s="36" t="s">
        <v>189</v>
      </c>
      <c r="E1073" s="36" t="s">
        <v>222</v>
      </c>
      <c r="F1073" s="36" t="s">
        <v>228</v>
      </c>
      <c r="G1073" s="36" t="s">
        <v>901</v>
      </c>
      <c r="H1073" s="36">
        <v>1</v>
      </c>
      <c r="I1073" s="36" t="s">
        <v>179</v>
      </c>
      <c r="J1073" s="36">
        <f>YEAR(RESER3[[#This Row],[DATA]])</f>
        <v>2022</v>
      </c>
      <c r="K1073" s="36">
        <f>MONTH(RESER3[[#This Row],[DATA]])</f>
        <v>5</v>
      </c>
      <c r="L1073" s="36">
        <f>DAY(RESER3[[#This Row],[DATA]])</f>
        <v>17</v>
      </c>
      <c r="M1073" s="36"/>
    </row>
    <row r="1074" spans="1:13" x14ac:dyDescent="0.25">
      <c r="A1074" s="36"/>
      <c r="B1074" s="129" t="s">
        <v>7</v>
      </c>
      <c r="C1074" s="28">
        <v>44699</v>
      </c>
      <c r="D1074" s="36" t="s">
        <v>189</v>
      </c>
      <c r="E1074" s="36" t="s">
        <v>222</v>
      </c>
      <c r="F1074" s="36" t="s">
        <v>194</v>
      </c>
      <c r="G1074" s="36" t="s">
        <v>475</v>
      </c>
      <c r="H1074" s="36">
        <v>1</v>
      </c>
      <c r="I1074" s="36" t="s">
        <v>179</v>
      </c>
      <c r="J1074" s="36">
        <f>YEAR(RESER3[[#This Row],[DATA]])</f>
        <v>2022</v>
      </c>
      <c r="K1074" s="36">
        <f>MONTH(C1074)</f>
        <v>5</v>
      </c>
      <c r="L1074" s="36">
        <f>DAY(RESER3[[#This Row],[DATA]])</f>
        <v>18</v>
      </c>
      <c r="M1074" s="36"/>
    </row>
    <row r="1075" spans="1:13" x14ac:dyDescent="0.25">
      <c r="A1075" s="36"/>
      <c r="B1075" s="129" t="s">
        <v>5</v>
      </c>
      <c r="C1075" s="28">
        <v>44699</v>
      </c>
      <c r="D1075" s="36" t="s">
        <v>189</v>
      </c>
      <c r="E1075" s="36" t="s">
        <v>462</v>
      </c>
      <c r="F1075" s="36" t="s">
        <v>194</v>
      </c>
      <c r="G1075" s="36" t="s">
        <v>475</v>
      </c>
      <c r="H1075" s="36">
        <v>1</v>
      </c>
      <c r="I1075" s="36" t="s">
        <v>179</v>
      </c>
      <c r="J1075" s="36">
        <f>YEAR(RESER3[[#This Row],[DATA]])</f>
        <v>2022</v>
      </c>
      <c r="K1075" s="36">
        <f>MONTH(C1075)</f>
        <v>5</v>
      </c>
      <c r="L1075" s="36">
        <f>DAY(RESER3[[#This Row],[DATA]])</f>
        <v>18</v>
      </c>
      <c r="M1075" s="36"/>
    </row>
    <row r="1076" spans="1:13" x14ac:dyDescent="0.25">
      <c r="A1076" s="36"/>
      <c r="B1076" s="129" t="s">
        <v>40</v>
      </c>
      <c r="C1076" s="28">
        <v>44699</v>
      </c>
      <c r="D1076" s="36" t="s">
        <v>189</v>
      </c>
      <c r="E1076" s="36" t="s">
        <v>222</v>
      </c>
      <c r="F1076" s="36" t="s">
        <v>202</v>
      </c>
      <c r="G1076" s="36" t="s">
        <v>904</v>
      </c>
      <c r="H1076" s="36">
        <v>1</v>
      </c>
      <c r="I1076" s="36" t="s">
        <v>179</v>
      </c>
      <c r="J1076" s="36">
        <f>YEAR(RESER3[[#This Row],[DATA]])</f>
        <v>2022</v>
      </c>
      <c r="K1076" s="36">
        <f>MONTH(C1076)</f>
        <v>5</v>
      </c>
      <c r="L1076" s="36">
        <f>DAY(RESER3[[#This Row],[DATA]])</f>
        <v>18</v>
      </c>
      <c r="M1076" s="36"/>
    </row>
    <row r="1077" spans="1:13" x14ac:dyDescent="0.25">
      <c r="A1077" s="36"/>
      <c r="B1077" s="129" t="s">
        <v>8</v>
      </c>
      <c r="C1077" s="28">
        <v>44699</v>
      </c>
      <c r="D1077" s="36" t="s">
        <v>189</v>
      </c>
      <c r="E1077" s="36" t="s">
        <v>222</v>
      </c>
      <c r="F1077" s="36" t="s">
        <v>228</v>
      </c>
      <c r="G1077" s="36" t="s">
        <v>901</v>
      </c>
      <c r="H1077" s="36">
        <v>1</v>
      </c>
      <c r="I1077" s="36" t="s">
        <v>179</v>
      </c>
      <c r="J1077" s="36">
        <f>YEAR(RESER3[[#This Row],[DATA]])</f>
        <v>2022</v>
      </c>
      <c r="K1077" s="36">
        <f>MONTH(C1077)</f>
        <v>5</v>
      </c>
      <c r="L1077" s="36">
        <f>DAY(RESER3[[#This Row],[DATA]])</f>
        <v>18</v>
      </c>
      <c r="M1077" s="36"/>
    </row>
    <row r="1078" spans="1:13" x14ac:dyDescent="0.25">
      <c r="A1078" s="36"/>
      <c r="B1078" s="129" t="s">
        <v>14</v>
      </c>
      <c r="C1078" s="28">
        <v>44699</v>
      </c>
      <c r="D1078" s="36" t="s">
        <v>189</v>
      </c>
      <c r="E1078" s="36" t="s">
        <v>462</v>
      </c>
      <c r="F1078" s="36" t="s">
        <v>894</v>
      </c>
      <c r="G1078" s="36" t="s">
        <v>907</v>
      </c>
      <c r="H1078" s="36">
        <v>1</v>
      </c>
      <c r="I1078" s="36" t="s">
        <v>179</v>
      </c>
      <c r="J1078" s="36">
        <f>YEAR(RESER3[[#This Row],[DATA]])</f>
        <v>2022</v>
      </c>
      <c r="K1078" s="36">
        <f>MONTH(RESER3[[#This Row],[DATA]])</f>
        <v>5</v>
      </c>
      <c r="L1078" s="36">
        <f>DAY(RESER3[[#This Row],[DATA]])</f>
        <v>18</v>
      </c>
      <c r="M1078" s="36"/>
    </row>
    <row r="1079" spans="1:13" x14ac:dyDescent="0.25">
      <c r="A1079" s="36"/>
      <c r="B1079" s="129" t="s">
        <v>15</v>
      </c>
      <c r="C1079" s="28">
        <v>44700</v>
      </c>
      <c r="D1079" s="36" t="s">
        <v>189</v>
      </c>
      <c r="E1079" s="36" t="s">
        <v>462</v>
      </c>
      <c r="F1079" s="36" t="s">
        <v>228</v>
      </c>
      <c r="G1079" s="36" t="s">
        <v>901</v>
      </c>
      <c r="H1079" s="36">
        <v>1</v>
      </c>
      <c r="I1079" s="36" t="s">
        <v>179</v>
      </c>
      <c r="J1079" s="36">
        <f>YEAR(RESER3[[#This Row],[DATA]])</f>
        <v>2022</v>
      </c>
      <c r="K1079" s="36">
        <f>MONTH(RESER3[[#This Row],[DATA]])</f>
        <v>5</v>
      </c>
      <c r="L1079" s="36">
        <f>DAY(RESER3[[#This Row],[DATA]])</f>
        <v>19</v>
      </c>
      <c r="M1079" s="36"/>
    </row>
    <row r="1080" spans="1:13" x14ac:dyDescent="0.25">
      <c r="A1080" s="36"/>
      <c r="B1080" s="129" t="s">
        <v>9</v>
      </c>
      <c r="C1080" s="28">
        <v>44701</v>
      </c>
      <c r="D1080" s="36" t="s">
        <v>189</v>
      </c>
      <c r="E1080" s="36" t="s">
        <v>222</v>
      </c>
      <c r="F1080" s="36" t="s">
        <v>196</v>
      </c>
      <c r="G1080" s="36" t="s">
        <v>790</v>
      </c>
      <c r="H1080" s="36">
        <v>1</v>
      </c>
      <c r="I1080" s="36" t="s">
        <v>179</v>
      </c>
      <c r="J1080" s="36">
        <f>YEAR(RESER3[[#This Row],[DATA]])</f>
        <v>2022</v>
      </c>
      <c r="K1080" s="36">
        <f>MONTH(C1080)</f>
        <v>5</v>
      </c>
      <c r="L1080" s="36">
        <f>DAY(RESER3[[#This Row],[DATA]])</f>
        <v>20</v>
      </c>
      <c r="M1080" s="36"/>
    </row>
    <row r="1081" spans="1:13" x14ac:dyDescent="0.25">
      <c r="A1081" s="36"/>
      <c r="B1081" s="129" t="s">
        <v>8</v>
      </c>
      <c r="C1081" s="28">
        <v>44701</v>
      </c>
      <c r="D1081" s="36" t="s">
        <v>189</v>
      </c>
      <c r="E1081" s="36" t="s">
        <v>462</v>
      </c>
      <c r="F1081" s="36" t="s">
        <v>194</v>
      </c>
      <c r="G1081" s="36" t="s">
        <v>475</v>
      </c>
      <c r="H1081" s="36">
        <v>1</v>
      </c>
      <c r="I1081" s="36" t="s">
        <v>179</v>
      </c>
      <c r="J1081" s="36">
        <f>YEAR(RESER3[[#This Row],[DATA]])</f>
        <v>2022</v>
      </c>
      <c r="K1081" s="36">
        <f>MONTH(C1081)</f>
        <v>5</v>
      </c>
      <c r="L1081" s="36">
        <f>DAY(RESER3[[#This Row],[DATA]])</f>
        <v>20</v>
      </c>
      <c r="M1081" s="36"/>
    </row>
    <row r="1082" spans="1:13" x14ac:dyDescent="0.25">
      <c r="A1082" s="36"/>
      <c r="B1082" s="129" t="s">
        <v>112</v>
      </c>
      <c r="C1082" s="28">
        <v>44704</v>
      </c>
      <c r="D1082" s="36" t="s">
        <v>189</v>
      </c>
      <c r="E1082" s="36" t="s">
        <v>222</v>
      </c>
      <c r="F1082" s="36" t="s">
        <v>245</v>
      </c>
      <c r="G1082" s="36" t="s">
        <v>474</v>
      </c>
      <c r="H1082" s="36">
        <v>1</v>
      </c>
      <c r="I1082" s="36" t="s">
        <v>179</v>
      </c>
      <c r="J1082" s="36">
        <f>YEAR(RESER3[[#This Row],[DATA]])</f>
        <v>2022</v>
      </c>
      <c r="K1082" s="36">
        <f>MONTH(C1082)</f>
        <v>5</v>
      </c>
      <c r="L1082" s="36">
        <f>DAY(RESER3[[#This Row],[DATA]])</f>
        <v>23</v>
      </c>
      <c r="M1082" s="36"/>
    </row>
    <row r="1083" spans="1:13" x14ac:dyDescent="0.25">
      <c r="A1083" s="36"/>
      <c r="B1083" s="129" t="s">
        <v>9</v>
      </c>
      <c r="C1083" s="28">
        <v>44704</v>
      </c>
      <c r="D1083" s="36" t="s">
        <v>189</v>
      </c>
      <c r="E1083" s="36" t="s">
        <v>462</v>
      </c>
      <c r="F1083" s="36" t="s">
        <v>196</v>
      </c>
      <c r="G1083" s="36" t="s">
        <v>790</v>
      </c>
      <c r="H1083" s="36">
        <v>1</v>
      </c>
      <c r="I1083" s="36" t="s">
        <v>179</v>
      </c>
      <c r="J1083" s="36">
        <f>YEAR(RESER3[[#This Row],[DATA]])</f>
        <v>2022</v>
      </c>
      <c r="K1083" s="36">
        <f>MONTH(C1083)</f>
        <v>5</v>
      </c>
      <c r="L1083" s="36">
        <f>DAY(RESER3[[#This Row],[DATA]])</f>
        <v>23</v>
      </c>
      <c r="M1083" s="36"/>
    </row>
    <row r="1084" spans="1:13" x14ac:dyDescent="0.25">
      <c r="A1084" s="36"/>
      <c r="B1084" s="129" t="s">
        <v>21</v>
      </c>
      <c r="C1084" s="28">
        <v>44704</v>
      </c>
      <c r="D1084" s="36" t="s">
        <v>189</v>
      </c>
      <c r="E1084" s="36" t="s">
        <v>222</v>
      </c>
      <c r="F1084" s="36" t="s">
        <v>202</v>
      </c>
      <c r="G1084" s="165" t="s">
        <v>904</v>
      </c>
      <c r="H1084" s="36">
        <v>1</v>
      </c>
      <c r="I1084" s="36" t="s">
        <v>179</v>
      </c>
      <c r="J1084" s="36">
        <f>YEAR(RESER3[[#This Row],[DATA]])</f>
        <v>2022</v>
      </c>
      <c r="K1084" s="36">
        <f>MONTH(RESER3[[#This Row],[DATA]])</f>
        <v>5</v>
      </c>
      <c r="L1084" s="36">
        <f>DAY(RESER3[[#This Row],[DATA]])</f>
        <v>23</v>
      </c>
      <c r="M1084" s="36"/>
    </row>
    <row r="1085" spans="1:13" x14ac:dyDescent="0.25">
      <c r="A1085" s="36"/>
      <c r="B1085" s="129" t="s">
        <v>19</v>
      </c>
      <c r="C1085" s="28">
        <v>44704</v>
      </c>
      <c r="D1085" s="36" t="s">
        <v>189</v>
      </c>
      <c r="E1085" s="36" t="s">
        <v>222</v>
      </c>
      <c r="F1085" s="36" t="s">
        <v>194</v>
      </c>
      <c r="G1085" s="36" t="s">
        <v>475</v>
      </c>
      <c r="H1085" s="36">
        <v>1</v>
      </c>
      <c r="I1085" s="36" t="s">
        <v>179</v>
      </c>
      <c r="J1085" s="36">
        <f>YEAR(RESER3[[#This Row],[DATA]])</f>
        <v>2022</v>
      </c>
      <c r="K1085" s="36">
        <f>MONTH(RESER3[[#This Row],[DATA]])</f>
        <v>5</v>
      </c>
      <c r="L1085" s="36">
        <f>DAY(RESER3[[#This Row],[DATA]])</f>
        <v>23</v>
      </c>
      <c r="M1085" s="36"/>
    </row>
    <row r="1086" spans="1:13" x14ac:dyDescent="0.25">
      <c r="A1086" s="36"/>
      <c r="B1086" s="129" t="s">
        <v>21</v>
      </c>
      <c r="C1086" s="28">
        <v>44704</v>
      </c>
      <c r="D1086" s="36" t="s">
        <v>189</v>
      </c>
      <c r="E1086" s="36" t="s">
        <v>462</v>
      </c>
      <c r="F1086" s="36" t="s">
        <v>464</v>
      </c>
      <c r="G1086" s="36" t="s">
        <v>908</v>
      </c>
      <c r="H1086" s="36">
        <v>1</v>
      </c>
      <c r="I1086" s="36" t="s">
        <v>179</v>
      </c>
      <c r="J1086" s="36">
        <f>YEAR(RESER3[[#This Row],[DATA]])</f>
        <v>2022</v>
      </c>
      <c r="K1086" s="36">
        <f>MONTH(RESER3[[#This Row],[DATA]])</f>
        <v>5</v>
      </c>
      <c r="L1086" s="36">
        <f>DAY(RESER3[[#This Row],[DATA]])</f>
        <v>23</v>
      </c>
      <c r="M1086" s="36"/>
    </row>
    <row r="1087" spans="1:13" x14ac:dyDescent="0.25">
      <c r="A1087" s="36"/>
      <c r="B1087" s="129" t="s">
        <v>21</v>
      </c>
      <c r="C1087" s="28">
        <v>44704</v>
      </c>
      <c r="D1087" s="36" t="s">
        <v>189</v>
      </c>
      <c r="E1087" s="36" t="s">
        <v>462</v>
      </c>
      <c r="F1087" s="36" t="s">
        <v>194</v>
      </c>
      <c r="G1087" s="36" t="s">
        <v>475</v>
      </c>
      <c r="H1087" s="36">
        <v>1</v>
      </c>
      <c r="I1087" s="36" t="s">
        <v>179</v>
      </c>
      <c r="J1087" s="36">
        <f>YEAR(RESER3[[#This Row],[DATA]])</f>
        <v>2022</v>
      </c>
      <c r="K1087" s="36">
        <f>MONTH(RESER3[[#This Row],[DATA]])</f>
        <v>5</v>
      </c>
      <c r="L1087" s="36">
        <f>DAY(RESER3[[#This Row],[DATA]])</f>
        <v>23</v>
      </c>
      <c r="M1087" s="36"/>
    </row>
    <row r="1088" spans="1:13" x14ac:dyDescent="0.25">
      <c r="A1088" s="36"/>
      <c r="B1088" s="129" t="s">
        <v>20</v>
      </c>
      <c r="C1088" s="28">
        <v>44704</v>
      </c>
      <c r="D1088" s="36" t="s">
        <v>189</v>
      </c>
      <c r="E1088" s="36" t="s">
        <v>222</v>
      </c>
      <c r="F1088" s="36" t="s">
        <v>194</v>
      </c>
      <c r="G1088" s="36" t="s">
        <v>475</v>
      </c>
      <c r="H1088" s="36">
        <v>1</v>
      </c>
      <c r="I1088" s="36" t="s">
        <v>179</v>
      </c>
      <c r="J1088" s="36">
        <f>YEAR(RESER3[[#This Row],[DATA]])</f>
        <v>2022</v>
      </c>
      <c r="K1088" s="36">
        <f>MONTH(RESER3[[#This Row],[DATA]])</f>
        <v>5</v>
      </c>
      <c r="L1088" s="36">
        <f>DAY(RESER3[[#This Row],[DATA]])</f>
        <v>23</v>
      </c>
      <c r="M1088" s="36"/>
    </row>
    <row r="1089" spans="1:13" x14ac:dyDescent="0.25">
      <c r="A1089" s="36"/>
      <c r="B1089" s="129" t="s">
        <v>20</v>
      </c>
      <c r="C1089" s="28">
        <v>44704</v>
      </c>
      <c r="D1089" s="36" t="s">
        <v>189</v>
      </c>
      <c r="E1089" s="36" t="s">
        <v>462</v>
      </c>
      <c r="F1089" s="36" t="s">
        <v>194</v>
      </c>
      <c r="G1089" s="36" t="s">
        <v>475</v>
      </c>
      <c r="H1089" s="36">
        <v>1</v>
      </c>
      <c r="I1089" s="36" t="s">
        <v>179</v>
      </c>
      <c r="J1089" s="36">
        <f>YEAR(RESER3[[#This Row],[DATA]])</f>
        <v>2022</v>
      </c>
      <c r="K1089" s="36">
        <f>MONTH(RESER3[[#This Row],[DATA]])</f>
        <v>5</v>
      </c>
      <c r="L1089" s="36">
        <f>DAY(RESER3[[#This Row],[DATA]])</f>
        <v>23</v>
      </c>
      <c r="M1089" s="36"/>
    </row>
    <row r="1090" spans="1:13" x14ac:dyDescent="0.25">
      <c r="A1090" s="36"/>
      <c r="B1090" s="129" t="s">
        <v>19</v>
      </c>
      <c r="C1090" s="28">
        <v>44704</v>
      </c>
      <c r="D1090" s="36" t="s">
        <v>189</v>
      </c>
      <c r="E1090" s="36" t="s">
        <v>462</v>
      </c>
      <c r="F1090" s="36" t="s">
        <v>228</v>
      </c>
      <c r="G1090" s="36" t="s">
        <v>901</v>
      </c>
      <c r="H1090" s="36">
        <v>1</v>
      </c>
      <c r="I1090" s="36" t="s">
        <v>179</v>
      </c>
      <c r="J1090" s="36">
        <f>YEAR(RESER3[[#This Row],[DATA]])</f>
        <v>2022</v>
      </c>
      <c r="K1090" s="36">
        <f>MONTH(RESER3[[#This Row],[DATA]])</f>
        <v>5</v>
      </c>
      <c r="L1090" s="36">
        <f>DAY(RESER3[[#This Row],[DATA]])</f>
        <v>23</v>
      </c>
      <c r="M1090" s="36"/>
    </row>
    <row r="1091" spans="1:13" x14ac:dyDescent="0.25">
      <c r="A1091" s="36"/>
      <c r="B1091" s="129" t="s">
        <v>21</v>
      </c>
      <c r="C1091" s="28">
        <v>44704</v>
      </c>
      <c r="D1091" s="36" t="s">
        <v>189</v>
      </c>
      <c r="E1091" s="36" t="s">
        <v>462</v>
      </c>
      <c r="F1091" s="36" t="s">
        <v>202</v>
      </c>
      <c r="G1091" s="36" t="s">
        <v>904</v>
      </c>
      <c r="H1091" s="36">
        <v>1</v>
      </c>
      <c r="I1091" s="36" t="s">
        <v>179</v>
      </c>
      <c r="J1091" s="36">
        <f>YEAR(RESER3[[#This Row],[DATA]])</f>
        <v>2022</v>
      </c>
      <c r="K1091" s="36">
        <f>MONTH(RESER3[[#This Row],[DATA]])</f>
        <v>5</v>
      </c>
      <c r="L1091" s="36">
        <f>DAY(RESER3[[#This Row],[DATA]])</f>
        <v>23</v>
      </c>
      <c r="M1091" s="36"/>
    </row>
    <row r="1092" spans="1:13" x14ac:dyDescent="0.25">
      <c r="A1092" s="36"/>
      <c r="B1092" s="129" t="s">
        <v>19</v>
      </c>
      <c r="C1092" s="28">
        <v>44704</v>
      </c>
      <c r="D1092" s="36" t="s">
        <v>189</v>
      </c>
      <c r="E1092" s="36" t="s">
        <v>222</v>
      </c>
      <c r="F1092" s="36" t="s">
        <v>228</v>
      </c>
      <c r="G1092" s="36" t="s">
        <v>901</v>
      </c>
      <c r="H1092" s="36">
        <v>1</v>
      </c>
      <c r="I1092" s="36" t="s">
        <v>179</v>
      </c>
      <c r="J1092" s="36">
        <f>YEAR(RESER3[[#This Row],[DATA]])</f>
        <v>2022</v>
      </c>
      <c r="K1092" s="36">
        <f>MONTH(RESER3[[#This Row],[DATA]])</f>
        <v>5</v>
      </c>
      <c r="L1092" s="36">
        <f>DAY(RESER3[[#This Row],[DATA]])</f>
        <v>23</v>
      </c>
      <c r="M1092" s="36"/>
    </row>
    <row r="1093" spans="1:13" x14ac:dyDescent="0.25">
      <c r="A1093" s="36"/>
      <c r="B1093" s="129" t="s">
        <v>21</v>
      </c>
      <c r="C1093" s="28">
        <v>44704</v>
      </c>
      <c r="D1093" s="36" t="s">
        <v>189</v>
      </c>
      <c r="E1093" s="36" t="s">
        <v>462</v>
      </c>
      <c r="F1093" s="36" t="s">
        <v>464</v>
      </c>
      <c r="G1093" s="36" t="s">
        <v>908</v>
      </c>
      <c r="H1093" s="36">
        <v>1</v>
      </c>
      <c r="I1093" s="36" t="s">
        <v>179</v>
      </c>
      <c r="J1093" s="36">
        <f>YEAR(RESER3[[#This Row],[DATA]])</f>
        <v>2022</v>
      </c>
      <c r="K1093" s="36">
        <f>MONTH(RESER3[[#This Row],[DATA]])</f>
        <v>5</v>
      </c>
      <c r="L1093" s="36">
        <f>DAY(RESER3[[#This Row],[DATA]])</f>
        <v>23</v>
      </c>
      <c r="M1093" s="36"/>
    </row>
    <row r="1094" spans="1:13" x14ac:dyDescent="0.25">
      <c r="A1094" s="36"/>
      <c r="B1094" s="129" t="s">
        <v>21</v>
      </c>
      <c r="C1094" s="28">
        <v>44704</v>
      </c>
      <c r="D1094" s="36" t="s">
        <v>189</v>
      </c>
      <c r="E1094" s="36" t="s">
        <v>222</v>
      </c>
      <c r="F1094" s="36" t="s">
        <v>194</v>
      </c>
      <c r="G1094" s="36" t="s">
        <v>475</v>
      </c>
      <c r="H1094" s="36">
        <v>1</v>
      </c>
      <c r="I1094" s="36" t="s">
        <v>179</v>
      </c>
      <c r="J1094" s="36">
        <f>YEAR(RESER3[[#This Row],[DATA]])</f>
        <v>2022</v>
      </c>
      <c r="K1094" s="36">
        <f>MONTH(RESER3[[#This Row],[DATA]])</f>
        <v>5</v>
      </c>
      <c r="L1094" s="36">
        <f>DAY(RESER3[[#This Row],[DATA]])</f>
        <v>23</v>
      </c>
      <c r="M1094" s="36"/>
    </row>
    <row r="1095" spans="1:13" x14ac:dyDescent="0.25">
      <c r="A1095" s="36"/>
      <c r="B1095" s="129" t="s">
        <v>20</v>
      </c>
      <c r="C1095" s="28">
        <v>44704</v>
      </c>
      <c r="D1095" s="36" t="s">
        <v>189</v>
      </c>
      <c r="E1095" s="36" t="s">
        <v>462</v>
      </c>
      <c r="F1095" s="36" t="s">
        <v>194</v>
      </c>
      <c r="G1095" s="36" t="s">
        <v>475</v>
      </c>
      <c r="H1095" s="36">
        <v>1</v>
      </c>
      <c r="I1095" s="36" t="s">
        <v>179</v>
      </c>
      <c r="J1095" s="36">
        <f>YEAR(RESER3[[#This Row],[DATA]])</f>
        <v>2022</v>
      </c>
      <c r="K1095" s="36">
        <f>MONTH(RESER3[[#This Row],[DATA]])</f>
        <v>5</v>
      </c>
      <c r="L1095" s="36">
        <f>DAY(RESER3[[#This Row],[DATA]])</f>
        <v>23</v>
      </c>
      <c r="M1095" s="36"/>
    </row>
    <row r="1096" spans="1:13" x14ac:dyDescent="0.25">
      <c r="A1096" s="36"/>
      <c r="B1096" s="129" t="s">
        <v>20</v>
      </c>
      <c r="C1096" s="28">
        <v>44704</v>
      </c>
      <c r="D1096" s="36" t="s">
        <v>189</v>
      </c>
      <c r="E1096" s="36" t="s">
        <v>462</v>
      </c>
      <c r="F1096" s="36" t="s">
        <v>194</v>
      </c>
      <c r="G1096" s="36" t="s">
        <v>906</v>
      </c>
      <c r="H1096" s="36">
        <v>1</v>
      </c>
      <c r="I1096" s="36" t="s">
        <v>179</v>
      </c>
      <c r="J1096" s="36">
        <f>YEAR(RESER3[[#This Row],[DATA]])</f>
        <v>2022</v>
      </c>
      <c r="K1096" s="36">
        <f>MONTH(RESER3[[#This Row],[DATA]])</f>
        <v>5</v>
      </c>
      <c r="L1096" s="36">
        <f>DAY(RESER3[[#This Row],[DATA]])</f>
        <v>23</v>
      </c>
      <c r="M1096" s="36"/>
    </row>
    <row r="1097" spans="1:13" x14ac:dyDescent="0.25">
      <c r="A1097" s="36"/>
      <c r="B1097" s="129" t="s">
        <v>112</v>
      </c>
      <c r="C1097" s="28">
        <v>44705</v>
      </c>
      <c r="D1097" s="36" t="s">
        <v>189</v>
      </c>
      <c r="E1097" s="36" t="s">
        <v>222</v>
      </c>
      <c r="F1097" s="36" t="s">
        <v>202</v>
      </c>
      <c r="G1097" s="36" t="s">
        <v>904</v>
      </c>
      <c r="H1097" s="36">
        <v>1</v>
      </c>
      <c r="I1097" s="36" t="s">
        <v>179</v>
      </c>
      <c r="J1097" s="36">
        <f>YEAR(RESER3[[#This Row],[DATA]])</f>
        <v>2022</v>
      </c>
      <c r="K1097" s="36">
        <f>MONTH(C1097)</f>
        <v>5</v>
      </c>
      <c r="L1097" s="36">
        <f>DAY(RESER3[[#This Row],[DATA]])</f>
        <v>24</v>
      </c>
      <c r="M1097" s="36"/>
    </row>
    <row r="1098" spans="1:13" x14ac:dyDescent="0.25">
      <c r="A1098" s="36"/>
      <c r="B1098" s="129" t="s">
        <v>4</v>
      </c>
      <c r="C1098" s="28">
        <v>44705</v>
      </c>
      <c r="D1098" s="36" t="s">
        <v>189</v>
      </c>
      <c r="E1098" s="36" t="s">
        <v>222</v>
      </c>
      <c r="F1098" s="36" t="s">
        <v>245</v>
      </c>
      <c r="G1098" s="36" t="s">
        <v>474</v>
      </c>
      <c r="H1098" s="36">
        <v>1</v>
      </c>
      <c r="I1098" s="36" t="s">
        <v>179</v>
      </c>
      <c r="J1098" s="36">
        <f>YEAR(RESER3[[#This Row],[DATA]])</f>
        <v>2022</v>
      </c>
      <c r="K1098" s="36">
        <f>MONTH(C1098)</f>
        <v>5</v>
      </c>
      <c r="L1098" s="36">
        <f>DAY(RESER3[[#This Row],[DATA]])</f>
        <v>24</v>
      </c>
      <c r="M1098" s="36"/>
    </row>
    <row r="1099" spans="1:13" x14ac:dyDescent="0.25">
      <c r="A1099" s="36"/>
      <c r="B1099" s="129" t="s">
        <v>40</v>
      </c>
      <c r="C1099" s="28">
        <v>44706</v>
      </c>
      <c r="D1099" s="36" t="s">
        <v>189</v>
      </c>
      <c r="E1099" s="36" t="s">
        <v>462</v>
      </c>
      <c r="F1099" s="36" t="s">
        <v>194</v>
      </c>
      <c r="G1099" s="165" t="s">
        <v>475</v>
      </c>
      <c r="H1099" s="36">
        <v>1</v>
      </c>
      <c r="I1099" s="36" t="s">
        <v>179</v>
      </c>
      <c r="J1099" s="36">
        <f>YEAR(RESER3[[#This Row],[DATA]])</f>
        <v>2022</v>
      </c>
      <c r="K1099" s="36">
        <f>MONTH(C1099)</f>
        <v>5</v>
      </c>
      <c r="L1099" s="36">
        <f>DAY(RESER3[[#This Row],[DATA]])</f>
        <v>25</v>
      </c>
      <c r="M1099" s="36"/>
    </row>
    <row r="1100" spans="1:13" x14ac:dyDescent="0.25">
      <c r="A1100" s="36"/>
      <c r="B1100" s="129" t="s">
        <v>41</v>
      </c>
      <c r="C1100" s="28">
        <v>44706</v>
      </c>
      <c r="D1100" s="36" t="s">
        <v>189</v>
      </c>
      <c r="E1100" s="36" t="s">
        <v>222</v>
      </c>
      <c r="F1100" s="36" t="s">
        <v>196</v>
      </c>
      <c r="G1100" s="36" t="s">
        <v>790</v>
      </c>
      <c r="H1100" s="36">
        <v>1</v>
      </c>
      <c r="I1100" s="36" t="s">
        <v>179</v>
      </c>
      <c r="J1100" s="36">
        <f>YEAR(RESER3[[#This Row],[DATA]])</f>
        <v>2022</v>
      </c>
      <c r="K1100" s="36">
        <f>MONTH(C1100)</f>
        <v>5</v>
      </c>
      <c r="L1100" s="36">
        <f>DAY(RESER3[[#This Row],[DATA]])</f>
        <v>25</v>
      </c>
      <c r="M1100" s="36"/>
    </row>
    <row r="1101" spans="1:13" x14ac:dyDescent="0.25">
      <c r="A1101" s="36"/>
      <c r="B1101" s="129" t="s">
        <v>4</v>
      </c>
      <c r="C1101" s="28">
        <v>44706</v>
      </c>
      <c r="D1101" s="36" t="s">
        <v>189</v>
      </c>
      <c r="E1101" s="36" t="s">
        <v>222</v>
      </c>
      <c r="F1101" s="36" t="s">
        <v>265</v>
      </c>
      <c r="G1101" s="36" t="s">
        <v>477</v>
      </c>
      <c r="H1101" s="36">
        <v>1</v>
      </c>
      <c r="I1101" s="36" t="s">
        <v>179</v>
      </c>
      <c r="J1101" s="36">
        <f>YEAR(RESER3[[#This Row],[DATA]])</f>
        <v>2022</v>
      </c>
      <c r="K1101" s="36">
        <f>MONTH(C1101)</f>
        <v>5</v>
      </c>
      <c r="L1101" s="36">
        <f>DAY(RESER3[[#This Row],[DATA]])</f>
        <v>25</v>
      </c>
      <c r="M1101" s="36"/>
    </row>
    <row r="1102" spans="1:13" x14ac:dyDescent="0.25">
      <c r="A1102" s="36"/>
      <c r="B1102" s="129" t="s">
        <v>14</v>
      </c>
      <c r="C1102" s="28">
        <v>44706</v>
      </c>
      <c r="D1102" s="36" t="s">
        <v>189</v>
      </c>
      <c r="E1102" s="36" t="s">
        <v>462</v>
      </c>
      <c r="F1102" s="36" t="s">
        <v>228</v>
      </c>
      <c r="G1102" s="36" t="s">
        <v>901</v>
      </c>
      <c r="H1102" s="36">
        <v>1</v>
      </c>
      <c r="I1102" s="36" t="s">
        <v>179</v>
      </c>
      <c r="J1102" s="36">
        <f>YEAR(RESER3[[#This Row],[DATA]])</f>
        <v>2022</v>
      </c>
      <c r="K1102" s="36">
        <f>MONTH(RESER3[[#This Row],[DATA]])</f>
        <v>5</v>
      </c>
      <c r="L1102" s="36">
        <f>DAY(RESER3[[#This Row],[DATA]])</f>
        <v>25</v>
      </c>
      <c r="M1102" s="36"/>
    </row>
    <row r="1103" spans="1:13" x14ac:dyDescent="0.25">
      <c r="A1103" s="36"/>
      <c r="B1103" s="129" t="s">
        <v>14</v>
      </c>
      <c r="C1103" s="28">
        <v>44706</v>
      </c>
      <c r="D1103" s="36" t="s">
        <v>189</v>
      </c>
      <c r="E1103" s="36" t="s">
        <v>222</v>
      </c>
      <c r="F1103" s="36" t="s">
        <v>196</v>
      </c>
      <c r="G1103" s="36" t="s">
        <v>790</v>
      </c>
      <c r="H1103" s="36">
        <v>1</v>
      </c>
      <c r="I1103" s="36" t="s">
        <v>179</v>
      </c>
      <c r="J1103" s="36">
        <f>YEAR(RESER3[[#This Row],[DATA]])</f>
        <v>2022</v>
      </c>
      <c r="K1103" s="36">
        <f>MONTH(RESER3[[#This Row],[DATA]])</f>
        <v>5</v>
      </c>
      <c r="L1103" s="36">
        <f>DAY(RESER3[[#This Row],[DATA]])</f>
        <v>25</v>
      </c>
      <c r="M1103" s="36"/>
    </row>
    <row r="1104" spans="1:13" x14ac:dyDescent="0.25">
      <c r="A1104" s="36"/>
      <c r="B1104" s="129" t="s">
        <v>14</v>
      </c>
      <c r="C1104" s="28">
        <v>44707</v>
      </c>
      <c r="D1104" s="36" t="s">
        <v>189</v>
      </c>
      <c r="E1104" s="36" t="s">
        <v>462</v>
      </c>
      <c r="F1104" s="36" t="s">
        <v>196</v>
      </c>
      <c r="G1104" s="36" t="s">
        <v>790</v>
      </c>
      <c r="H1104" s="36">
        <v>1</v>
      </c>
      <c r="I1104" s="36" t="s">
        <v>179</v>
      </c>
      <c r="J1104" s="36">
        <f>YEAR(RESER3[[#This Row],[DATA]])</f>
        <v>2022</v>
      </c>
      <c r="K1104" s="36">
        <f>MONTH(RESER3[[#This Row],[DATA]])</f>
        <v>5</v>
      </c>
      <c r="L1104" s="36">
        <f>DAY(RESER3[[#This Row],[DATA]])</f>
        <v>26</v>
      </c>
      <c r="M1104" s="36"/>
    </row>
    <row r="1105" spans="1:13" x14ac:dyDescent="0.25">
      <c r="A1105" s="36"/>
      <c r="B1105" s="129" t="s">
        <v>9</v>
      </c>
      <c r="C1105" s="28">
        <v>44707</v>
      </c>
      <c r="D1105" s="36" t="s">
        <v>189</v>
      </c>
      <c r="E1105" s="36" t="s">
        <v>222</v>
      </c>
      <c r="F1105" s="36" t="s">
        <v>194</v>
      </c>
      <c r="G1105" s="165" t="s">
        <v>475</v>
      </c>
      <c r="H1105" s="36">
        <v>1</v>
      </c>
      <c r="I1105" s="36" t="s">
        <v>179</v>
      </c>
      <c r="J1105" s="36">
        <f>YEAR(RESER3[[#This Row],[DATA]])</f>
        <v>2022</v>
      </c>
      <c r="K1105" s="36">
        <f>MONTH(C1105)</f>
        <v>5</v>
      </c>
      <c r="L1105" s="36">
        <f>DAY(RESER3[[#This Row],[DATA]])</f>
        <v>26</v>
      </c>
      <c r="M1105" s="36"/>
    </row>
    <row r="1106" spans="1:13" x14ac:dyDescent="0.25">
      <c r="A1106" s="36"/>
      <c r="B1106" s="129" t="s">
        <v>4</v>
      </c>
      <c r="C1106" s="28">
        <v>44707</v>
      </c>
      <c r="D1106" s="36" t="s">
        <v>189</v>
      </c>
      <c r="E1106" s="36" t="s">
        <v>222</v>
      </c>
      <c r="F1106" s="36" t="s">
        <v>194</v>
      </c>
      <c r="G1106" s="165" t="s">
        <v>475</v>
      </c>
      <c r="H1106" s="36">
        <v>1</v>
      </c>
      <c r="I1106" s="36" t="s">
        <v>179</v>
      </c>
      <c r="J1106" s="36">
        <f>YEAR(RESER3[[#This Row],[DATA]])</f>
        <v>2022</v>
      </c>
      <c r="K1106" s="36">
        <f>MONTH(C1106)</f>
        <v>5</v>
      </c>
      <c r="L1106" s="36">
        <f>DAY(RESER3[[#This Row],[DATA]])</f>
        <v>26</v>
      </c>
      <c r="M1106" s="36"/>
    </row>
    <row r="1107" spans="1:13" x14ac:dyDescent="0.25">
      <c r="A1107" s="36"/>
      <c r="B1107" s="129" t="s">
        <v>20</v>
      </c>
      <c r="C1107" s="28">
        <v>44707</v>
      </c>
      <c r="D1107" s="36" t="s">
        <v>189</v>
      </c>
      <c r="E1107" s="36" t="s">
        <v>462</v>
      </c>
      <c r="F1107" s="36" t="s">
        <v>228</v>
      </c>
      <c r="G1107" s="36" t="s">
        <v>901</v>
      </c>
      <c r="H1107" s="36">
        <v>1</v>
      </c>
      <c r="I1107" s="36" t="s">
        <v>179</v>
      </c>
      <c r="J1107" s="36">
        <f>YEAR(RESER3[[#This Row],[DATA]])</f>
        <v>2022</v>
      </c>
      <c r="K1107" s="36">
        <f>MONTH(RESER3[[#This Row],[DATA]])</f>
        <v>5</v>
      </c>
      <c r="L1107" s="36">
        <f>DAY(RESER3[[#This Row],[DATA]])</f>
        <v>26</v>
      </c>
      <c r="M1107" s="36"/>
    </row>
    <row r="1108" spans="1:13" x14ac:dyDescent="0.25">
      <c r="A1108" s="36"/>
      <c r="B1108" s="129" t="s">
        <v>17</v>
      </c>
      <c r="C1108" s="28">
        <v>44708</v>
      </c>
      <c r="D1108" s="36" t="s">
        <v>189</v>
      </c>
      <c r="E1108" s="36" t="s">
        <v>462</v>
      </c>
      <c r="F1108" s="36" t="s">
        <v>228</v>
      </c>
      <c r="G1108" s="36" t="s">
        <v>901</v>
      </c>
      <c r="H1108" s="36">
        <v>1</v>
      </c>
      <c r="I1108" s="36" t="s">
        <v>179</v>
      </c>
      <c r="J1108" s="36">
        <f>YEAR(RESER3[[#This Row],[DATA]])</f>
        <v>2022</v>
      </c>
      <c r="K1108" s="36">
        <f>MONTH(RESER3[[#This Row],[DATA]])</f>
        <v>5</v>
      </c>
      <c r="L1108" s="36">
        <f>DAY(RESER3[[#This Row],[DATA]])</f>
        <v>27</v>
      </c>
      <c r="M1108" s="36"/>
    </row>
    <row r="1109" spans="1:13" x14ac:dyDescent="0.25">
      <c r="A1109" s="36"/>
      <c r="B1109" s="129" t="s">
        <v>17</v>
      </c>
      <c r="C1109" s="28">
        <v>44708</v>
      </c>
      <c r="D1109" s="36" t="s">
        <v>189</v>
      </c>
      <c r="E1109" s="36" t="s">
        <v>462</v>
      </c>
      <c r="F1109" s="36" t="s">
        <v>202</v>
      </c>
      <c r="G1109" s="36" t="s">
        <v>904</v>
      </c>
      <c r="H1109" s="36">
        <v>1</v>
      </c>
      <c r="I1109" s="36" t="s">
        <v>179</v>
      </c>
      <c r="J1109" s="36">
        <f>YEAR(RESER3[[#This Row],[DATA]])</f>
        <v>2022</v>
      </c>
      <c r="K1109" s="36">
        <f>MONTH(RESER3[[#This Row],[DATA]])</f>
        <v>5</v>
      </c>
      <c r="L1109" s="36">
        <f>DAY(RESER3[[#This Row],[DATA]])</f>
        <v>27</v>
      </c>
      <c r="M1109" s="36"/>
    </row>
    <row r="1110" spans="1:13" x14ac:dyDescent="0.25">
      <c r="A1110" s="36"/>
      <c r="B1110" s="129" t="s">
        <v>18</v>
      </c>
      <c r="C1110" s="28">
        <v>44708</v>
      </c>
      <c r="D1110" s="36" t="s">
        <v>189</v>
      </c>
      <c r="E1110" s="36" t="s">
        <v>462</v>
      </c>
      <c r="F1110" s="36" t="s">
        <v>228</v>
      </c>
      <c r="G1110" s="36" t="s">
        <v>901</v>
      </c>
      <c r="H1110" s="36">
        <v>1</v>
      </c>
      <c r="I1110" s="36" t="s">
        <v>179</v>
      </c>
      <c r="J1110" s="36">
        <f>YEAR(RESER3[[#This Row],[DATA]])</f>
        <v>2022</v>
      </c>
      <c r="K1110" s="36">
        <f>MONTH(RESER3[[#This Row],[DATA]])</f>
        <v>5</v>
      </c>
      <c r="L1110" s="36">
        <f>DAY(RESER3[[#This Row],[DATA]])</f>
        <v>27</v>
      </c>
      <c r="M1110" s="36"/>
    </row>
    <row r="1111" spans="1:13" x14ac:dyDescent="0.25">
      <c r="A1111" s="36"/>
      <c r="B1111" s="129" t="s">
        <v>9</v>
      </c>
      <c r="C1111" s="28">
        <v>44711</v>
      </c>
      <c r="D1111" s="36" t="s">
        <v>189</v>
      </c>
      <c r="E1111" s="36" t="s">
        <v>222</v>
      </c>
      <c r="F1111" s="36" t="s">
        <v>228</v>
      </c>
      <c r="G1111" s="36" t="s">
        <v>901</v>
      </c>
      <c r="H1111" s="36">
        <v>1</v>
      </c>
      <c r="I1111" s="36" t="s">
        <v>179</v>
      </c>
      <c r="J1111" s="36">
        <f>YEAR(RESER3[[#This Row],[DATA]])</f>
        <v>2022</v>
      </c>
      <c r="K1111" s="36">
        <f>MONTH(RESER3[[#This Row],[DATA]])</f>
        <v>5</v>
      </c>
      <c r="L1111" s="36">
        <f>DAY(RESER3[[#This Row],[DATA]])</f>
        <v>30</v>
      </c>
      <c r="M1111" s="36"/>
    </row>
    <row r="1112" spans="1:13" x14ac:dyDescent="0.25">
      <c r="A1112" s="36"/>
      <c r="B1112" s="129"/>
      <c r="C1112" s="28"/>
      <c r="D1112" s="36"/>
      <c r="E1112" s="36"/>
      <c r="F1112" s="36"/>
      <c r="G1112" s="36"/>
      <c r="H1112" s="36"/>
      <c r="I1112" s="36"/>
      <c r="J1112" s="36">
        <f>YEAR(RESER3[[#This Row],[DATA]])</f>
        <v>1900</v>
      </c>
      <c r="K1112" s="36">
        <f>MONTH(RESER3[[#This Row],[DATA]])</f>
        <v>1</v>
      </c>
      <c r="L1112" s="36">
        <f>DAY(RESER3[[#This Row],[DATA]])</f>
        <v>0</v>
      </c>
      <c r="M1112" s="36"/>
    </row>
    <row r="1113" spans="1:13" x14ac:dyDescent="0.25">
      <c r="A1113" s="36"/>
      <c r="B1113" s="129"/>
      <c r="C1113" s="28"/>
      <c r="D1113" s="36"/>
      <c r="E1113" s="36"/>
      <c r="F1113" s="36"/>
      <c r="G1113" s="36"/>
      <c r="H1113" s="36"/>
      <c r="I1113" s="36"/>
      <c r="J1113" s="36">
        <f>YEAR(RESER3[[#This Row],[DATA]])</f>
        <v>1900</v>
      </c>
      <c r="K1113" s="36">
        <f>MONTH(RESER3[[#This Row],[DATA]])</f>
        <v>1</v>
      </c>
      <c r="L1113" s="36">
        <f>DAY(RESER3[[#This Row],[DATA]])</f>
        <v>0</v>
      </c>
      <c r="M1113" s="36"/>
    </row>
    <row r="1114" spans="1:13" x14ac:dyDescent="0.25">
      <c r="A1114" s="36"/>
      <c r="B1114" s="129"/>
      <c r="C1114" s="28"/>
      <c r="D1114" s="36"/>
      <c r="E1114" s="36"/>
      <c r="F1114" s="36"/>
      <c r="G1114" s="36"/>
      <c r="H1114" s="36"/>
      <c r="I1114" s="36"/>
      <c r="J1114" s="36">
        <f>YEAR(RESER3[[#This Row],[DATA]])</f>
        <v>1900</v>
      </c>
      <c r="K1114" s="36">
        <f>MONTH(RESER3[[#This Row],[DATA]])</f>
        <v>1</v>
      </c>
      <c r="L1114" s="36">
        <f>DAY(RESER3[[#This Row],[DATA]])</f>
        <v>0</v>
      </c>
      <c r="M1114" s="36"/>
    </row>
    <row r="1115" spans="1:13" x14ac:dyDescent="0.25">
      <c r="A1115" s="36"/>
      <c r="B1115" s="129"/>
      <c r="C1115" s="28"/>
      <c r="D1115" s="36"/>
      <c r="E1115" s="36"/>
      <c r="F1115" s="36"/>
      <c r="G1115" s="36"/>
      <c r="H1115" s="36"/>
      <c r="I1115" s="36"/>
      <c r="J1115" s="36">
        <f>YEAR(RESER3[[#This Row],[DATA]])</f>
        <v>1900</v>
      </c>
      <c r="K1115" s="36">
        <f>MONTH(RESER3[[#This Row],[DATA]])</f>
        <v>1</v>
      </c>
      <c r="L1115" s="36">
        <f>DAY(RESER3[[#This Row],[DATA]])</f>
        <v>0</v>
      </c>
      <c r="M1115" s="36"/>
    </row>
    <row r="1116" spans="1:13" x14ac:dyDescent="0.25">
      <c r="A1116" s="36"/>
      <c r="B1116" s="129"/>
      <c r="C1116" s="28"/>
      <c r="D1116" s="36"/>
      <c r="E1116" s="36"/>
      <c r="F1116" s="36"/>
      <c r="G1116" s="36"/>
      <c r="H1116" s="36"/>
      <c r="I1116" s="36"/>
      <c r="J1116" s="36">
        <f>YEAR(RESER3[[#This Row],[DATA]])</f>
        <v>1900</v>
      </c>
      <c r="K1116" s="36">
        <f>MONTH(RESER3[[#This Row],[DATA]])</f>
        <v>1</v>
      </c>
      <c r="L1116" s="36">
        <f>DAY(RESER3[[#This Row],[DATA]])</f>
        <v>0</v>
      </c>
      <c r="M1116" s="36"/>
    </row>
    <row r="1117" spans="1:13" x14ac:dyDescent="0.25">
      <c r="A1117" s="36"/>
      <c r="B1117" s="129"/>
      <c r="C1117" s="28"/>
      <c r="D1117" s="36"/>
      <c r="E1117" s="36"/>
      <c r="F1117" s="36"/>
      <c r="G1117" s="36"/>
      <c r="H1117" s="36"/>
      <c r="I1117" s="36"/>
      <c r="J1117" s="36">
        <f>YEAR(RESER3[[#This Row],[DATA]])</f>
        <v>1900</v>
      </c>
      <c r="K1117" s="36">
        <f>MONTH(RESER3[[#This Row],[DATA]])</f>
        <v>1</v>
      </c>
      <c r="L1117" s="36">
        <f>DAY(RESER3[[#This Row],[DATA]])</f>
        <v>0</v>
      </c>
      <c r="M1117" s="36"/>
    </row>
    <row r="1118" spans="1:13" x14ac:dyDescent="0.25">
      <c r="A1118" s="36"/>
      <c r="B1118" s="129"/>
      <c r="C1118" s="28"/>
      <c r="D1118" s="36"/>
      <c r="E1118" s="36"/>
      <c r="F1118" s="36"/>
      <c r="G1118" s="36"/>
      <c r="H1118" s="36"/>
      <c r="I1118" s="36"/>
      <c r="J1118" s="36">
        <f>YEAR(RESER3[[#This Row],[DATA]])</f>
        <v>1900</v>
      </c>
      <c r="K1118" s="36">
        <f>MONTH(RESER3[[#This Row],[DATA]])</f>
        <v>1</v>
      </c>
      <c r="L1118" s="36">
        <f>DAY(RESER3[[#This Row],[DATA]])</f>
        <v>0</v>
      </c>
      <c r="M1118" s="36"/>
    </row>
    <row r="1119" spans="1:13" x14ac:dyDescent="0.25">
      <c r="A1119" s="36"/>
      <c r="B1119" s="129"/>
      <c r="C1119" s="28"/>
      <c r="D1119" s="36"/>
      <c r="E1119" s="36"/>
      <c r="F1119" s="36"/>
      <c r="G1119" s="36"/>
      <c r="H1119" s="36"/>
      <c r="I1119" s="36"/>
      <c r="J1119" s="36">
        <f>YEAR(RESER3[[#This Row],[DATA]])</f>
        <v>1900</v>
      </c>
      <c r="K1119" s="36">
        <f>MONTH(RESER3[[#This Row],[DATA]])</f>
        <v>1</v>
      </c>
      <c r="L1119" s="36">
        <f>DAY(RESER3[[#This Row],[DATA]])</f>
        <v>0</v>
      </c>
      <c r="M1119" s="36"/>
    </row>
    <row r="1120" spans="1:13" x14ac:dyDescent="0.25">
      <c r="A1120" s="36"/>
      <c r="B1120" s="129"/>
      <c r="C1120" s="28"/>
      <c r="D1120" s="36"/>
      <c r="E1120" s="36"/>
      <c r="F1120" s="36"/>
      <c r="G1120" s="36"/>
      <c r="H1120" s="36"/>
      <c r="I1120" s="36"/>
      <c r="J1120" s="36">
        <f>YEAR(RESER3[[#This Row],[DATA]])</f>
        <v>1900</v>
      </c>
      <c r="K1120" s="36">
        <f>MONTH(RESER3[[#This Row],[DATA]])</f>
        <v>1</v>
      </c>
      <c r="L1120" s="36">
        <f>DAY(RESER3[[#This Row],[DATA]])</f>
        <v>0</v>
      </c>
      <c r="M1120" s="36"/>
    </row>
    <row r="1121" spans="1:13" x14ac:dyDescent="0.25">
      <c r="A1121" s="36"/>
      <c r="B1121" s="129"/>
      <c r="C1121" s="28"/>
      <c r="D1121" s="36"/>
      <c r="E1121" s="36"/>
      <c r="F1121" s="36"/>
      <c r="G1121" s="36"/>
      <c r="H1121" s="36"/>
      <c r="I1121" s="36"/>
      <c r="J1121" s="36">
        <f>YEAR(RESER3[[#This Row],[DATA]])</f>
        <v>1900</v>
      </c>
      <c r="K1121" s="36">
        <f>MONTH(RESER3[[#This Row],[DATA]])</f>
        <v>1</v>
      </c>
      <c r="L1121" s="36">
        <f>DAY(RESER3[[#This Row],[DATA]])</f>
        <v>0</v>
      </c>
      <c r="M1121" s="36"/>
    </row>
    <row r="1122" spans="1:13" x14ac:dyDescent="0.25">
      <c r="A1122" s="36"/>
      <c r="B1122" s="129"/>
      <c r="C1122" s="28"/>
      <c r="D1122" s="36"/>
      <c r="E1122" s="36"/>
      <c r="F1122" s="36"/>
      <c r="G1122" s="36"/>
      <c r="H1122" s="36"/>
      <c r="I1122" s="36"/>
      <c r="J1122" s="36">
        <f>YEAR(RESER3[[#This Row],[DATA]])</f>
        <v>1900</v>
      </c>
      <c r="K1122" s="36">
        <f>MONTH(RESER3[[#This Row],[DATA]])</f>
        <v>1</v>
      </c>
      <c r="L1122" s="36">
        <f>DAY(RESER3[[#This Row],[DATA]])</f>
        <v>0</v>
      </c>
      <c r="M1122" s="36"/>
    </row>
    <row r="1123" spans="1:13" x14ac:dyDescent="0.25">
      <c r="A1123" s="36"/>
      <c r="B1123" s="129"/>
      <c r="C1123" s="28"/>
      <c r="D1123" s="36"/>
      <c r="E1123" s="36"/>
      <c r="F1123" s="36"/>
      <c r="G1123" s="36"/>
      <c r="H1123" s="36"/>
      <c r="I1123" s="36"/>
      <c r="J1123" s="36">
        <f>YEAR(RESER3[[#This Row],[DATA]])</f>
        <v>1900</v>
      </c>
      <c r="K1123" s="36">
        <f>MONTH(RESER3[[#This Row],[DATA]])</f>
        <v>1</v>
      </c>
      <c r="L1123" s="36">
        <f>DAY(RESER3[[#This Row],[DATA]])</f>
        <v>0</v>
      </c>
      <c r="M1123" s="36"/>
    </row>
    <row r="1124" spans="1:13" x14ac:dyDescent="0.25">
      <c r="A1124" s="36"/>
      <c r="B1124" s="129"/>
      <c r="C1124" s="28"/>
      <c r="D1124" s="36"/>
      <c r="E1124" s="36"/>
      <c r="F1124" s="36"/>
      <c r="G1124" s="36"/>
      <c r="H1124" s="36"/>
      <c r="I1124" s="36"/>
      <c r="J1124" s="36">
        <f>YEAR(RESER3[[#This Row],[DATA]])</f>
        <v>1900</v>
      </c>
      <c r="K1124" s="36">
        <f>MONTH(RESER3[[#This Row],[DATA]])</f>
        <v>1</v>
      </c>
      <c r="L1124" s="36">
        <f>DAY(RESER3[[#This Row],[DATA]])</f>
        <v>0</v>
      </c>
      <c r="M1124" s="36"/>
    </row>
    <row r="1125" spans="1:13" x14ac:dyDescent="0.25">
      <c r="A1125" s="36"/>
      <c r="B1125" s="129"/>
      <c r="C1125" s="28"/>
      <c r="D1125" s="36"/>
      <c r="E1125" s="36"/>
      <c r="F1125" s="36"/>
      <c r="G1125" s="36"/>
      <c r="H1125" s="36"/>
      <c r="I1125" s="36"/>
      <c r="J1125" s="36">
        <f>YEAR(RESER3[[#This Row],[DATA]])</f>
        <v>1900</v>
      </c>
      <c r="K1125" s="36">
        <f>MONTH(RESER3[[#This Row],[DATA]])</f>
        <v>1</v>
      </c>
      <c r="L1125" s="36">
        <f>DAY(RESER3[[#This Row],[DATA]])</f>
        <v>0</v>
      </c>
      <c r="M1125" s="36"/>
    </row>
    <row r="1126" spans="1:13" x14ac:dyDescent="0.25">
      <c r="A1126" s="36"/>
      <c r="B1126" s="129"/>
      <c r="C1126" s="28"/>
      <c r="D1126" s="36"/>
      <c r="E1126" s="36"/>
      <c r="F1126" s="36"/>
      <c r="G1126" s="36"/>
      <c r="H1126" s="36"/>
      <c r="I1126" s="36"/>
      <c r="J1126" s="36">
        <f>YEAR(RESER3[[#This Row],[DATA]])</f>
        <v>1900</v>
      </c>
      <c r="K1126" s="36">
        <f>MONTH(RESER3[[#This Row],[DATA]])</f>
        <v>1</v>
      </c>
      <c r="L1126" s="36">
        <f>DAY(RESER3[[#This Row],[DATA]])</f>
        <v>0</v>
      </c>
      <c r="M1126" s="36"/>
    </row>
    <row r="1127" spans="1:13" x14ac:dyDescent="0.25">
      <c r="A1127" s="36"/>
      <c r="B1127" s="129"/>
      <c r="C1127" s="28"/>
      <c r="D1127" s="36"/>
      <c r="E1127" s="36"/>
      <c r="F1127" s="36"/>
      <c r="G1127" s="36"/>
      <c r="H1127" s="36"/>
      <c r="I1127" s="36"/>
      <c r="J1127" s="36">
        <f>YEAR(RESER3[[#This Row],[DATA]])</f>
        <v>1900</v>
      </c>
      <c r="K1127" s="36">
        <f>MONTH(RESER3[[#This Row],[DATA]])</f>
        <v>1</v>
      </c>
      <c r="L1127" s="36">
        <f>DAY(RESER3[[#This Row],[DATA]])</f>
        <v>0</v>
      </c>
      <c r="M1127" s="36"/>
    </row>
    <row r="1128" spans="1:13" x14ac:dyDescent="0.25">
      <c r="A1128" s="36"/>
      <c r="B1128" s="129"/>
      <c r="C1128" s="28"/>
      <c r="D1128" s="36"/>
      <c r="E1128" s="36"/>
      <c r="F1128" s="36"/>
      <c r="G1128" s="36"/>
      <c r="H1128" s="36"/>
      <c r="I1128" s="36"/>
      <c r="J1128" s="36">
        <f>YEAR(RESER3[[#This Row],[DATA]])</f>
        <v>1900</v>
      </c>
      <c r="K1128" s="36">
        <f>MONTH(RESER3[[#This Row],[DATA]])</f>
        <v>1</v>
      </c>
      <c r="L1128" s="36">
        <f>DAY(RESER3[[#This Row],[DATA]])</f>
        <v>0</v>
      </c>
      <c r="M1128" s="36"/>
    </row>
    <row r="1129" spans="1:13" x14ac:dyDescent="0.25">
      <c r="A1129" s="36"/>
      <c r="B1129" s="129"/>
      <c r="C1129" s="28"/>
      <c r="D1129" s="36"/>
      <c r="E1129" s="36"/>
      <c r="F1129" s="36"/>
      <c r="G1129" s="36"/>
      <c r="H1129" s="36"/>
      <c r="I1129" s="36"/>
      <c r="J1129" s="36">
        <f>YEAR(RESER3[[#This Row],[DATA]])</f>
        <v>1900</v>
      </c>
      <c r="K1129" s="36">
        <f>MONTH(RESER3[[#This Row],[DATA]])</f>
        <v>1</v>
      </c>
      <c r="L1129" s="36">
        <f>DAY(RESER3[[#This Row],[DATA]])</f>
        <v>0</v>
      </c>
      <c r="M1129" s="36"/>
    </row>
    <row r="1130" spans="1:13" x14ac:dyDescent="0.25">
      <c r="A1130" s="36"/>
      <c r="B1130" s="129"/>
      <c r="C1130" s="28"/>
      <c r="D1130" s="36"/>
      <c r="E1130" s="36"/>
      <c r="F1130" s="36"/>
      <c r="G1130" s="36"/>
      <c r="H1130" s="36"/>
      <c r="I1130" s="36"/>
      <c r="J1130" s="36">
        <f>YEAR(RESER3[[#This Row],[DATA]])</f>
        <v>1900</v>
      </c>
      <c r="K1130" s="36">
        <f>MONTH(RESER3[[#This Row],[DATA]])</f>
        <v>1</v>
      </c>
      <c r="L1130" s="36">
        <f>DAY(RESER3[[#This Row],[DATA]])</f>
        <v>0</v>
      </c>
      <c r="M1130" s="36"/>
    </row>
    <row r="1131" spans="1:13" x14ac:dyDescent="0.25">
      <c r="A1131" s="36"/>
      <c r="B1131" s="129"/>
      <c r="C1131" s="28"/>
      <c r="D1131" s="36"/>
      <c r="E1131" s="36"/>
      <c r="F1131" s="36"/>
      <c r="G1131" s="36"/>
      <c r="H1131" s="36"/>
      <c r="I1131" s="36"/>
      <c r="J1131" s="36">
        <f>YEAR(RESER3[[#This Row],[DATA]])</f>
        <v>1900</v>
      </c>
      <c r="K1131" s="36">
        <f>MONTH(RESER3[[#This Row],[DATA]])</f>
        <v>1</v>
      </c>
      <c r="L1131" s="36">
        <f>DAY(RESER3[[#This Row],[DATA]])</f>
        <v>0</v>
      </c>
      <c r="M1131" s="36"/>
    </row>
    <row r="1132" spans="1:13" x14ac:dyDescent="0.25">
      <c r="A1132" s="36"/>
      <c r="B1132" s="129"/>
      <c r="C1132" s="28"/>
      <c r="D1132" s="36"/>
      <c r="E1132" s="36"/>
      <c r="F1132" s="36"/>
      <c r="G1132" s="36"/>
      <c r="H1132" s="36"/>
      <c r="I1132" s="36"/>
      <c r="J1132" s="36">
        <f>YEAR(RESER3[[#This Row],[DATA]])</f>
        <v>1900</v>
      </c>
      <c r="K1132" s="36">
        <f>MONTH(RESER3[[#This Row],[DATA]])</f>
        <v>1</v>
      </c>
      <c r="L1132" s="36">
        <f>DAY(RESER3[[#This Row],[DATA]])</f>
        <v>0</v>
      </c>
      <c r="M1132" s="36"/>
    </row>
    <row r="1133" spans="1:13" x14ac:dyDescent="0.25">
      <c r="A1133" s="36"/>
      <c r="B1133" s="129"/>
      <c r="C1133" s="28"/>
      <c r="D1133" s="36"/>
      <c r="E1133" s="36"/>
      <c r="F1133" s="36"/>
      <c r="G1133" s="36"/>
      <c r="H1133" s="36"/>
      <c r="I1133" s="36"/>
      <c r="J1133" s="36">
        <f>YEAR(RESER3[[#This Row],[DATA]])</f>
        <v>1900</v>
      </c>
      <c r="K1133" s="36">
        <f>MONTH(RESER3[[#This Row],[DATA]])</f>
        <v>1</v>
      </c>
      <c r="L1133" s="36">
        <f>DAY(RESER3[[#This Row],[DATA]])</f>
        <v>0</v>
      </c>
      <c r="M1133" s="36"/>
    </row>
    <row r="1134" spans="1:13" x14ac:dyDescent="0.25">
      <c r="A1134" s="36"/>
      <c r="B1134" s="129"/>
      <c r="C1134" s="28"/>
      <c r="D1134" s="36"/>
      <c r="E1134" s="36"/>
      <c r="F1134" s="36"/>
      <c r="G1134" s="36"/>
      <c r="H1134" s="36"/>
      <c r="I1134" s="36"/>
      <c r="J1134" s="36">
        <f>YEAR(RESER3[[#This Row],[DATA]])</f>
        <v>1900</v>
      </c>
      <c r="K1134" s="36">
        <f>MONTH(RESER3[[#This Row],[DATA]])</f>
        <v>1</v>
      </c>
      <c r="L1134" s="36">
        <f>DAY(RESER3[[#This Row],[DATA]])</f>
        <v>0</v>
      </c>
      <c r="M1134" s="36"/>
    </row>
    <row r="1135" spans="1:13" x14ac:dyDescent="0.25">
      <c r="A1135" s="36"/>
      <c r="B1135" s="129"/>
      <c r="C1135" s="28"/>
      <c r="D1135" s="36"/>
      <c r="E1135" s="36"/>
      <c r="F1135" s="36"/>
      <c r="G1135" s="36"/>
      <c r="H1135" s="36"/>
      <c r="I1135" s="36"/>
      <c r="J1135" s="36">
        <f>YEAR(RESER3[[#This Row],[DATA]])</f>
        <v>1900</v>
      </c>
      <c r="K1135" s="36">
        <f>MONTH(RESER3[[#This Row],[DATA]])</f>
        <v>1</v>
      </c>
      <c r="L1135" s="36">
        <f>DAY(RESER3[[#This Row],[DATA]])</f>
        <v>0</v>
      </c>
      <c r="M1135" s="36"/>
    </row>
    <row r="1136" spans="1:13" x14ac:dyDescent="0.25">
      <c r="A1136" s="36"/>
      <c r="B1136" s="129"/>
      <c r="C1136" s="28"/>
      <c r="D1136" s="36"/>
      <c r="E1136" s="36"/>
      <c r="F1136" s="36"/>
      <c r="G1136" s="36"/>
      <c r="H1136" s="36"/>
      <c r="I1136" s="36"/>
      <c r="J1136" s="36">
        <f>YEAR(RESER3[[#This Row],[DATA]])</f>
        <v>1900</v>
      </c>
      <c r="K1136" s="36">
        <f>MONTH(RESER3[[#This Row],[DATA]])</f>
        <v>1</v>
      </c>
      <c r="L1136" s="36">
        <f>DAY(RESER3[[#This Row],[DATA]])</f>
        <v>0</v>
      </c>
      <c r="M1136" s="36"/>
    </row>
    <row r="1137" spans="1:13" x14ac:dyDescent="0.25">
      <c r="A1137" s="36"/>
      <c r="B1137" s="129"/>
      <c r="C1137" s="28"/>
      <c r="D1137" s="36"/>
      <c r="E1137" s="36"/>
      <c r="F1137" s="36"/>
      <c r="G1137" s="36"/>
      <c r="H1137" s="36"/>
      <c r="I1137" s="36"/>
      <c r="J1137" s="36">
        <f>YEAR(RESER3[[#This Row],[DATA]])</f>
        <v>1900</v>
      </c>
      <c r="K1137" s="36">
        <f>MONTH(RESER3[[#This Row],[DATA]])</f>
        <v>1</v>
      </c>
      <c r="L1137" s="36">
        <f>DAY(RESER3[[#This Row],[DATA]])</f>
        <v>0</v>
      </c>
      <c r="M1137" s="36"/>
    </row>
    <row r="1138" spans="1:13" x14ac:dyDescent="0.25">
      <c r="A1138" s="36"/>
      <c r="B1138" s="129"/>
      <c r="C1138" s="28"/>
      <c r="D1138" s="36"/>
      <c r="E1138" s="36"/>
      <c r="F1138" s="36"/>
      <c r="G1138" s="36"/>
      <c r="H1138" s="36"/>
      <c r="I1138" s="36"/>
      <c r="J1138" s="36">
        <f>YEAR(RESER3[[#This Row],[DATA]])</f>
        <v>1900</v>
      </c>
      <c r="K1138" s="36">
        <f>MONTH(RESER3[[#This Row],[DATA]])</f>
        <v>1</v>
      </c>
      <c r="L1138" s="36">
        <f>DAY(RESER3[[#This Row],[DATA]])</f>
        <v>0</v>
      </c>
      <c r="M1138" s="36"/>
    </row>
    <row r="1139" spans="1:13" x14ac:dyDescent="0.25">
      <c r="A1139" s="36"/>
      <c r="B1139" s="129"/>
      <c r="C1139" s="28"/>
      <c r="D1139" s="36"/>
      <c r="E1139" s="36"/>
      <c r="F1139" s="36"/>
      <c r="G1139" s="36"/>
      <c r="H1139" s="36"/>
      <c r="I1139" s="36"/>
      <c r="J1139" s="36">
        <f>YEAR(RESER3[[#This Row],[DATA]])</f>
        <v>1900</v>
      </c>
      <c r="K1139" s="36">
        <f>MONTH(RESER3[[#This Row],[DATA]])</f>
        <v>1</v>
      </c>
      <c r="L1139" s="36">
        <f>DAY(RESER3[[#This Row],[DATA]])</f>
        <v>0</v>
      </c>
      <c r="M1139" s="36"/>
    </row>
    <row r="1140" spans="1:13" x14ac:dyDescent="0.25">
      <c r="A1140" s="36"/>
      <c r="B1140" s="129"/>
      <c r="C1140" s="28"/>
      <c r="D1140" s="36"/>
      <c r="E1140" s="36"/>
      <c r="F1140" s="36"/>
      <c r="G1140" s="36"/>
      <c r="H1140" s="36"/>
      <c r="I1140" s="36"/>
      <c r="J1140" s="36">
        <f>YEAR(RESER3[[#This Row],[DATA]])</f>
        <v>1900</v>
      </c>
      <c r="K1140" s="36">
        <f>MONTH(RESER3[[#This Row],[DATA]])</f>
        <v>1</v>
      </c>
      <c r="L1140" s="36">
        <f>DAY(RESER3[[#This Row],[DATA]])</f>
        <v>0</v>
      </c>
      <c r="M1140" s="36"/>
    </row>
    <row r="1141" spans="1:13" x14ac:dyDescent="0.25">
      <c r="A1141" s="36"/>
      <c r="B1141" s="129"/>
      <c r="C1141" s="28"/>
      <c r="D1141" s="36"/>
      <c r="E1141" s="36"/>
      <c r="F1141" s="36"/>
      <c r="G1141" s="36"/>
      <c r="H1141" s="36"/>
      <c r="I1141" s="36"/>
      <c r="J1141" s="36">
        <f>YEAR(RESER3[[#This Row],[DATA]])</f>
        <v>1900</v>
      </c>
      <c r="K1141" s="36">
        <f>MONTH(RESER3[[#This Row],[DATA]])</f>
        <v>1</v>
      </c>
      <c r="L1141" s="36">
        <f>DAY(RESER3[[#This Row],[DATA]])</f>
        <v>0</v>
      </c>
      <c r="M1141" s="36"/>
    </row>
    <row r="1142" spans="1:13" x14ac:dyDescent="0.25">
      <c r="A1142" s="36"/>
      <c r="B1142" s="129"/>
      <c r="C1142" s="28"/>
      <c r="D1142" s="36"/>
      <c r="E1142" s="36"/>
      <c r="F1142" s="36"/>
      <c r="G1142" s="36"/>
      <c r="H1142" s="36"/>
      <c r="I1142" s="36"/>
      <c r="J1142" s="36">
        <f>YEAR(RESER3[[#This Row],[DATA]])</f>
        <v>1900</v>
      </c>
      <c r="K1142" s="36">
        <f>MONTH(RESER3[[#This Row],[DATA]])</f>
        <v>1</v>
      </c>
      <c r="L1142" s="36">
        <f>DAY(RESER3[[#This Row],[DATA]])</f>
        <v>0</v>
      </c>
      <c r="M1142" s="36"/>
    </row>
    <row r="1143" spans="1:13" x14ac:dyDescent="0.25">
      <c r="A1143" s="36"/>
      <c r="B1143" s="129"/>
      <c r="C1143" s="28"/>
      <c r="D1143" s="36"/>
      <c r="E1143" s="36"/>
      <c r="F1143" s="36"/>
      <c r="G1143" s="36"/>
      <c r="H1143" s="36"/>
      <c r="I1143" s="36"/>
      <c r="J1143" s="36">
        <f>YEAR(RESER3[[#This Row],[DATA]])</f>
        <v>1900</v>
      </c>
      <c r="K1143" s="36">
        <f>MONTH(RESER3[[#This Row],[DATA]])</f>
        <v>1</v>
      </c>
      <c r="L1143" s="36">
        <f>DAY(RESER3[[#This Row],[DATA]])</f>
        <v>0</v>
      </c>
      <c r="M1143" s="36"/>
    </row>
    <row r="1144" spans="1:13" x14ac:dyDescent="0.25">
      <c r="A1144" s="36"/>
      <c r="B1144" s="129"/>
      <c r="C1144" s="28"/>
      <c r="D1144" s="36"/>
      <c r="E1144" s="36"/>
      <c r="F1144" s="36"/>
      <c r="G1144" s="36"/>
      <c r="H1144" s="36"/>
      <c r="I1144" s="36"/>
      <c r="J1144" s="36">
        <f>YEAR(RESER3[[#This Row],[DATA]])</f>
        <v>1900</v>
      </c>
      <c r="K1144" s="36">
        <f>MONTH(RESER3[[#This Row],[DATA]])</f>
        <v>1</v>
      </c>
      <c r="L1144" s="36">
        <f>DAY(RESER3[[#This Row],[DATA]])</f>
        <v>0</v>
      </c>
      <c r="M1144" s="36"/>
    </row>
    <row r="1145" spans="1:13" x14ac:dyDescent="0.25">
      <c r="A1145" s="36"/>
      <c r="B1145" s="129"/>
      <c r="C1145" s="28"/>
      <c r="D1145" s="36"/>
      <c r="E1145" s="36"/>
      <c r="F1145" s="36"/>
      <c r="G1145" s="36"/>
      <c r="H1145" s="36"/>
      <c r="I1145" s="36"/>
      <c r="J1145" s="36">
        <f>YEAR(RESER3[[#This Row],[DATA]])</f>
        <v>1900</v>
      </c>
      <c r="K1145" s="36">
        <f>MONTH(RESER3[[#This Row],[DATA]])</f>
        <v>1</v>
      </c>
      <c r="L1145" s="36">
        <f>DAY(RESER3[[#This Row],[DATA]])</f>
        <v>0</v>
      </c>
      <c r="M1145" s="36"/>
    </row>
    <row r="1146" spans="1:13" x14ac:dyDescent="0.25">
      <c r="A1146" s="36"/>
      <c r="B1146" s="129"/>
      <c r="C1146" s="28"/>
      <c r="D1146" s="36"/>
      <c r="E1146" s="36"/>
      <c r="F1146" s="36"/>
      <c r="G1146" s="36"/>
      <c r="H1146" s="36"/>
      <c r="I1146" s="36"/>
      <c r="J1146" s="36">
        <f>YEAR(RESER3[[#This Row],[DATA]])</f>
        <v>1900</v>
      </c>
      <c r="K1146" s="36">
        <f>MONTH(RESER3[[#This Row],[DATA]])</f>
        <v>1</v>
      </c>
      <c r="L1146" s="36">
        <f>DAY(RESER3[[#This Row],[DATA]])</f>
        <v>0</v>
      </c>
      <c r="M1146" s="36"/>
    </row>
    <row r="1147" spans="1:13" x14ac:dyDescent="0.25">
      <c r="A1147" s="36"/>
      <c r="B1147" s="129"/>
      <c r="C1147" s="28"/>
      <c r="D1147" s="36"/>
      <c r="E1147" s="36"/>
      <c r="F1147" s="36"/>
      <c r="G1147" s="36"/>
      <c r="H1147" s="36"/>
      <c r="I1147" s="36"/>
      <c r="J1147" s="36">
        <f>YEAR(RESER3[[#This Row],[DATA]])</f>
        <v>1900</v>
      </c>
      <c r="K1147" s="36">
        <f>MONTH(RESER3[[#This Row],[DATA]])</f>
        <v>1</v>
      </c>
      <c r="L1147" s="36">
        <f>DAY(RESER3[[#This Row],[DATA]])</f>
        <v>0</v>
      </c>
      <c r="M1147" s="36"/>
    </row>
    <row r="1148" spans="1:13" x14ac:dyDescent="0.25">
      <c r="A1148" s="36"/>
      <c r="B1148" s="129"/>
      <c r="C1148" s="28"/>
      <c r="D1148" s="36"/>
      <c r="E1148" s="36"/>
      <c r="F1148" s="36"/>
      <c r="G1148" s="36"/>
      <c r="H1148" s="36"/>
      <c r="I1148" s="36"/>
      <c r="J1148" s="36">
        <f>YEAR(RESER3[[#This Row],[DATA]])</f>
        <v>1900</v>
      </c>
      <c r="K1148" s="36">
        <f>MONTH(RESER3[[#This Row],[DATA]])</f>
        <v>1</v>
      </c>
      <c r="L1148" s="36">
        <f>DAY(RESER3[[#This Row],[DATA]])</f>
        <v>0</v>
      </c>
      <c r="M1148" s="36"/>
    </row>
    <row r="1149" spans="1:13" x14ac:dyDescent="0.25">
      <c r="A1149" s="36"/>
      <c r="B1149" s="129"/>
      <c r="C1149" s="28"/>
      <c r="D1149" s="36"/>
      <c r="E1149" s="36"/>
      <c r="F1149" s="36"/>
      <c r="G1149" s="36"/>
      <c r="H1149" s="36"/>
      <c r="I1149" s="36"/>
      <c r="J1149" s="36">
        <f>YEAR(RESER3[[#This Row],[DATA]])</f>
        <v>1900</v>
      </c>
      <c r="K1149" s="36">
        <f>MONTH(RESER3[[#This Row],[DATA]])</f>
        <v>1</v>
      </c>
      <c r="L1149" s="36">
        <f>DAY(RESER3[[#This Row],[DATA]])</f>
        <v>0</v>
      </c>
      <c r="M1149" s="36"/>
    </row>
    <row r="1150" spans="1:13" x14ac:dyDescent="0.25">
      <c r="A1150" s="36"/>
      <c r="B1150" s="129"/>
      <c r="C1150" s="28"/>
      <c r="D1150" s="36"/>
      <c r="E1150" s="36"/>
      <c r="F1150" s="36"/>
      <c r="G1150" s="36"/>
      <c r="H1150" s="36"/>
      <c r="I1150" s="36"/>
      <c r="J1150" s="36">
        <f>YEAR(RESER3[[#This Row],[DATA]])</f>
        <v>1900</v>
      </c>
      <c r="K1150" s="36">
        <f>MONTH(RESER3[[#This Row],[DATA]])</f>
        <v>1</v>
      </c>
      <c r="L1150" s="36">
        <f>DAY(RESER3[[#This Row],[DATA]])</f>
        <v>0</v>
      </c>
      <c r="M1150" s="36"/>
    </row>
    <row r="1151" spans="1:13" x14ac:dyDescent="0.25">
      <c r="A1151" s="36"/>
      <c r="B1151" s="129"/>
      <c r="C1151" s="28"/>
      <c r="D1151" s="36"/>
      <c r="E1151" s="36"/>
      <c r="F1151" s="36"/>
      <c r="G1151" s="36"/>
      <c r="H1151" s="36"/>
      <c r="I1151" s="36"/>
      <c r="J1151" s="36">
        <f>YEAR(RESER3[[#This Row],[DATA]])</f>
        <v>1900</v>
      </c>
      <c r="K1151" s="36">
        <f>MONTH(RESER3[[#This Row],[DATA]])</f>
        <v>1</v>
      </c>
      <c r="L1151" s="36">
        <f>DAY(RESER3[[#This Row],[DATA]])</f>
        <v>0</v>
      </c>
      <c r="M1151" s="36"/>
    </row>
    <row r="1152" spans="1:13" x14ac:dyDescent="0.25">
      <c r="A1152" s="36"/>
      <c r="B1152" s="129"/>
      <c r="C1152" s="28"/>
      <c r="D1152" s="36"/>
      <c r="E1152" s="36"/>
      <c r="F1152" s="36"/>
      <c r="G1152" s="36"/>
      <c r="H1152" s="36"/>
      <c r="I1152" s="36"/>
      <c r="J1152" s="36">
        <f>YEAR(RESER3[[#This Row],[DATA]])</f>
        <v>1900</v>
      </c>
      <c r="K1152" s="36">
        <f>MONTH(RESER3[[#This Row],[DATA]])</f>
        <v>1</v>
      </c>
      <c r="L1152" s="36">
        <f>DAY(RESER3[[#This Row],[DATA]])</f>
        <v>0</v>
      </c>
      <c r="M1152" s="36"/>
    </row>
    <row r="1153" spans="1:13" x14ac:dyDescent="0.25">
      <c r="A1153" s="36"/>
      <c r="B1153" s="129"/>
      <c r="C1153" s="28"/>
      <c r="D1153" s="36"/>
      <c r="E1153" s="36"/>
      <c r="F1153" s="36"/>
      <c r="G1153" s="36"/>
      <c r="H1153" s="36"/>
      <c r="I1153" s="36"/>
      <c r="J1153" s="36">
        <f>YEAR(RESER3[[#This Row],[DATA]])</f>
        <v>1900</v>
      </c>
      <c r="K1153" s="36">
        <f>MONTH(RESER3[[#This Row],[DATA]])</f>
        <v>1</v>
      </c>
      <c r="L1153" s="36">
        <f>DAY(RESER3[[#This Row],[DATA]])</f>
        <v>0</v>
      </c>
      <c r="M1153" s="36"/>
    </row>
    <row r="1154" spans="1:13" x14ac:dyDescent="0.25">
      <c r="A1154" s="36"/>
      <c r="B1154" s="129"/>
      <c r="C1154" s="28"/>
      <c r="D1154" s="36"/>
      <c r="E1154" s="36"/>
      <c r="F1154" s="36"/>
      <c r="G1154" s="36"/>
      <c r="H1154" s="36"/>
      <c r="I1154" s="36"/>
      <c r="J1154" s="36">
        <f>YEAR(RESER3[[#This Row],[DATA]])</f>
        <v>1900</v>
      </c>
      <c r="K1154" s="36">
        <f>MONTH(RESER3[[#This Row],[DATA]])</f>
        <v>1</v>
      </c>
      <c r="L1154" s="36">
        <f>DAY(RESER3[[#This Row],[DATA]])</f>
        <v>0</v>
      </c>
      <c r="M1154" s="36"/>
    </row>
    <row r="1155" spans="1:13" x14ac:dyDescent="0.25">
      <c r="A1155" s="36"/>
      <c r="B1155" s="129"/>
      <c r="C1155" s="28"/>
      <c r="D1155" s="36"/>
      <c r="E1155" s="36"/>
      <c r="F1155" s="36"/>
      <c r="G1155" s="36"/>
      <c r="H1155" s="36"/>
      <c r="I1155" s="36"/>
      <c r="J1155" s="36">
        <f>YEAR(RESER3[[#This Row],[DATA]])</f>
        <v>1900</v>
      </c>
      <c r="K1155" s="36">
        <f>MONTH(RESER3[[#This Row],[DATA]])</f>
        <v>1</v>
      </c>
      <c r="L1155" s="36">
        <f>DAY(RESER3[[#This Row],[DATA]])</f>
        <v>0</v>
      </c>
      <c r="M1155" s="36"/>
    </row>
    <row r="1156" spans="1:13" x14ac:dyDescent="0.25">
      <c r="A1156" s="36"/>
      <c r="B1156" s="129"/>
      <c r="C1156" s="28"/>
      <c r="D1156" s="36"/>
      <c r="E1156" s="36"/>
      <c r="F1156" s="36"/>
      <c r="G1156" s="36"/>
      <c r="H1156" s="36"/>
      <c r="I1156" s="36"/>
      <c r="J1156" s="36">
        <f>YEAR(RESER3[[#This Row],[DATA]])</f>
        <v>1900</v>
      </c>
      <c r="K1156" s="36">
        <f>MONTH(RESER3[[#This Row],[DATA]])</f>
        <v>1</v>
      </c>
      <c r="L1156" s="36">
        <f>DAY(RESER3[[#This Row],[DATA]])</f>
        <v>0</v>
      </c>
      <c r="M1156" s="36"/>
    </row>
    <row r="1157" spans="1:13" x14ac:dyDescent="0.25">
      <c r="A1157" s="36"/>
      <c r="B1157" s="129"/>
      <c r="C1157" s="28"/>
      <c r="D1157" s="36"/>
      <c r="E1157" s="36"/>
      <c r="F1157" s="36"/>
      <c r="G1157" s="36"/>
      <c r="H1157" s="36"/>
      <c r="I1157" s="36"/>
      <c r="J1157" s="36">
        <f>YEAR(RESER3[[#This Row],[DATA]])</f>
        <v>1900</v>
      </c>
      <c r="K1157" s="36">
        <f>MONTH(RESER3[[#This Row],[DATA]])</f>
        <v>1</v>
      </c>
      <c r="L1157" s="36">
        <f>DAY(RESER3[[#This Row],[DATA]])</f>
        <v>0</v>
      </c>
      <c r="M1157" s="36"/>
    </row>
    <row r="1158" spans="1:13" x14ac:dyDescent="0.25">
      <c r="A1158" s="36"/>
      <c r="B1158" s="129"/>
      <c r="C1158" s="28"/>
      <c r="D1158" s="36"/>
      <c r="E1158" s="36"/>
      <c r="F1158" s="36"/>
      <c r="G1158" s="36"/>
      <c r="H1158" s="36"/>
      <c r="I1158" s="36"/>
      <c r="J1158" s="36">
        <f>YEAR(RESER3[[#This Row],[DATA]])</f>
        <v>1900</v>
      </c>
      <c r="K1158" s="36">
        <f>MONTH(RESER3[[#This Row],[DATA]])</f>
        <v>1</v>
      </c>
      <c r="L1158" s="36">
        <f>DAY(RESER3[[#This Row],[DATA]])</f>
        <v>0</v>
      </c>
      <c r="M1158" s="36"/>
    </row>
    <row r="1159" spans="1:13" x14ac:dyDescent="0.25">
      <c r="A1159" s="36"/>
      <c r="B1159" s="129"/>
      <c r="C1159" s="28"/>
      <c r="D1159" s="36"/>
      <c r="E1159" s="36"/>
      <c r="F1159" s="36"/>
      <c r="G1159" s="36"/>
      <c r="H1159" s="36"/>
      <c r="I1159" s="36"/>
      <c r="J1159" s="36">
        <f>YEAR(RESER3[[#This Row],[DATA]])</f>
        <v>1900</v>
      </c>
      <c r="K1159" s="36">
        <f>MONTH(RESER3[[#This Row],[DATA]])</f>
        <v>1</v>
      </c>
      <c r="L1159" s="36">
        <f>DAY(RESER3[[#This Row],[DATA]])</f>
        <v>0</v>
      </c>
      <c r="M1159" s="36"/>
    </row>
    <row r="1160" spans="1:13" x14ac:dyDescent="0.25">
      <c r="A1160" s="36"/>
      <c r="B1160" s="129"/>
      <c r="C1160" s="28"/>
      <c r="D1160" s="36"/>
      <c r="E1160" s="36"/>
      <c r="F1160" s="36"/>
      <c r="G1160" s="36"/>
      <c r="H1160" s="36"/>
      <c r="I1160" s="36"/>
      <c r="J1160" s="36">
        <f>YEAR(RESER3[[#This Row],[DATA]])</f>
        <v>1900</v>
      </c>
      <c r="K1160" s="36">
        <f>MONTH(RESER3[[#This Row],[DATA]])</f>
        <v>1</v>
      </c>
      <c r="L1160" s="36">
        <f>DAY(RESER3[[#This Row],[DATA]])</f>
        <v>0</v>
      </c>
      <c r="M1160" s="36"/>
    </row>
    <row r="1161" spans="1:13" x14ac:dyDescent="0.25">
      <c r="A1161" s="36"/>
      <c r="B1161" s="129"/>
      <c r="C1161" s="28"/>
      <c r="D1161" s="36"/>
      <c r="E1161" s="36"/>
      <c r="F1161" s="36"/>
      <c r="G1161" s="36"/>
      <c r="H1161" s="36"/>
      <c r="I1161" s="36"/>
      <c r="J1161" s="36">
        <f>YEAR(RESER3[[#This Row],[DATA]])</f>
        <v>1900</v>
      </c>
      <c r="K1161" s="36">
        <f>MONTH(RESER3[[#This Row],[DATA]])</f>
        <v>1</v>
      </c>
      <c r="L1161" s="36">
        <f>DAY(RESER3[[#This Row],[DATA]])</f>
        <v>0</v>
      </c>
      <c r="M1161" s="36"/>
    </row>
    <row r="1162" spans="1:13" x14ac:dyDescent="0.25">
      <c r="A1162" s="36"/>
      <c r="B1162" s="129"/>
      <c r="C1162" s="28"/>
      <c r="D1162" s="36"/>
      <c r="E1162" s="36"/>
      <c r="F1162" s="36"/>
      <c r="G1162" s="36"/>
      <c r="H1162" s="36"/>
      <c r="I1162" s="36"/>
      <c r="J1162" s="36">
        <f>YEAR(RESER3[[#This Row],[DATA]])</f>
        <v>1900</v>
      </c>
      <c r="K1162" s="36">
        <f>MONTH(RESER3[[#This Row],[DATA]])</f>
        <v>1</v>
      </c>
      <c r="L1162" s="36">
        <f>DAY(RESER3[[#This Row],[DATA]])</f>
        <v>0</v>
      </c>
      <c r="M1162" s="36"/>
    </row>
    <row r="1163" spans="1:13" x14ac:dyDescent="0.25">
      <c r="A1163" s="36"/>
      <c r="B1163" s="129"/>
      <c r="C1163" s="28"/>
      <c r="D1163" s="36"/>
      <c r="E1163" s="36"/>
      <c r="F1163" s="36"/>
      <c r="G1163" s="36"/>
      <c r="H1163" s="36"/>
      <c r="I1163" s="36"/>
      <c r="J1163" s="36">
        <f>YEAR(RESER3[[#This Row],[DATA]])</f>
        <v>1900</v>
      </c>
      <c r="K1163" s="36">
        <f>MONTH(RESER3[[#This Row],[DATA]])</f>
        <v>1</v>
      </c>
      <c r="L1163" s="36">
        <f>DAY(RESER3[[#This Row],[DATA]])</f>
        <v>0</v>
      </c>
      <c r="M1163" s="36"/>
    </row>
    <row r="1164" spans="1:13" x14ac:dyDescent="0.25">
      <c r="A1164" s="36"/>
      <c r="B1164" s="129"/>
      <c r="C1164" s="28"/>
      <c r="D1164" s="36"/>
      <c r="E1164" s="36"/>
      <c r="F1164" s="36"/>
      <c r="G1164" s="36"/>
      <c r="H1164" s="36"/>
      <c r="I1164" s="36"/>
      <c r="J1164" s="36">
        <f>YEAR(RESER3[[#This Row],[DATA]])</f>
        <v>1900</v>
      </c>
      <c r="K1164" s="36">
        <f>MONTH(RESER3[[#This Row],[DATA]])</f>
        <v>1</v>
      </c>
      <c r="L1164" s="36">
        <f>DAY(RESER3[[#This Row],[DATA]])</f>
        <v>0</v>
      </c>
      <c r="M1164" s="36"/>
    </row>
    <row r="1165" spans="1:13" x14ac:dyDescent="0.25">
      <c r="A1165" s="36"/>
      <c r="B1165" s="129"/>
      <c r="C1165" s="28"/>
      <c r="D1165" s="36"/>
      <c r="E1165" s="36"/>
      <c r="F1165" s="36"/>
      <c r="G1165" s="36"/>
      <c r="H1165" s="36"/>
      <c r="I1165" s="36"/>
      <c r="J1165" s="36">
        <f>YEAR(RESER3[[#This Row],[DATA]])</f>
        <v>1900</v>
      </c>
      <c r="K1165" s="36">
        <f>MONTH(RESER3[[#This Row],[DATA]])</f>
        <v>1</v>
      </c>
      <c r="L1165" s="36">
        <f>DAY(RESER3[[#This Row],[DATA]])</f>
        <v>0</v>
      </c>
      <c r="M1165" s="36"/>
    </row>
    <row r="1166" spans="1:13" x14ac:dyDescent="0.25">
      <c r="A1166" s="36"/>
      <c r="B1166" s="129"/>
      <c r="C1166" s="28"/>
      <c r="D1166" s="36"/>
      <c r="E1166" s="36"/>
      <c r="F1166" s="36"/>
      <c r="G1166" s="36"/>
      <c r="H1166" s="36"/>
      <c r="I1166" s="36"/>
      <c r="J1166" s="36">
        <f>YEAR(RESER3[[#This Row],[DATA]])</f>
        <v>1900</v>
      </c>
      <c r="K1166" s="36">
        <f>MONTH(RESER3[[#This Row],[DATA]])</f>
        <v>1</v>
      </c>
      <c r="L1166" s="36">
        <f>DAY(RESER3[[#This Row],[DATA]])</f>
        <v>0</v>
      </c>
      <c r="M1166" s="36"/>
    </row>
    <row r="1167" spans="1:13" x14ac:dyDescent="0.25">
      <c r="A1167" s="36"/>
      <c r="B1167" s="129"/>
      <c r="C1167" s="28"/>
      <c r="D1167" s="36"/>
      <c r="E1167" s="36"/>
      <c r="F1167" s="36"/>
      <c r="G1167" s="36"/>
      <c r="H1167" s="36"/>
      <c r="I1167" s="36"/>
      <c r="J1167" s="36">
        <f>YEAR(RESER3[[#This Row],[DATA]])</f>
        <v>1900</v>
      </c>
      <c r="K1167" s="36">
        <f>MONTH(RESER3[[#This Row],[DATA]])</f>
        <v>1</v>
      </c>
      <c r="L1167" s="36">
        <f>DAY(RESER3[[#This Row],[DATA]])</f>
        <v>0</v>
      </c>
      <c r="M1167" s="36"/>
    </row>
    <row r="1168" spans="1:13" x14ac:dyDescent="0.25">
      <c r="A1168" s="36"/>
      <c r="B1168" s="129"/>
      <c r="C1168" s="28"/>
      <c r="D1168" s="36"/>
      <c r="E1168" s="36"/>
      <c r="F1168" s="36"/>
      <c r="G1168" s="36"/>
      <c r="H1168" s="36"/>
      <c r="I1168" s="36"/>
      <c r="J1168" s="36">
        <f>YEAR(RESER3[[#This Row],[DATA]])</f>
        <v>1900</v>
      </c>
      <c r="K1168" s="36">
        <f>MONTH(RESER3[[#This Row],[DATA]])</f>
        <v>1</v>
      </c>
      <c r="L1168" s="36">
        <f>DAY(RESER3[[#This Row],[DATA]])</f>
        <v>0</v>
      </c>
      <c r="M1168" s="36"/>
    </row>
    <row r="1169" spans="1:13" x14ac:dyDescent="0.25">
      <c r="A1169" s="36"/>
      <c r="B1169" s="129"/>
      <c r="C1169" s="28"/>
      <c r="D1169" s="36"/>
      <c r="E1169" s="36"/>
      <c r="F1169" s="36"/>
      <c r="G1169" s="36"/>
      <c r="H1169" s="36"/>
      <c r="I1169" s="36"/>
      <c r="J1169" s="36">
        <f>YEAR(RESER3[[#This Row],[DATA]])</f>
        <v>1900</v>
      </c>
      <c r="K1169" s="36">
        <f>MONTH(RESER3[[#This Row],[DATA]])</f>
        <v>1</v>
      </c>
      <c r="L1169" s="36">
        <f>DAY(RESER3[[#This Row],[DATA]])</f>
        <v>0</v>
      </c>
      <c r="M1169" s="36"/>
    </row>
    <row r="1170" spans="1:13" x14ac:dyDescent="0.25">
      <c r="A1170" s="36"/>
      <c r="B1170" s="129"/>
      <c r="C1170" s="28"/>
      <c r="D1170" s="36"/>
      <c r="E1170" s="36"/>
      <c r="F1170" s="36"/>
      <c r="G1170" s="36"/>
      <c r="H1170" s="36"/>
      <c r="I1170" s="36"/>
      <c r="J1170" s="36">
        <f>YEAR(RESER3[[#This Row],[DATA]])</f>
        <v>1900</v>
      </c>
      <c r="K1170" s="36">
        <f>MONTH(RESER3[[#This Row],[DATA]])</f>
        <v>1</v>
      </c>
      <c r="L1170" s="36">
        <f>DAY(RESER3[[#This Row],[DATA]])</f>
        <v>0</v>
      </c>
      <c r="M1170" s="36"/>
    </row>
    <row r="1171" spans="1:13" x14ac:dyDescent="0.25">
      <c r="A1171" s="36"/>
      <c r="B1171" s="129"/>
      <c r="C1171" s="28"/>
      <c r="D1171" s="36"/>
      <c r="E1171" s="36"/>
      <c r="F1171" s="36"/>
      <c r="G1171" s="36"/>
      <c r="H1171" s="36"/>
      <c r="I1171" s="36"/>
      <c r="J1171" s="36">
        <f>YEAR(RESER3[[#This Row],[DATA]])</f>
        <v>1900</v>
      </c>
      <c r="K1171" s="36">
        <f>MONTH(RESER3[[#This Row],[DATA]])</f>
        <v>1</v>
      </c>
      <c r="L1171" s="36">
        <f>DAY(RESER3[[#This Row],[DATA]])</f>
        <v>0</v>
      </c>
      <c r="M1171" s="36"/>
    </row>
    <row r="1172" spans="1:13" x14ac:dyDescent="0.25">
      <c r="A1172" s="36"/>
      <c r="B1172" s="129"/>
      <c r="C1172" s="28"/>
      <c r="D1172" s="36"/>
      <c r="E1172" s="36"/>
      <c r="F1172" s="36"/>
      <c r="G1172" s="36"/>
      <c r="H1172" s="36"/>
      <c r="I1172" s="36"/>
      <c r="J1172" s="36">
        <f>YEAR(RESER3[[#This Row],[DATA]])</f>
        <v>1900</v>
      </c>
      <c r="K1172" s="36">
        <f>MONTH(RESER3[[#This Row],[DATA]])</f>
        <v>1</v>
      </c>
      <c r="L1172" s="36">
        <f>DAY(RESER3[[#This Row],[DATA]])</f>
        <v>0</v>
      </c>
      <c r="M1172" s="36"/>
    </row>
    <row r="1173" spans="1:13" x14ac:dyDescent="0.25">
      <c r="A1173" s="36"/>
      <c r="B1173" s="129"/>
      <c r="C1173" s="28"/>
      <c r="D1173" s="36"/>
      <c r="E1173" s="36"/>
      <c r="F1173" s="36"/>
      <c r="G1173" s="36"/>
      <c r="H1173" s="36"/>
      <c r="I1173" s="36"/>
      <c r="J1173" s="36">
        <f>YEAR(RESER3[[#This Row],[DATA]])</f>
        <v>1900</v>
      </c>
      <c r="K1173" s="36">
        <f>MONTH(RESER3[[#This Row],[DATA]])</f>
        <v>1</v>
      </c>
      <c r="L1173" s="36">
        <f>DAY(RESER3[[#This Row],[DATA]])</f>
        <v>0</v>
      </c>
      <c r="M1173" s="36"/>
    </row>
    <row r="1174" spans="1:13" x14ac:dyDescent="0.25">
      <c r="A1174" s="36"/>
      <c r="B1174" s="129"/>
      <c r="C1174" s="28"/>
      <c r="D1174" s="36"/>
      <c r="E1174" s="36"/>
      <c r="F1174" s="36"/>
      <c r="G1174" s="36"/>
      <c r="H1174" s="36"/>
      <c r="I1174" s="36"/>
      <c r="J1174" s="36">
        <f>YEAR(RESER3[[#This Row],[DATA]])</f>
        <v>1900</v>
      </c>
      <c r="K1174" s="36">
        <f>MONTH(RESER3[[#This Row],[DATA]])</f>
        <v>1</v>
      </c>
      <c r="L1174" s="36">
        <f>DAY(RESER3[[#This Row],[DATA]])</f>
        <v>0</v>
      </c>
      <c r="M1174" s="36"/>
    </row>
    <row r="1175" spans="1:13" x14ac:dyDescent="0.25">
      <c r="A1175" s="36"/>
      <c r="B1175" s="129"/>
      <c r="C1175" s="28"/>
      <c r="D1175" s="36"/>
      <c r="E1175" s="36"/>
      <c r="F1175" s="36"/>
      <c r="G1175" s="36"/>
      <c r="H1175" s="36"/>
      <c r="I1175" s="36"/>
      <c r="J1175" s="36">
        <f>YEAR(RESER3[[#This Row],[DATA]])</f>
        <v>1900</v>
      </c>
      <c r="K1175" s="36">
        <f>MONTH(RESER3[[#This Row],[DATA]])</f>
        <v>1</v>
      </c>
      <c r="L1175" s="36">
        <f>DAY(RESER3[[#This Row],[DATA]])</f>
        <v>0</v>
      </c>
      <c r="M1175" s="36"/>
    </row>
    <row r="1176" spans="1:13" x14ac:dyDescent="0.25">
      <c r="A1176" s="36"/>
      <c r="B1176" s="129"/>
      <c r="C1176" s="28"/>
      <c r="D1176" s="36"/>
      <c r="E1176" s="36"/>
      <c r="F1176" s="36"/>
      <c r="G1176" s="36"/>
      <c r="H1176" s="36"/>
      <c r="I1176" s="36"/>
      <c r="J1176" s="36">
        <f>YEAR(RESER3[[#This Row],[DATA]])</f>
        <v>1900</v>
      </c>
      <c r="K1176" s="36">
        <f>MONTH(RESER3[[#This Row],[DATA]])</f>
        <v>1</v>
      </c>
      <c r="L1176" s="36">
        <f>DAY(RESER3[[#This Row],[DATA]])</f>
        <v>0</v>
      </c>
      <c r="M1176" s="36"/>
    </row>
    <row r="1177" spans="1:13" x14ac:dyDescent="0.25">
      <c r="A1177" s="36"/>
      <c r="B1177" s="129"/>
      <c r="C1177" s="28"/>
      <c r="D1177" s="36"/>
      <c r="E1177" s="36"/>
      <c r="F1177" s="36"/>
      <c r="G1177" s="36"/>
      <c r="H1177" s="36"/>
      <c r="I1177" s="36"/>
      <c r="J1177" s="36">
        <f>YEAR(RESER3[[#This Row],[DATA]])</f>
        <v>1900</v>
      </c>
      <c r="K1177" s="36">
        <f>MONTH(RESER3[[#This Row],[DATA]])</f>
        <v>1</v>
      </c>
      <c r="L1177" s="36">
        <f>DAY(RESER3[[#This Row],[DATA]])</f>
        <v>0</v>
      </c>
      <c r="M1177" s="36"/>
    </row>
    <row r="1178" spans="1:13" x14ac:dyDescent="0.25">
      <c r="A1178" s="36"/>
      <c r="B1178" s="129"/>
      <c r="C1178" s="28"/>
      <c r="D1178" s="36"/>
      <c r="E1178" s="36"/>
      <c r="F1178" s="36"/>
      <c r="G1178" s="36"/>
      <c r="H1178" s="36"/>
      <c r="I1178" s="36"/>
      <c r="J1178" s="36">
        <f>YEAR(RESER3[[#This Row],[DATA]])</f>
        <v>1900</v>
      </c>
      <c r="K1178" s="36">
        <f>MONTH(RESER3[[#This Row],[DATA]])</f>
        <v>1</v>
      </c>
      <c r="L1178" s="36">
        <f>DAY(RESER3[[#This Row],[DATA]])</f>
        <v>0</v>
      </c>
      <c r="M1178" s="36"/>
    </row>
    <row r="1179" spans="1:13" x14ac:dyDescent="0.25">
      <c r="A1179" s="36"/>
      <c r="B1179" s="129"/>
      <c r="C1179" s="28"/>
      <c r="D1179" s="36"/>
      <c r="E1179" s="36"/>
      <c r="F1179" s="36"/>
      <c r="G1179" s="36"/>
      <c r="H1179" s="36"/>
      <c r="I1179" s="36"/>
      <c r="J1179" s="36">
        <f>YEAR(RESER3[[#This Row],[DATA]])</f>
        <v>1900</v>
      </c>
      <c r="K1179" s="36">
        <f>MONTH(RESER3[[#This Row],[DATA]])</f>
        <v>1</v>
      </c>
      <c r="L1179" s="36">
        <f>DAY(RESER3[[#This Row],[DATA]])</f>
        <v>0</v>
      </c>
      <c r="M1179" s="36"/>
    </row>
    <row r="1180" spans="1:13" x14ac:dyDescent="0.25">
      <c r="A1180" s="36"/>
      <c r="B1180" s="129"/>
      <c r="C1180" s="28"/>
      <c r="D1180" s="36"/>
      <c r="E1180" s="36"/>
      <c r="F1180" s="36"/>
      <c r="G1180" s="36"/>
      <c r="H1180" s="36"/>
      <c r="I1180" s="36"/>
      <c r="J1180" s="36">
        <f>YEAR(RESER3[[#This Row],[DATA]])</f>
        <v>1900</v>
      </c>
      <c r="K1180" s="36">
        <f>MONTH(RESER3[[#This Row],[DATA]])</f>
        <v>1</v>
      </c>
      <c r="L1180" s="36">
        <f>DAY(RESER3[[#This Row],[DATA]])</f>
        <v>0</v>
      </c>
      <c r="M1180" s="36"/>
    </row>
    <row r="1181" spans="1:13" x14ac:dyDescent="0.25">
      <c r="A1181" s="36"/>
      <c r="B1181" s="129"/>
      <c r="C1181" s="28"/>
      <c r="D1181" s="36"/>
      <c r="E1181" s="36"/>
      <c r="F1181" s="36"/>
      <c r="G1181" s="36"/>
      <c r="H1181" s="36"/>
      <c r="I1181" s="36"/>
      <c r="J1181" s="36">
        <f>YEAR(RESER3[[#This Row],[DATA]])</f>
        <v>1900</v>
      </c>
      <c r="K1181" s="36">
        <f>MONTH(RESER3[[#This Row],[DATA]])</f>
        <v>1</v>
      </c>
      <c r="L1181" s="36">
        <f>DAY(RESER3[[#This Row],[DATA]])</f>
        <v>0</v>
      </c>
      <c r="M1181" s="36"/>
    </row>
    <row r="1182" spans="1:13" x14ac:dyDescent="0.25">
      <c r="A1182" s="36"/>
      <c r="B1182" s="129"/>
      <c r="C1182" s="28"/>
      <c r="D1182" s="36"/>
      <c r="E1182" s="36"/>
      <c r="F1182" s="36"/>
      <c r="G1182" s="36"/>
      <c r="H1182" s="36"/>
      <c r="I1182" s="36"/>
      <c r="J1182" s="36">
        <f>YEAR(RESER3[[#This Row],[DATA]])</f>
        <v>1900</v>
      </c>
      <c r="K1182" s="36">
        <f>MONTH(RESER3[[#This Row],[DATA]])</f>
        <v>1</v>
      </c>
      <c r="L1182" s="36">
        <f>DAY(RESER3[[#This Row],[DATA]])</f>
        <v>0</v>
      </c>
      <c r="M1182" s="36"/>
    </row>
    <row r="1183" spans="1:13" x14ac:dyDescent="0.25">
      <c r="A1183" s="36"/>
      <c r="B1183" s="129"/>
      <c r="C1183" s="28"/>
      <c r="D1183" s="36"/>
      <c r="E1183" s="36"/>
      <c r="F1183" s="36"/>
      <c r="G1183" s="36"/>
      <c r="H1183" s="36"/>
      <c r="I1183" s="36"/>
      <c r="J1183" s="36">
        <f>YEAR(RESER3[[#This Row],[DATA]])</f>
        <v>1900</v>
      </c>
      <c r="K1183" s="36">
        <f>MONTH(RESER3[[#This Row],[DATA]])</f>
        <v>1</v>
      </c>
      <c r="L1183" s="36">
        <f>DAY(RESER3[[#This Row],[DATA]])</f>
        <v>0</v>
      </c>
      <c r="M1183" s="36"/>
    </row>
    <row r="1184" spans="1:13" x14ac:dyDescent="0.25">
      <c r="A1184" s="36"/>
      <c r="B1184" s="129"/>
      <c r="C1184" s="28"/>
      <c r="D1184" s="36"/>
      <c r="E1184" s="36"/>
      <c r="F1184" s="36"/>
      <c r="G1184" s="36"/>
      <c r="H1184" s="36"/>
      <c r="I1184" s="36"/>
      <c r="J1184" s="36">
        <f>YEAR(RESER3[[#This Row],[DATA]])</f>
        <v>1900</v>
      </c>
      <c r="K1184" s="36">
        <f>MONTH(RESER3[[#This Row],[DATA]])</f>
        <v>1</v>
      </c>
      <c r="L1184" s="36">
        <f>DAY(RESER3[[#This Row],[DATA]])</f>
        <v>0</v>
      </c>
      <c r="M1184" s="36"/>
    </row>
    <row r="1185" spans="1:13" x14ac:dyDescent="0.25">
      <c r="A1185" s="36"/>
      <c r="B1185" s="129"/>
      <c r="C1185" s="28"/>
      <c r="D1185" s="36"/>
      <c r="E1185" s="36"/>
      <c r="F1185" s="36"/>
      <c r="G1185" s="36"/>
      <c r="H1185" s="36"/>
      <c r="I1185" s="36"/>
      <c r="J1185" s="36">
        <f>YEAR(RESER3[[#This Row],[DATA]])</f>
        <v>1900</v>
      </c>
      <c r="K1185" s="36">
        <f>MONTH(RESER3[[#This Row],[DATA]])</f>
        <v>1</v>
      </c>
      <c r="L1185" s="36">
        <f>DAY(RESER3[[#This Row],[DATA]])</f>
        <v>0</v>
      </c>
      <c r="M1185" s="36"/>
    </row>
    <row r="1186" spans="1:13" x14ac:dyDescent="0.25">
      <c r="A1186" s="36"/>
      <c r="B1186" s="129"/>
      <c r="C1186" s="28"/>
      <c r="D1186" s="36"/>
      <c r="E1186" s="36"/>
      <c r="F1186" s="36"/>
      <c r="G1186" s="36"/>
      <c r="H1186" s="36"/>
      <c r="I1186" s="36"/>
      <c r="J1186" s="36">
        <f>YEAR(RESER3[[#This Row],[DATA]])</f>
        <v>1900</v>
      </c>
      <c r="K1186" s="36">
        <f>MONTH(RESER3[[#This Row],[DATA]])</f>
        <v>1</v>
      </c>
      <c r="L1186" s="36">
        <f>DAY(RESER3[[#This Row],[DATA]])</f>
        <v>0</v>
      </c>
      <c r="M1186" s="36"/>
    </row>
    <row r="1187" spans="1:13" x14ac:dyDescent="0.25">
      <c r="A1187" s="36"/>
      <c r="B1187" s="129"/>
      <c r="C1187" s="28"/>
      <c r="D1187" s="36"/>
      <c r="E1187" s="36"/>
      <c r="F1187" s="36"/>
      <c r="G1187" s="36"/>
      <c r="H1187" s="36"/>
      <c r="I1187" s="36"/>
      <c r="J1187" s="36">
        <f>YEAR(RESER3[[#This Row],[DATA]])</f>
        <v>1900</v>
      </c>
      <c r="K1187" s="36">
        <f>MONTH(RESER3[[#This Row],[DATA]])</f>
        <v>1</v>
      </c>
      <c r="L1187" s="36">
        <f>DAY(RESER3[[#This Row],[DATA]])</f>
        <v>0</v>
      </c>
      <c r="M1187" s="36"/>
    </row>
    <row r="1188" spans="1:13" x14ac:dyDescent="0.25">
      <c r="A1188" s="36"/>
      <c r="B1188" s="129"/>
      <c r="C1188" s="28"/>
      <c r="D1188" s="36"/>
      <c r="E1188" s="36"/>
      <c r="F1188" s="36"/>
      <c r="G1188" s="36"/>
      <c r="H1188" s="36"/>
      <c r="I1188" s="36"/>
      <c r="J1188" s="36">
        <f>YEAR(RESER3[[#This Row],[DATA]])</f>
        <v>1900</v>
      </c>
      <c r="K1188" s="36">
        <f>MONTH(RESER3[[#This Row],[DATA]])</f>
        <v>1</v>
      </c>
      <c r="L1188" s="36">
        <f>DAY(RESER3[[#This Row],[DATA]])</f>
        <v>0</v>
      </c>
      <c r="M1188" s="36"/>
    </row>
    <row r="1189" spans="1:13" x14ac:dyDescent="0.25">
      <c r="A1189" s="36"/>
      <c r="B1189" s="129"/>
      <c r="C1189" s="28"/>
      <c r="D1189" s="36"/>
      <c r="E1189" s="36"/>
      <c r="F1189" s="36"/>
      <c r="G1189" s="36"/>
      <c r="H1189" s="36"/>
      <c r="I1189" s="36"/>
      <c r="J1189" s="36">
        <f>YEAR(RESER3[[#This Row],[DATA]])</f>
        <v>1900</v>
      </c>
      <c r="K1189" s="36">
        <f>MONTH(RESER3[[#This Row],[DATA]])</f>
        <v>1</v>
      </c>
      <c r="L1189" s="36">
        <f>DAY(RESER3[[#This Row],[DATA]])</f>
        <v>0</v>
      </c>
      <c r="M1189" s="36"/>
    </row>
    <row r="1190" spans="1:13" x14ac:dyDescent="0.25">
      <c r="A1190" s="36"/>
      <c r="B1190" s="129"/>
      <c r="C1190" s="28"/>
      <c r="D1190" s="36"/>
      <c r="E1190" s="36"/>
      <c r="F1190" s="36"/>
      <c r="G1190" s="36"/>
      <c r="H1190" s="36"/>
      <c r="I1190" s="36"/>
      <c r="J1190" s="36">
        <f>YEAR(RESER3[[#This Row],[DATA]])</f>
        <v>1900</v>
      </c>
      <c r="K1190" s="36">
        <f>MONTH(RESER3[[#This Row],[DATA]])</f>
        <v>1</v>
      </c>
      <c r="L1190" s="36">
        <f>DAY(RESER3[[#This Row],[DATA]])</f>
        <v>0</v>
      </c>
      <c r="M1190" s="36"/>
    </row>
    <row r="1191" spans="1:13" x14ac:dyDescent="0.25">
      <c r="A1191" s="36"/>
      <c r="B1191" s="129"/>
      <c r="C1191" s="28"/>
      <c r="D1191" s="36"/>
      <c r="E1191" s="36"/>
      <c r="F1191" s="36"/>
      <c r="G1191" s="36"/>
      <c r="H1191" s="36"/>
      <c r="I1191" s="36"/>
      <c r="J1191" s="36">
        <f>YEAR(RESER3[[#This Row],[DATA]])</f>
        <v>1900</v>
      </c>
      <c r="K1191" s="36">
        <f>MONTH(RESER3[[#This Row],[DATA]])</f>
        <v>1</v>
      </c>
      <c r="L1191" s="36">
        <f>DAY(RESER3[[#This Row],[DATA]])</f>
        <v>0</v>
      </c>
      <c r="M1191" s="36"/>
    </row>
    <row r="1192" spans="1:13" x14ac:dyDescent="0.25">
      <c r="A1192" s="36"/>
      <c r="B1192" s="129"/>
      <c r="C1192" s="28"/>
      <c r="D1192" s="36"/>
      <c r="E1192" s="36"/>
      <c r="F1192" s="36"/>
      <c r="G1192" s="36"/>
      <c r="H1192" s="36"/>
      <c r="I1192" s="36"/>
      <c r="J1192" s="36">
        <f>YEAR(RESER3[[#This Row],[DATA]])</f>
        <v>1900</v>
      </c>
      <c r="K1192" s="36">
        <f>MONTH(RESER3[[#This Row],[DATA]])</f>
        <v>1</v>
      </c>
      <c r="L1192" s="36">
        <f>DAY(RESER3[[#This Row],[DATA]])</f>
        <v>0</v>
      </c>
      <c r="M1192" s="36"/>
    </row>
    <row r="1193" spans="1:13" x14ac:dyDescent="0.25">
      <c r="A1193" s="36"/>
      <c r="B1193" s="129"/>
      <c r="C1193" s="28"/>
      <c r="D1193" s="36"/>
      <c r="E1193" s="36"/>
      <c r="F1193" s="36"/>
      <c r="G1193" s="36"/>
      <c r="H1193" s="36"/>
      <c r="I1193" s="36"/>
      <c r="J1193" s="36">
        <f>YEAR(RESER3[[#This Row],[DATA]])</f>
        <v>1900</v>
      </c>
      <c r="K1193" s="36">
        <f>MONTH(RESER3[[#This Row],[DATA]])</f>
        <v>1</v>
      </c>
      <c r="L1193" s="36">
        <f>DAY(RESER3[[#This Row],[DATA]])</f>
        <v>0</v>
      </c>
      <c r="M1193" s="36"/>
    </row>
    <row r="1194" spans="1:13" x14ac:dyDescent="0.25">
      <c r="A1194" s="36"/>
      <c r="B1194" s="129"/>
      <c r="C1194" s="28"/>
      <c r="D1194" s="36"/>
      <c r="E1194" s="36"/>
      <c r="F1194" s="36"/>
      <c r="G1194" s="36"/>
      <c r="H1194" s="36"/>
      <c r="I1194" s="36"/>
      <c r="J1194" s="36">
        <f>YEAR(RESER3[[#This Row],[DATA]])</f>
        <v>1900</v>
      </c>
      <c r="K1194" s="36">
        <f>MONTH(RESER3[[#This Row],[DATA]])</f>
        <v>1</v>
      </c>
      <c r="L1194" s="36">
        <f>DAY(RESER3[[#This Row],[DATA]])</f>
        <v>0</v>
      </c>
      <c r="M1194" s="36"/>
    </row>
    <row r="1195" spans="1:13" x14ac:dyDescent="0.25">
      <c r="A1195" s="36"/>
      <c r="B1195" s="129"/>
      <c r="C1195" s="28"/>
      <c r="D1195" s="36"/>
      <c r="E1195" s="36"/>
      <c r="F1195" s="36"/>
      <c r="G1195" s="36"/>
      <c r="H1195" s="36"/>
      <c r="I1195" s="36"/>
      <c r="J1195" s="36">
        <f>YEAR(RESER3[[#This Row],[DATA]])</f>
        <v>1900</v>
      </c>
      <c r="K1195" s="36">
        <f>MONTH(RESER3[[#This Row],[DATA]])</f>
        <v>1</v>
      </c>
      <c r="L1195" s="36">
        <f>DAY(RESER3[[#This Row],[DATA]])</f>
        <v>0</v>
      </c>
      <c r="M1195" s="36"/>
    </row>
    <row r="1196" spans="1:13" x14ac:dyDescent="0.25">
      <c r="A1196" s="36"/>
      <c r="B1196" s="129"/>
      <c r="C1196" s="28"/>
      <c r="D1196" s="36"/>
      <c r="E1196" s="36"/>
      <c r="F1196" s="36"/>
      <c r="G1196" s="36"/>
      <c r="H1196" s="36"/>
      <c r="I1196" s="36"/>
      <c r="J1196" s="36">
        <f>YEAR(RESER3[[#This Row],[DATA]])</f>
        <v>1900</v>
      </c>
      <c r="K1196" s="36">
        <f>MONTH(RESER3[[#This Row],[DATA]])</f>
        <v>1</v>
      </c>
      <c r="L1196" s="36">
        <f>DAY(RESER3[[#This Row],[DATA]])</f>
        <v>0</v>
      </c>
      <c r="M1196" s="36"/>
    </row>
    <row r="1197" spans="1:13" x14ac:dyDescent="0.25">
      <c r="A1197" s="36"/>
      <c r="B1197" s="129"/>
      <c r="C1197" s="28"/>
      <c r="D1197" s="36"/>
      <c r="E1197" s="36"/>
      <c r="F1197" s="36"/>
      <c r="G1197" s="36"/>
      <c r="H1197" s="36"/>
      <c r="I1197" s="36"/>
      <c r="J1197" s="36">
        <f>YEAR(RESER3[[#This Row],[DATA]])</f>
        <v>1900</v>
      </c>
      <c r="K1197" s="36">
        <f>MONTH(RESER3[[#This Row],[DATA]])</f>
        <v>1</v>
      </c>
      <c r="L1197" s="36">
        <f>DAY(RESER3[[#This Row],[DATA]])</f>
        <v>0</v>
      </c>
      <c r="M1197" s="36"/>
    </row>
    <row r="1198" spans="1:13" x14ac:dyDescent="0.25">
      <c r="A1198" s="36"/>
      <c r="B1198" s="129"/>
      <c r="C1198" s="28"/>
      <c r="D1198" s="36"/>
      <c r="E1198" s="36"/>
      <c r="F1198" s="36"/>
      <c r="G1198" s="36"/>
      <c r="H1198" s="36"/>
      <c r="I1198" s="36"/>
      <c r="J1198" s="36">
        <f>YEAR(RESER3[[#This Row],[DATA]])</f>
        <v>1900</v>
      </c>
      <c r="K1198" s="36">
        <f>MONTH(RESER3[[#This Row],[DATA]])</f>
        <v>1</v>
      </c>
      <c r="L1198" s="36">
        <f>DAY(RESER3[[#This Row],[DATA]])</f>
        <v>0</v>
      </c>
      <c r="M1198" s="36"/>
    </row>
    <row r="1199" spans="1:13" x14ac:dyDescent="0.25">
      <c r="A1199" s="36"/>
      <c r="B1199" s="129"/>
      <c r="C1199" s="28"/>
      <c r="D1199" s="36"/>
      <c r="E1199" s="36"/>
      <c r="F1199" s="36"/>
      <c r="G1199" s="36"/>
      <c r="H1199" s="36"/>
      <c r="I1199" s="36"/>
      <c r="J1199" s="36">
        <f>YEAR(RESER3[[#This Row],[DATA]])</f>
        <v>1900</v>
      </c>
      <c r="K1199" s="36">
        <f>MONTH(RESER3[[#This Row],[DATA]])</f>
        <v>1</v>
      </c>
      <c r="L1199" s="36">
        <f>DAY(RESER3[[#This Row],[DATA]])</f>
        <v>0</v>
      </c>
      <c r="M1199" s="36"/>
    </row>
    <row r="1200" spans="1:13" x14ac:dyDescent="0.25">
      <c r="A1200" s="36"/>
      <c r="B1200" s="129"/>
      <c r="C1200" s="28"/>
      <c r="D1200" s="36"/>
      <c r="E1200" s="36"/>
      <c r="F1200" s="36"/>
      <c r="G1200" s="36"/>
      <c r="H1200" s="36"/>
      <c r="I1200" s="36"/>
      <c r="J1200" s="36">
        <f>YEAR(RESER3[[#This Row],[DATA]])</f>
        <v>1900</v>
      </c>
      <c r="K1200" s="36">
        <f>MONTH(RESER3[[#This Row],[DATA]])</f>
        <v>1</v>
      </c>
      <c r="L1200" s="36">
        <f>DAY(RESER3[[#This Row],[DATA]])</f>
        <v>0</v>
      </c>
      <c r="M1200" s="36"/>
    </row>
    <row r="1201" spans="1:13" x14ac:dyDescent="0.25">
      <c r="A1201" s="36"/>
      <c r="B1201" s="129"/>
      <c r="C1201" s="28"/>
      <c r="D1201" s="36"/>
      <c r="E1201" s="36"/>
      <c r="F1201" s="36"/>
      <c r="G1201" s="36"/>
      <c r="H1201" s="36"/>
      <c r="I1201" s="36"/>
      <c r="J1201" s="36">
        <f>YEAR(RESER3[[#This Row],[DATA]])</f>
        <v>1900</v>
      </c>
      <c r="K1201" s="36">
        <f>MONTH(RESER3[[#This Row],[DATA]])</f>
        <v>1</v>
      </c>
      <c r="L1201" s="36">
        <f>DAY(RESER3[[#This Row],[DATA]])</f>
        <v>0</v>
      </c>
      <c r="M1201" s="36"/>
    </row>
    <row r="1202" spans="1:13" x14ac:dyDescent="0.25">
      <c r="A1202" s="36"/>
      <c r="B1202" s="129"/>
      <c r="C1202" s="28"/>
      <c r="D1202" s="36"/>
      <c r="E1202" s="36"/>
      <c r="F1202" s="36"/>
      <c r="G1202" s="36"/>
      <c r="H1202" s="36"/>
      <c r="I1202" s="36"/>
      <c r="J1202" s="36">
        <f>YEAR(RESER3[[#This Row],[DATA]])</f>
        <v>1900</v>
      </c>
      <c r="K1202" s="36">
        <f>MONTH(RESER3[[#This Row],[DATA]])</f>
        <v>1</v>
      </c>
      <c r="L1202" s="36">
        <f>DAY(RESER3[[#This Row],[DATA]])</f>
        <v>0</v>
      </c>
      <c r="M1202" s="36"/>
    </row>
    <row r="1203" spans="1:13" x14ac:dyDescent="0.25">
      <c r="A1203" s="36"/>
      <c r="B1203" s="129"/>
      <c r="C1203" s="28"/>
      <c r="D1203" s="36"/>
      <c r="E1203" s="36"/>
      <c r="F1203" s="36"/>
      <c r="G1203" s="36"/>
      <c r="H1203" s="36"/>
      <c r="I1203" s="36"/>
      <c r="J1203" s="36">
        <f>YEAR(RESER3[[#This Row],[DATA]])</f>
        <v>1900</v>
      </c>
      <c r="K1203" s="36">
        <f>MONTH(RESER3[[#This Row],[DATA]])</f>
        <v>1</v>
      </c>
      <c r="L1203" s="36">
        <f>DAY(RESER3[[#This Row],[DATA]])</f>
        <v>0</v>
      </c>
      <c r="M1203" s="36"/>
    </row>
    <row r="1204" spans="1:13" x14ac:dyDescent="0.25">
      <c r="A1204" s="36"/>
      <c r="B1204" s="129"/>
      <c r="C1204" s="28"/>
      <c r="D1204" s="36"/>
      <c r="E1204" s="36"/>
      <c r="F1204" s="36"/>
      <c r="G1204" s="36"/>
      <c r="H1204" s="36"/>
      <c r="I1204" s="36"/>
      <c r="J1204" s="36">
        <f>YEAR(RESER3[[#This Row],[DATA]])</f>
        <v>1900</v>
      </c>
      <c r="K1204" s="36">
        <f>MONTH(RESER3[[#This Row],[DATA]])</f>
        <v>1</v>
      </c>
      <c r="L1204" s="36">
        <f>DAY(RESER3[[#This Row],[DATA]])</f>
        <v>0</v>
      </c>
      <c r="M1204" s="36"/>
    </row>
    <row r="1205" spans="1:13" x14ac:dyDescent="0.25">
      <c r="A1205" s="36"/>
      <c r="B1205" s="129"/>
      <c r="C1205" s="28"/>
      <c r="D1205" s="36"/>
      <c r="E1205" s="36"/>
      <c r="F1205" s="36"/>
      <c r="G1205" s="36"/>
      <c r="H1205" s="36"/>
      <c r="I1205" s="36"/>
      <c r="J1205" s="36">
        <f>YEAR(RESER3[[#This Row],[DATA]])</f>
        <v>1900</v>
      </c>
      <c r="K1205" s="36">
        <f>MONTH(RESER3[[#This Row],[DATA]])</f>
        <v>1</v>
      </c>
      <c r="L1205" s="36">
        <f>DAY(RESER3[[#This Row],[DATA]])</f>
        <v>0</v>
      </c>
      <c r="M1205" s="36"/>
    </row>
    <row r="1206" spans="1:13" x14ac:dyDescent="0.25">
      <c r="A1206" s="36"/>
      <c r="B1206" s="129"/>
      <c r="C1206" s="28"/>
      <c r="D1206" s="36"/>
      <c r="E1206" s="36"/>
      <c r="F1206" s="36"/>
      <c r="G1206" s="36"/>
      <c r="H1206" s="36"/>
      <c r="I1206" s="36"/>
      <c r="J1206" s="36">
        <f>YEAR(RESER3[[#This Row],[DATA]])</f>
        <v>1900</v>
      </c>
      <c r="K1206" s="36">
        <f>MONTH(RESER3[[#This Row],[DATA]])</f>
        <v>1</v>
      </c>
      <c r="L1206" s="36">
        <f>DAY(RESER3[[#This Row],[DATA]])</f>
        <v>0</v>
      </c>
      <c r="M1206" s="36"/>
    </row>
    <row r="1207" spans="1:13" x14ac:dyDescent="0.25">
      <c r="A1207" s="36"/>
      <c r="B1207" s="129"/>
      <c r="C1207" s="28"/>
      <c r="D1207" s="36"/>
      <c r="E1207" s="36"/>
      <c r="F1207" s="36"/>
      <c r="G1207" s="36"/>
      <c r="H1207" s="36"/>
      <c r="I1207" s="36"/>
      <c r="J1207" s="36">
        <f>YEAR(RESER3[[#This Row],[DATA]])</f>
        <v>1900</v>
      </c>
      <c r="K1207" s="36">
        <f>MONTH(RESER3[[#This Row],[DATA]])</f>
        <v>1</v>
      </c>
      <c r="L1207" s="36">
        <f>DAY(RESER3[[#This Row],[DATA]])</f>
        <v>0</v>
      </c>
      <c r="M1207" s="36"/>
    </row>
    <row r="1208" spans="1:13" x14ac:dyDescent="0.25">
      <c r="A1208" s="36"/>
      <c r="B1208" s="129"/>
      <c r="C1208" s="28"/>
      <c r="D1208" s="36"/>
      <c r="E1208" s="36"/>
      <c r="F1208" s="36"/>
      <c r="G1208" s="36"/>
      <c r="H1208" s="36"/>
      <c r="I1208" s="36"/>
      <c r="J1208" s="36">
        <f>YEAR(RESER3[[#This Row],[DATA]])</f>
        <v>1900</v>
      </c>
      <c r="K1208" s="36">
        <f>MONTH(RESER3[[#This Row],[DATA]])</f>
        <v>1</v>
      </c>
      <c r="L1208" s="36">
        <f>DAY(RESER3[[#This Row],[DATA]])</f>
        <v>0</v>
      </c>
      <c r="M1208" s="36"/>
    </row>
    <row r="1209" spans="1:13" x14ac:dyDescent="0.25">
      <c r="A1209" s="36"/>
      <c r="B1209" s="129"/>
      <c r="C1209" s="28"/>
      <c r="D1209" s="36"/>
      <c r="E1209" s="36"/>
      <c r="F1209" s="36"/>
      <c r="G1209" s="36"/>
      <c r="H1209" s="36"/>
      <c r="I1209" s="36"/>
      <c r="J1209" s="36">
        <f>YEAR(RESER3[[#This Row],[DATA]])</f>
        <v>1900</v>
      </c>
      <c r="K1209" s="36">
        <f>MONTH(RESER3[[#This Row],[DATA]])</f>
        <v>1</v>
      </c>
      <c r="L1209" s="36">
        <f>DAY(RESER3[[#This Row],[DATA]])</f>
        <v>0</v>
      </c>
      <c r="M1209" s="36"/>
    </row>
    <row r="1210" spans="1:13" x14ac:dyDescent="0.25">
      <c r="A1210" s="36"/>
      <c r="B1210" s="129"/>
      <c r="C1210" s="28"/>
      <c r="D1210" s="36"/>
      <c r="E1210" s="36"/>
      <c r="F1210" s="36"/>
      <c r="G1210" s="36"/>
      <c r="H1210" s="36"/>
      <c r="I1210" s="36"/>
      <c r="J1210" s="36">
        <f>YEAR(RESER3[[#This Row],[DATA]])</f>
        <v>1900</v>
      </c>
      <c r="K1210" s="36">
        <f>MONTH(RESER3[[#This Row],[DATA]])</f>
        <v>1</v>
      </c>
      <c r="L1210" s="36">
        <f>DAY(RESER3[[#This Row],[DATA]])</f>
        <v>0</v>
      </c>
      <c r="M1210" s="36"/>
    </row>
    <row r="1211" spans="1:13" x14ac:dyDescent="0.25">
      <c r="A1211" s="36"/>
      <c r="B1211" s="129"/>
      <c r="C1211" s="28"/>
      <c r="D1211" s="36"/>
      <c r="E1211" s="36"/>
      <c r="F1211" s="36"/>
      <c r="G1211" s="36"/>
      <c r="H1211" s="36"/>
      <c r="I1211" s="36"/>
      <c r="J1211" s="36">
        <f>YEAR(RESER3[[#This Row],[DATA]])</f>
        <v>1900</v>
      </c>
      <c r="K1211" s="36">
        <f>MONTH(RESER3[[#This Row],[DATA]])</f>
        <v>1</v>
      </c>
      <c r="L1211" s="36">
        <f>DAY(RESER3[[#This Row],[DATA]])</f>
        <v>0</v>
      </c>
      <c r="M1211" s="36"/>
    </row>
    <row r="1212" spans="1:13" x14ac:dyDescent="0.25">
      <c r="A1212" s="36"/>
      <c r="B1212" s="129"/>
      <c r="C1212" s="28"/>
      <c r="D1212" s="36"/>
      <c r="E1212" s="36"/>
      <c r="F1212" s="36"/>
      <c r="G1212" s="36"/>
      <c r="H1212" s="36"/>
      <c r="I1212" s="36"/>
      <c r="J1212" s="36">
        <f>YEAR(RESER3[[#This Row],[DATA]])</f>
        <v>1900</v>
      </c>
      <c r="K1212" s="36">
        <f>MONTH(RESER3[[#This Row],[DATA]])</f>
        <v>1</v>
      </c>
      <c r="L1212" s="36">
        <f>DAY(RESER3[[#This Row],[DATA]])</f>
        <v>0</v>
      </c>
      <c r="M1212" s="36"/>
    </row>
    <row r="1213" spans="1:13" x14ac:dyDescent="0.25">
      <c r="A1213" s="36"/>
      <c r="B1213" s="129"/>
      <c r="C1213" s="28"/>
      <c r="D1213" s="36"/>
      <c r="E1213" s="36"/>
      <c r="F1213" s="36"/>
      <c r="G1213" s="36"/>
      <c r="H1213" s="36"/>
      <c r="I1213" s="36"/>
      <c r="J1213" s="36">
        <f>YEAR(RESER3[[#This Row],[DATA]])</f>
        <v>1900</v>
      </c>
      <c r="K1213" s="36">
        <f>MONTH(RESER3[[#This Row],[DATA]])</f>
        <v>1</v>
      </c>
      <c r="L1213" s="36">
        <f>DAY(RESER3[[#This Row],[DATA]])</f>
        <v>0</v>
      </c>
      <c r="M1213" s="36"/>
    </row>
    <row r="1214" spans="1:13" x14ac:dyDescent="0.25">
      <c r="A1214" s="36"/>
      <c r="B1214" s="129"/>
      <c r="C1214" s="28"/>
      <c r="D1214" s="36"/>
      <c r="E1214" s="36"/>
      <c r="F1214" s="36"/>
      <c r="G1214" s="36"/>
      <c r="H1214" s="36"/>
      <c r="I1214" s="36"/>
      <c r="J1214" s="36">
        <f>YEAR(RESER3[[#This Row],[DATA]])</f>
        <v>1900</v>
      </c>
      <c r="K1214" s="36">
        <f>MONTH(RESER3[[#This Row],[DATA]])</f>
        <v>1</v>
      </c>
      <c r="L1214" s="36">
        <f>DAY(RESER3[[#This Row],[DATA]])</f>
        <v>0</v>
      </c>
      <c r="M1214" s="36"/>
    </row>
    <row r="1215" spans="1:13" x14ac:dyDescent="0.25">
      <c r="A1215" s="36"/>
      <c r="B1215" s="129"/>
      <c r="C1215" s="28"/>
      <c r="D1215" s="36"/>
      <c r="E1215" s="36"/>
      <c r="F1215" s="36"/>
      <c r="G1215" s="36"/>
      <c r="H1215" s="36"/>
      <c r="I1215" s="36"/>
      <c r="J1215" s="36">
        <f>YEAR(RESER3[[#This Row],[DATA]])</f>
        <v>1900</v>
      </c>
      <c r="K1215" s="36">
        <f>MONTH(RESER3[[#This Row],[DATA]])</f>
        <v>1</v>
      </c>
      <c r="L1215" s="36">
        <f>DAY(RESER3[[#This Row],[DATA]])</f>
        <v>0</v>
      </c>
      <c r="M1215" s="36"/>
    </row>
    <row r="1216" spans="1:13" x14ac:dyDescent="0.25">
      <c r="A1216" s="36"/>
      <c r="B1216" s="129"/>
      <c r="C1216" s="28"/>
      <c r="D1216" s="36"/>
      <c r="E1216" s="36"/>
      <c r="F1216" s="36"/>
      <c r="G1216" s="36"/>
      <c r="H1216" s="36"/>
      <c r="I1216" s="36"/>
      <c r="J1216" s="36">
        <f>YEAR(RESER3[[#This Row],[DATA]])</f>
        <v>1900</v>
      </c>
      <c r="K1216" s="36">
        <f>MONTH(RESER3[[#This Row],[DATA]])</f>
        <v>1</v>
      </c>
      <c r="L1216" s="36">
        <f>DAY(RESER3[[#This Row],[DATA]])</f>
        <v>0</v>
      </c>
      <c r="M1216" s="36"/>
    </row>
    <row r="1217" spans="1:13" x14ac:dyDescent="0.25">
      <c r="A1217" s="36"/>
      <c r="B1217" s="129"/>
      <c r="C1217" s="28"/>
      <c r="D1217" s="36"/>
      <c r="E1217" s="36"/>
      <c r="F1217" s="36"/>
      <c r="G1217" s="36"/>
      <c r="H1217" s="36"/>
      <c r="I1217" s="36"/>
      <c r="J1217" s="36">
        <f>YEAR(RESER3[[#This Row],[DATA]])</f>
        <v>1900</v>
      </c>
      <c r="K1217" s="36">
        <f>MONTH(RESER3[[#This Row],[DATA]])</f>
        <v>1</v>
      </c>
      <c r="L1217" s="36">
        <f>DAY(RESER3[[#This Row],[DATA]])</f>
        <v>0</v>
      </c>
      <c r="M1217" s="36"/>
    </row>
    <row r="1218" spans="1:13" x14ac:dyDescent="0.25">
      <c r="A1218" s="36"/>
      <c r="B1218" s="129"/>
      <c r="C1218" s="28"/>
      <c r="D1218" s="36"/>
      <c r="E1218" s="36"/>
      <c r="F1218" s="36"/>
      <c r="G1218" s="36"/>
      <c r="H1218" s="36"/>
      <c r="I1218" s="36"/>
      <c r="J1218" s="36">
        <f>YEAR(RESER3[[#This Row],[DATA]])</f>
        <v>1900</v>
      </c>
      <c r="K1218" s="36">
        <f>MONTH(RESER3[[#This Row],[DATA]])</f>
        <v>1</v>
      </c>
      <c r="L1218" s="36">
        <f>DAY(RESER3[[#This Row],[DATA]])</f>
        <v>0</v>
      </c>
      <c r="M1218" s="36"/>
    </row>
    <row r="1219" spans="1:13" x14ac:dyDescent="0.25">
      <c r="A1219" s="36"/>
      <c r="B1219" s="129"/>
      <c r="C1219" s="28"/>
      <c r="D1219" s="36"/>
      <c r="E1219" s="36"/>
      <c r="F1219" s="36"/>
      <c r="G1219" s="36"/>
      <c r="H1219" s="36"/>
      <c r="I1219" s="36"/>
      <c r="J1219" s="36">
        <f>YEAR(RESER3[[#This Row],[DATA]])</f>
        <v>1900</v>
      </c>
      <c r="K1219" s="36">
        <f>MONTH(RESER3[[#This Row],[DATA]])</f>
        <v>1</v>
      </c>
      <c r="L1219" s="36">
        <f>DAY(RESER3[[#This Row],[DATA]])</f>
        <v>0</v>
      </c>
      <c r="M1219" s="36"/>
    </row>
    <row r="1220" spans="1:13" x14ac:dyDescent="0.25">
      <c r="A1220" s="36"/>
      <c r="B1220" s="129"/>
      <c r="C1220" s="28"/>
      <c r="D1220" s="36"/>
      <c r="E1220" s="36"/>
      <c r="F1220" s="36"/>
      <c r="G1220" s="36"/>
      <c r="H1220" s="36"/>
      <c r="I1220" s="36"/>
      <c r="J1220" s="36">
        <f>YEAR(RESER3[[#This Row],[DATA]])</f>
        <v>1900</v>
      </c>
      <c r="K1220" s="36">
        <f>MONTH(RESER3[[#This Row],[DATA]])</f>
        <v>1</v>
      </c>
      <c r="L1220" s="36">
        <f>DAY(RESER3[[#This Row],[DATA]])</f>
        <v>0</v>
      </c>
      <c r="M1220" s="36"/>
    </row>
    <row r="1221" spans="1:13" x14ac:dyDescent="0.25">
      <c r="A1221" s="36"/>
      <c r="B1221" s="129"/>
      <c r="C1221" s="28"/>
      <c r="D1221" s="36"/>
      <c r="E1221" s="36"/>
      <c r="F1221" s="36"/>
      <c r="G1221" s="36"/>
      <c r="H1221" s="36"/>
      <c r="I1221" s="36"/>
      <c r="J1221" s="36">
        <f>YEAR(RESER3[[#This Row],[DATA]])</f>
        <v>1900</v>
      </c>
      <c r="K1221" s="36">
        <f>MONTH(RESER3[[#This Row],[DATA]])</f>
        <v>1</v>
      </c>
      <c r="L1221" s="36">
        <f>DAY(RESER3[[#This Row],[DATA]])</f>
        <v>0</v>
      </c>
      <c r="M1221" s="36"/>
    </row>
    <row r="1222" spans="1:13" x14ac:dyDescent="0.25">
      <c r="A1222" s="36"/>
      <c r="B1222" s="129"/>
      <c r="C1222" s="28"/>
      <c r="D1222" s="36"/>
      <c r="E1222" s="36"/>
      <c r="F1222" s="36"/>
      <c r="G1222" s="36"/>
      <c r="H1222" s="36"/>
      <c r="I1222" s="36"/>
      <c r="J1222" s="36">
        <f>YEAR(RESER3[[#This Row],[DATA]])</f>
        <v>1900</v>
      </c>
      <c r="K1222" s="36">
        <f>MONTH(RESER3[[#This Row],[DATA]])</f>
        <v>1</v>
      </c>
      <c r="L1222" s="36">
        <f>DAY(RESER3[[#This Row],[DATA]])</f>
        <v>0</v>
      </c>
      <c r="M1222" s="36"/>
    </row>
    <row r="1223" spans="1:13" x14ac:dyDescent="0.25">
      <c r="A1223" s="36"/>
      <c r="B1223" s="129"/>
      <c r="C1223" s="28"/>
      <c r="D1223" s="36"/>
      <c r="E1223" s="36"/>
      <c r="F1223" s="36"/>
      <c r="G1223" s="36"/>
      <c r="H1223" s="36"/>
      <c r="I1223" s="36"/>
      <c r="J1223" s="36">
        <f>YEAR(RESER3[[#This Row],[DATA]])</f>
        <v>1900</v>
      </c>
      <c r="K1223" s="36">
        <f>MONTH(RESER3[[#This Row],[DATA]])</f>
        <v>1</v>
      </c>
      <c r="L1223" s="36">
        <f>DAY(RESER3[[#This Row],[DATA]])</f>
        <v>0</v>
      </c>
      <c r="M1223" s="36"/>
    </row>
    <row r="1224" spans="1:13" x14ac:dyDescent="0.25">
      <c r="A1224" s="36"/>
      <c r="B1224" s="129"/>
      <c r="C1224" s="28"/>
      <c r="D1224" s="36"/>
      <c r="E1224" s="36"/>
      <c r="F1224" s="36"/>
      <c r="G1224" s="36"/>
      <c r="H1224" s="36"/>
      <c r="I1224" s="36"/>
      <c r="J1224" s="36">
        <f>YEAR(RESER3[[#This Row],[DATA]])</f>
        <v>1900</v>
      </c>
      <c r="K1224" s="36">
        <f>MONTH(RESER3[[#This Row],[DATA]])</f>
        <v>1</v>
      </c>
      <c r="L1224" s="36">
        <f>DAY(RESER3[[#This Row],[DATA]])</f>
        <v>0</v>
      </c>
      <c r="M1224" s="36"/>
    </row>
    <row r="1225" spans="1:13" x14ac:dyDescent="0.25">
      <c r="A1225" s="36"/>
      <c r="B1225" s="129"/>
      <c r="C1225" s="28"/>
      <c r="D1225" s="36"/>
      <c r="E1225" s="36"/>
      <c r="F1225" s="36"/>
      <c r="G1225" s="36"/>
      <c r="H1225" s="36"/>
      <c r="I1225" s="36"/>
      <c r="J1225" s="36">
        <f>YEAR(RESER3[[#This Row],[DATA]])</f>
        <v>1900</v>
      </c>
      <c r="K1225" s="36">
        <f>MONTH(RESER3[[#This Row],[DATA]])</f>
        <v>1</v>
      </c>
      <c r="L1225" s="36">
        <f>DAY(RESER3[[#This Row],[DATA]])</f>
        <v>0</v>
      </c>
      <c r="M1225" s="36"/>
    </row>
    <row r="1226" spans="1:13" x14ac:dyDescent="0.25">
      <c r="A1226" s="36"/>
      <c r="B1226" s="129"/>
      <c r="C1226" s="28"/>
      <c r="D1226" s="36"/>
      <c r="E1226" s="36"/>
      <c r="F1226" s="36"/>
      <c r="G1226" s="36"/>
      <c r="H1226" s="36"/>
      <c r="I1226" s="36"/>
      <c r="J1226" s="36">
        <f>YEAR(RESER3[[#This Row],[DATA]])</f>
        <v>1900</v>
      </c>
      <c r="K1226" s="36">
        <f>MONTH(RESER3[[#This Row],[DATA]])</f>
        <v>1</v>
      </c>
      <c r="L1226" s="36">
        <f>DAY(RESER3[[#This Row],[DATA]])</f>
        <v>0</v>
      </c>
      <c r="M1226" s="36"/>
    </row>
    <row r="1227" spans="1:13" x14ac:dyDescent="0.25">
      <c r="A1227" s="36"/>
      <c r="B1227" s="129"/>
      <c r="C1227" s="28"/>
      <c r="D1227" s="36"/>
      <c r="E1227" s="36"/>
      <c r="F1227" s="36"/>
      <c r="G1227" s="36"/>
      <c r="H1227" s="36"/>
      <c r="I1227" s="36"/>
      <c r="J1227" s="36">
        <f>YEAR(RESER3[[#This Row],[DATA]])</f>
        <v>1900</v>
      </c>
      <c r="K1227" s="36">
        <f>MONTH(RESER3[[#This Row],[DATA]])</f>
        <v>1</v>
      </c>
      <c r="L1227" s="36">
        <f>DAY(RESER3[[#This Row],[DATA]])</f>
        <v>0</v>
      </c>
      <c r="M1227" s="36"/>
    </row>
    <row r="1228" spans="1:13" x14ac:dyDescent="0.25">
      <c r="A1228" s="36"/>
      <c r="B1228" s="129"/>
      <c r="C1228" s="28"/>
      <c r="D1228" s="36"/>
      <c r="E1228" s="36"/>
      <c r="F1228" s="36"/>
      <c r="G1228" s="36"/>
      <c r="H1228" s="36"/>
      <c r="I1228" s="36"/>
      <c r="J1228" s="36">
        <f>YEAR(RESER3[[#This Row],[DATA]])</f>
        <v>1900</v>
      </c>
      <c r="K1228" s="36">
        <f>MONTH(RESER3[[#This Row],[DATA]])</f>
        <v>1</v>
      </c>
      <c r="L1228" s="36">
        <f>DAY(RESER3[[#This Row],[DATA]])</f>
        <v>0</v>
      </c>
      <c r="M1228" s="36"/>
    </row>
    <row r="1229" spans="1:13" x14ac:dyDescent="0.25">
      <c r="A1229" s="36"/>
      <c r="B1229" s="129"/>
      <c r="C1229" s="28"/>
      <c r="D1229" s="36"/>
      <c r="E1229" s="36"/>
      <c r="F1229" s="36"/>
      <c r="G1229" s="36"/>
      <c r="H1229" s="36"/>
      <c r="I1229" s="36"/>
      <c r="J1229" s="36">
        <f>YEAR(RESER3[[#This Row],[DATA]])</f>
        <v>1900</v>
      </c>
      <c r="K1229" s="36">
        <f>MONTH(RESER3[[#This Row],[DATA]])</f>
        <v>1</v>
      </c>
      <c r="L1229" s="36">
        <f>DAY(RESER3[[#This Row],[DATA]])</f>
        <v>0</v>
      </c>
      <c r="M1229" s="36"/>
    </row>
    <row r="1230" spans="1:13" x14ac:dyDescent="0.25">
      <c r="A1230" s="36"/>
      <c r="B1230" s="129"/>
      <c r="C1230" s="28"/>
      <c r="D1230" s="36"/>
      <c r="E1230" s="36"/>
      <c r="F1230" s="36"/>
      <c r="G1230" s="36"/>
      <c r="H1230" s="36"/>
      <c r="I1230" s="36"/>
      <c r="J1230" s="36">
        <f>YEAR(RESER3[[#This Row],[DATA]])</f>
        <v>1900</v>
      </c>
      <c r="K1230" s="36">
        <f>MONTH(RESER3[[#This Row],[DATA]])</f>
        <v>1</v>
      </c>
      <c r="L1230" s="36">
        <f>DAY(RESER3[[#This Row],[DATA]])</f>
        <v>0</v>
      </c>
      <c r="M1230" s="36"/>
    </row>
    <row r="1231" spans="1:13" x14ac:dyDescent="0.25">
      <c r="A1231" s="36"/>
      <c r="B1231" s="129"/>
      <c r="C1231" s="28"/>
      <c r="D1231" s="36"/>
      <c r="E1231" s="36"/>
      <c r="F1231" s="36"/>
      <c r="G1231" s="36"/>
      <c r="H1231" s="36"/>
      <c r="I1231" s="36"/>
      <c r="J1231" s="36">
        <f>YEAR(RESER3[[#This Row],[DATA]])</f>
        <v>1900</v>
      </c>
      <c r="K1231" s="36">
        <f>MONTH(RESER3[[#This Row],[DATA]])</f>
        <v>1</v>
      </c>
      <c r="L1231" s="36">
        <f>DAY(RESER3[[#This Row],[DATA]])</f>
        <v>0</v>
      </c>
      <c r="M1231" s="36"/>
    </row>
    <row r="1232" spans="1:13" x14ac:dyDescent="0.25">
      <c r="A1232" s="36"/>
      <c r="B1232" s="129"/>
      <c r="C1232" s="28"/>
      <c r="D1232" s="36"/>
      <c r="E1232" s="36"/>
      <c r="F1232" s="36"/>
      <c r="G1232" s="36"/>
      <c r="H1232" s="36"/>
      <c r="I1232" s="36"/>
      <c r="J1232" s="36">
        <f>YEAR(RESER3[[#This Row],[DATA]])</f>
        <v>1900</v>
      </c>
      <c r="K1232" s="36">
        <f>MONTH(RESER3[[#This Row],[DATA]])</f>
        <v>1</v>
      </c>
      <c r="L1232" s="36">
        <f>DAY(RESER3[[#This Row],[DATA]])</f>
        <v>0</v>
      </c>
      <c r="M1232" s="36"/>
    </row>
    <row r="1233" spans="1:13" x14ac:dyDescent="0.25">
      <c r="A1233" s="36"/>
      <c r="B1233" s="129"/>
      <c r="C1233" s="28"/>
      <c r="D1233" s="36"/>
      <c r="E1233" s="36"/>
      <c r="F1233" s="36"/>
      <c r="G1233" s="36"/>
      <c r="H1233" s="36"/>
      <c r="I1233" s="36"/>
      <c r="J1233" s="36">
        <f>YEAR(RESER3[[#This Row],[DATA]])</f>
        <v>1900</v>
      </c>
      <c r="K1233" s="36">
        <f>MONTH(RESER3[[#This Row],[DATA]])</f>
        <v>1</v>
      </c>
      <c r="L1233" s="36">
        <f>DAY(RESER3[[#This Row],[DATA]])</f>
        <v>0</v>
      </c>
      <c r="M1233" s="36"/>
    </row>
    <row r="1234" spans="1:13" x14ac:dyDescent="0.25">
      <c r="A1234" s="36"/>
      <c r="B1234" s="129"/>
      <c r="C1234" s="28"/>
      <c r="D1234" s="36"/>
      <c r="E1234" s="36"/>
      <c r="F1234" s="36"/>
      <c r="G1234" s="36"/>
      <c r="H1234" s="36"/>
      <c r="I1234" s="36"/>
      <c r="J1234" s="36">
        <f>YEAR(RESER3[[#This Row],[DATA]])</f>
        <v>1900</v>
      </c>
      <c r="K1234" s="36">
        <f>MONTH(RESER3[[#This Row],[DATA]])</f>
        <v>1</v>
      </c>
      <c r="L1234" s="36">
        <f>DAY(RESER3[[#This Row],[DATA]])</f>
        <v>0</v>
      </c>
      <c r="M1234" s="36"/>
    </row>
    <row r="1235" spans="1:13" x14ac:dyDescent="0.25">
      <c r="A1235" s="36"/>
      <c r="B1235" s="129"/>
      <c r="C1235" s="28"/>
      <c r="D1235" s="36"/>
      <c r="E1235" s="36"/>
      <c r="F1235" s="36"/>
      <c r="G1235" s="36"/>
      <c r="H1235" s="36"/>
      <c r="I1235" s="36"/>
      <c r="J1235" s="36">
        <f>YEAR(RESER3[[#This Row],[DATA]])</f>
        <v>1900</v>
      </c>
      <c r="K1235" s="36">
        <f>MONTH(RESER3[[#This Row],[DATA]])</f>
        <v>1</v>
      </c>
      <c r="L1235" s="36">
        <f>DAY(RESER3[[#This Row],[DATA]])</f>
        <v>0</v>
      </c>
      <c r="M1235" s="36"/>
    </row>
    <row r="1236" spans="1:13" x14ac:dyDescent="0.25">
      <c r="A1236" s="36"/>
      <c r="B1236" s="129"/>
      <c r="C1236" s="28"/>
      <c r="D1236" s="36"/>
      <c r="E1236" s="36"/>
      <c r="F1236" s="36"/>
      <c r="G1236" s="36"/>
      <c r="H1236" s="36"/>
      <c r="I1236" s="36"/>
      <c r="J1236" s="36">
        <f>YEAR(RESER3[[#This Row],[DATA]])</f>
        <v>1900</v>
      </c>
      <c r="K1236" s="36">
        <f>MONTH(RESER3[[#This Row],[DATA]])</f>
        <v>1</v>
      </c>
      <c r="L1236" s="36">
        <f>DAY(RESER3[[#This Row],[DATA]])</f>
        <v>0</v>
      </c>
      <c r="M1236" s="36"/>
    </row>
    <row r="1237" spans="1:13" x14ac:dyDescent="0.25">
      <c r="A1237" s="36"/>
      <c r="B1237" s="129"/>
      <c r="C1237" s="28"/>
      <c r="D1237" s="36"/>
      <c r="E1237" s="36"/>
      <c r="F1237" s="36"/>
      <c r="G1237" s="36"/>
      <c r="H1237" s="36"/>
      <c r="I1237" s="36"/>
      <c r="J1237" s="36">
        <f>YEAR(RESER3[[#This Row],[DATA]])</f>
        <v>1900</v>
      </c>
      <c r="K1237" s="36">
        <f>MONTH(RESER3[[#This Row],[DATA]])</f>
        <v>1</v>
      </c>
      <c r="L1237" s="36">
        <f>DAY(RESER3[[#This Row],[DATA]])</f>
        <v>0</v>
      </c>
      <c r="M1237" s="36"/>
    </row>
    <row r="1238" spans="1:13" x14ac:dyDescent="0.25">
      <c r="A1238" s="36"/>
      <c r="B1238" s="129"/>
      <c r="C1238" s="28"/>
      <c r="D1238" s="36"/>
      <c r="E1238" s="36"/>
      <c r="F1238" s="36"/>
      <c r="G1238" s="36"/>
      <c r="H1238" s="36"/>
      <c r="I1238" s="36"/>
      <c r="J1238" s="36">
        <f>YEAR(RESER3[[#This Row],[DATA]])</f>
        <v>1900</v>
      </c>
      <c r="K1238" s="36">
        <f>MONTH(RESER3[[#This Row],[DATA]])</f>
        <v>1</v>
      </c>
      <c r="L1238" s="36">
        <f>DAY(RESER3[[#This Row],[DATA]])</f>
        <v>0</v>
      </c>
      <c r="M1238" s="36"/>
    </row>
    <row r="1239" spans="1:13" x14ac:dyDescent="0.25">
      <c r="A1239" s="36"/>
      <c r="B1239" s="129"/>
      <c r="C1239" s="28"/>
      <c r="D1239" s="36"/>
      <c r="E1239" s="36"/>
      <c r="F1239" s="36"/>
      <c r="G1239" s="36"/>
      <c r="H1239" s="36"/>
      <c r="I1239" s="36"/>
      <c r="J1239" s="36">
        <f>YEAR(RESER3[[#This Row],[DATA]])</f>
        <v>1900</v>
      </c>
      <c r="K1239" s="36">
        <f>MONTH(RESER3[[#This Row],[DATA]])</f>
        <v>1</v>
      </c>
      <c r="L1239" s="36">
        <f>DAY(RESER3[[#This Row],[DATA]])</f>
        <v>0</v>
      </c>
      <c r="M1239" s="36"/>
    </row>
    <row r="1240" spans="1:13" x14ac:dyDescent="0.25">
      <c r="A1240" s="36"/>
      <c r="B1240" s="129"/>
      <c r="C1240" s="28"/>
      <c r="D1240" s="36"/>
      <c r="E1240" s="36"/>
      <c r="F1240" s="36"/>
      <c r="G1240" s="36"/>
      <c r="H1240" s="36"/>
      <c r="I1240" s="36"/>
      <c r="J1240" s="36">
        <f>YEAR(RESER3[[#This Row],[DATA]])</f>
        <v>1900</v>
      </c>
      <c r="K1240" s="36">
        <f>MONTH(RESER3[[#This Row],[DATA]])</f>
        <v>1</v>
      </c>
      <c r="L1240" s="36">
        <f>DAY(RESER3[[#This Row],[DATA]])</f>
        <v>0</v>
      </c>
      <c r="M1240" s="36"/>
    </row>
    <row r="1241" spans="1:13" x14ac:dyDescent="0.25">
      <c r="A1241" s="36"/>
      <c r="B1241" s="129"/>
      <c r="C1241" s="28"/>
      <c r="D1241" s="36"/>
      <c r="E1241" s="36"/>
      <c r="F1241" s="36"/>
      <c r="G1241" s="36"/>
      <c r="H1241" s="36"/>
      <c r="I1241" s="36"/>
      <c r="J1241" s="36">
        <f>YEAR(RESER3[[#This Row],[DATA]])</f>
        <v>1900</v>
      </c>
      <c r="K1241" s="36">
        <f>MONTH(RESER3[[#This Row],[DATA]])</f>
        <v>1</v>
      </c>
      <c r="L1241" s="36">
        <f>DAY(RESER3[[#This Row],[DATA]])</f>
        <v>0</v>
      </c>
      <c r="M1241" s="36"/>
    </row>
    <row r="1242" spans="1:13" x14ac:dyDescent="0.25">
      <c r="A1242" s="36"/>
      <c r="B1242" s="129"/>
      <c r="C1242" s="28"/>
      <c r="D1242" s="36"/>
      <c r="E1242" s="36"/>
      <c r="F1242" s="36"/>
      <c r="G1242" s="36"/>
      <c r="H1242" s="36"/>
      <c r="I1242" s="36"/>
      <c r="J1242" s="36">
        <f>YEAR(RESER3[[#This Row],[DATA]])</f>
        <v>1900</v>
      </c>
      <c r="K1242" s="36">
        <f>MONTH(RESER3[[#This Row],[DATA]])</f>
        <v>1</v>
      </c>
      <c r="L1242" s="36">
        <f>DAY(RESER3[[#This Row],[DATA]])</f>
        <v>0</v>
      </c>
      <c r="M1242" s="36"/>
    </row>
    <row r="1243" spans="1:13" x14ac:dyDescent="0.25">
      <c r="A1243" s="36"/>
      <c r="B1243" s="129"/>
      <c r="C1243" s="28"/>
      <c r="D1243" s="36"/>
      <c r="E1243" s="36"/>
      <c r="F1243" s="36"/>
      <c r="G1243" s="36"/>
      <c r="H1243" s="36"/>
      <c r="I1243" s="36"/>
      <c r="J1243" s="36">
        <f>YEAR(RESER3[[#This Row],[DATA]])</f>
        <v>1900</v>
      </c>
      <c r="K1243" s="36">
        <f>MONTH(RESER3[[#This Row],[DATA]])</f>
        <v>1</v>
      </c>
      <c r="L1243" s="36">
        <f>DAY(RESER3[[#This Row],[DATA]])</f>
        <v>0</v>
      </c>
      <c r="M1243" s="36"/>
    </row>
    <row r="1244" spans="1:13" x14ac:dyDescent="0.25">
      <c r="A1244" s="36"/>
      <c r="B1244" s="129"/>
      <c r="C1244" s="28"/>
      <c r="D1244" s="36"/>
      <c r="E1244" s="36"/>
      <c r="F1244" s="36"/>
      <c r="G1244" s="36"/>
      <c r="H1244" s="36"/>
      <c r="I1244" s="36"/>
      <c r="J1244" s="36">
        <f>YEAR(RESER3[[#This Row],[DATA]])</f>
        <v>1900</v>
      </c>
      <c r="K1244" s="36">
        <f>MONTH(RESER3[[#This Row],[DATA]])</f>
        <v>1</v>
      </c>
      <c r="L1244" s="36">
        <f>DAY(RESER3[[#This Row],[DATA]])</f>
        <v>0</v>
      </c>
      <c r="M1244" s="36"/>
    </row>
    <row r="1245" spans="1:13" x14ac:dyDescent="0.25">
      <c r="A1245" s="36"/>
      <c r="B1245" s="129"/>
      <c r="C1245" s="28"/>
      <c r="D1245" s="36"/>
      <c r="E1245" s="36"/>
      <c r="F1245" s="36"/>
      <c r="G1245" s="36"/>
      <c r="H1245" s="36"/>
      <c r="I1245" s="36"/>
      <c r="J1245" s="36">
        <f>YEAR(RESER3[[#This Row],[DATA]])</f>
        <v>1900</v>
      </c>
      <c r="K1245" s="36">
        <f>MONTH(RESER3[[#This Row],[DATA]])</f>
        <v>1</v>
      </c>
      <c r="L1245" s="36">
        <f>DAY(RESER3[[#This Row],[DATA]])</f>
        <v>0</v>
      </c>
      <c r="M1245" s="36"/>
    </row>
    <row r="1246" spans="1:13" x14ac:dyDescent="0.25">
      <c r="A1246" s="36"/>
      <c r="B1246" s="129"/>
      <c r="C1246" s="29"/>
      <c r="D1246" s="36"/>
      <c r="E1246" s="36"/>
      <c r="F1246" s="36"/>
      <c r="G1246" s="36"/>
      <c r="H1246" s="36"/>
      <c r="I1246" s="36"/>
      <c r="J1246" s="36">
        <f>YEAR(RESER3[[#This Row],[DATA]])</f>
        <v>1900</v>
      </c>
      <c r="K1246" s="36">
        <f>MONTH(RESER3[[#This Row],[DATA]])</f>
        <v>1</v>
      </c>
      <c r="L1246" s="36">
        <f>DAY(RESER3[[#This Row],[DATA]])</f>
        <v>0</v>
      </c>
      <c r="M1246" s="36"/>
    </row>
    <row r="1247" spans="1:13" x14ac:dyDescent="0.25">
      <c r="A1247" s="36"/>
      <c r="B1247" s="129"/>
      <c r="C1247" s="28"/>
      <c r="D1247" s="36"/>
      <c r="E1247" s="36"/>
      <c r="F1247" s="36"/>
      <c r="G1247" s="36"/>
      <c r="H1247" s="36"/>
      <c r="I1247" s="36"/>
      <c r="J1247" s="36">
        <f>YEAR(RESER3[[#This Row],[DATA]])</f>
        <v>1900</v>
      </c>
      <c r="K1247" s="36">
        <f>MONTH(RESER3[[#This Row],[DATA]])</f>
        <v>1</v>
      </c>
      <c r="L1247" s="36">
        <f>DAY(RESER3[[#This Row],[DATA]])</f>
        <v>0</v>
      </c>
      <c r="M1247" s="36"/>
    </row>
    <row r="1248" spans="1:13" x14ac:dyDescent="0.25">
      <c r="A1248" s="36"/>
      <c r="B1248" s="129"/>
      <c r="C1248" s="28"/>
      <c r="D1248" s="36"/>
      <c r="E1248" s="36"/>
      <c r="F1248" s="36"/>
      <c r="G1248" s="36"/>
      <c r="H1248" s="36"/>
      <c r="I1248" s="36"/>
      <c r="J1248" s="36">
        <f>YEAR(RESER3[[#This Row],[DATA]])</f>
        <v>1900</v>
      </c>
      <c r="K1248" s="36">
        <f>MONTH(RESER3[[#This Row],[DATA]])</f>
        <v>1</v>
      </c>
      <c r="L1248" s="36">
        <f>DAY(RESER3[[#This Row],[DATA]])</f>
        <v>0</v>
      </c>
      <c r="M1248" s="36"/>
    </row>
    <row r="1249" spans="1:13" x14ac:dyDescent="0.25">
      <c r="A1249" s="36"/>
      <c r="B1249" s="129"/>
      <c r="C1249" s="28"/>
      <c r="D1249" s="36"/>
      <c r="E1249" s="36"/>
      <c r="F1249" s="36"/>
      <c r="G1249" s="36"/>
      <c r="H1249" s="36"/>
      <c r="I1249" s="36"/>
      <c r="J1249" s="36">
        <f>YEAR(RESER3[[#This Row],[DATA]])</f>
        <v>1900</v>
      </c>
      <c r="K1249" s="36">
        <f>MONTH(RESER3[[#This Row],[DATA]])</f>
        <v>1</v>
      </c>
      <c r="L1249" s="36">
        <f>DAY(RESER3[[#This Row],[DATA]])</f>
        <v>0</v>
      </c>
      <c r="M1249" s="36"/>
    </row>
    <row r="1250" spans="1:13" x14ac:dyDescent="0.25">
      <c r="A1250" s="36"/>
      <c r="B1250" s="129"/>
      <c r="C1250" s="28"/>
      <c r="D1250" s="36"/>
      <c r="E1250" s="36"/>
      <c r="F1250" s="36"/>
      <c r="G1250" s="36"/>
      <c r="H1250" s="36"/>
      <c r="I1250" s="36"/>
      <c r="J1250" s="36">
        <f>YEAR(RESER3[[#This Row],[DATA]])</f>
        <v>1900</v>
      </c>
      <c r="K1250" s="36">
        <f>MONTH(RESER3[[#This Row],[DATA]])</f>
        <v>1</v>
      </c>
      <c r="L1250" s="36">
        <f>DAY(RESER3[[#This Row],[DATA]])</f>
        <v>0</v>
      </c>
      <c r="M1250" s="36"/>
    </row>
    <row r="1251" spans="1:13" x14ac:dyDescent="0.25">
      <c r="A1251" s="36"/>
      <c r="B1251" s="129"/>
      <c r="C1251" s="28"/>
      <c r="D1251" s="36"/>
      <c r="E1251" s="36"/>
      <c r="F1251" s="36"/>
      <c r="G1251" s="36"/>
      <c r="H1251" s="36"/>
      <c r="I1251" s="36"/>
      <c r="J1251" s="36">
        <f>YEAR(RESER3[[#This Row],[DATA]])</f>
        <v>1900</v>
      </c>
      <c r="K1251" s="36">
        <f>MONTH(RESER3[[#This Row],[DATA]])</f>
        <v>1</v>
      </c>
      <c r="L1251" s="36">
        <f>DAY(RESER3[[#This Row],[DATA]])</f>
        <v>0</v>
      </c>
      <c r="M1251" s="36"/>
    </row>
    <row r="1252" spans="1:13" x14ac:dyDescent="0.25">
      <c r="A1252" s="36"/>
      <c r="B1252" s="129"/>
      <c r="C1252" s="28"/>
      <c r="D1252" s="36"/>
      <c r="E1252" s="36"/>
      <c r="F1252" s="36"/>
      <c r="G1252" s="36"/>
      <c r="H1252" s="36"/>
      <c r="I1252" s="36"/>
      <c r="J1252" s="36">
        <f>YEAR(RESER3[[#This Row],[DATA]])</f>
        <v>1900</v>
      </c>
      <c r="K1252" s="36">
        <f>MONTH(RESER3[[#This Row],[DATA]])</f>
        <v>1</v>
      </c>
      <c r="L1252" s="36">
        <f>DAY(RESER3[[#This Row],[DATA]])</f>
        <v>0</v>
      </c>
      <c r="M1252" s="36"/>
    </row>
    <row r="1253" spans="1:13" x14ac:dyDescent="0.25">
      <c r="A1253" s="36"/>
      <c r="B1253" s="129"/>
      <c r="C1253" s="28"/>
      <c r="D1253" s="36"/>
      <c r="E1253" s="36"/>
      <c r="F1253" s="36"/>
      <c r="G1253" s="36"/>
      <c r="H1253" s="36"/>
      <c r="I1253" s="36"/>
      <c r="J1253" s="36">
        <f>YEAR(RESER3[[#This Row],[DATA]])</f>
        <v>1900</v>
      </c>
      <c r="K1253" s="36">
        <f>MONTH(RESER3[[#This Row],[DATA]])</f>
        <v>1</v>
      </c>
      <c r="L1253" s="36">
        <f>DAY(RESER3[[#This Row],[DATA]])</f>
        <v>0</v>
      </c>
      <c r="M1253" s="36"/>
    </row>
    <row r="1254" spans="1:13" x14ac:dyDescent="0.25">
      <c r="A1254" s="36"/>
      <c r="B1254" s="129"/>
      <c r="C1254" s="28"/>
      <c r="D1254" s="36"/>
      <c r="E1254" s="36"/>
      <c r="F1254" s="36"/>
      <c r="G1254" s="36"/>
      <c r="H1254" s="36"/>
      <c r="I1254" s="36"/>
      <c r="J1254" s="36">
        <f>YEAR(RESER3[[#This Row],[DATA]])</f>
        <v>1900</v>
      </c>
      <c r="K1254" s="36">
        <f>MONTH(RESER3[[#This Row],[DATA]])</f>
        <v>1</v>
      </c>
      <c r="L1254" s="36">
        <f>DAY(RESER3[[#This Row],[DATA]])</f>
        <v>0</v>
      </c>
      <c r="M1254" s="36"/>
    </row>
    <row r="1255" spans="1:13" x14ac:dyDescent="0.25">
      <c r="A1255" s="36"/>
      <c r="B1255" s="129"/>
      <c r="C1255" s="28"/>
      <c r="D1255" s="36"/>
      <c r="E1255" s="36"/>
      <c r="F1255" s="36"/>
      <c r="G1255" s="36"/>
      <c r="H1255" s="36"/>
      <c r="I1255" s="36"/>
      <c r="J1255" s="36">
        <f>YEAR(RESER3[[#This Row],[DATA]])</f>
        <v>1900</v>
      </c>
      <c r="K1255" s="36">
        <f>MONTH(RESER3[[#This Row],[DATA]])</f>
        <v>1</v>
      </c>
      <c r="L1255" s="36">
        <f>DAY(RESER3[[#This Row],[DATA]])</f>
        <v>0</v>
      </c>
      <c r="M1255" s="36"/>
    </row>
    <row r="1256" spans="1:13" x14ac:dyDescent="0.25">
      <c r="A1256" s="36"/>
      <c r="B1256" s="129"/>
      <c r="C1256" s="28"/>
      <c r="D1256" s="36"/>
      <c r="E1256" s="36"/>
      <c r="F1256" s="36"/>
      <c r="G1256" s="36"/>
      <c r="H1256" s="36"/>
      <c r="I1256" s="36"/>
      <c r="J1256" s="36">
        <f>YEAR(RESER3[[#This Row],[DATA]])</f>
        <v>1900</v>
      </c>
      <c r="K1256" s="36">
        <f>MONTH(RESER3[[#This Row],[DATA]])</f>
        <v>1</v>
      </c>
      <c r="L1256" s="36">
        <f>DAY(RESER3[[#This Row],[DATA]])</f>
        <v>0</v>
      </c>
      <c r="M1256" s="36"/>
    </row>
    <row r="1257" spans="1:13" x14ac:dyDescent="0.25">
      <c r="A1257" s="36"/>
      <c r="B1257" s="129"/>
      <c r="C1257" s="28"/>
      <c r="D1257" s="36"/>
      <c r="E1257" s="36"/>
      <c r="F1257" s="36"/>
      <c r="G1257" s="36"/>
      <c r="H1257" s="36"/>
      <c r="I1257" s="36"/>
      <c r="J1257" s="36">
        <f>YEAR(RESER3[[#This Row],[DATA]])</f>
        <v>1900</v>
      </c>
      <c r="K1257" s="36">
        <f>MONTH(RESER3[[#This Row],[DATA]])</f>
        <v>1</v>
      </c>
      <c r="L1257" s="36">
        <f>DAY(RESER3[[#This Row],[DATA]])</f>
        <v>0</v>
      </c>
      <c r="M1257" s="36"/>
    </row>
    <row r="1258" spans="1:13" x14ac:dyDescent="0.25">
      <c r="A1258" s="36"/>
      <c r="B1258" s="129"/>
      <c r="C1258" s="28"/>
      <c r="D1258" s="36"/>
      <c r="E1258" s="36"/>
      <c r="F1258" s="36"/>
      <c r="G1258" s="36"/>
      <c r="H1258" s="36"/>
      <c r="I1258" s="36"/>
      <c r="J1258" s="36">
        <f>YEAR(RESER3[[#This Row],[DATA]])</f>
        <v>1900</v>
      </c>
      <c r="K1258" s="36">
        <f>MONTH(RESER3[[#This Row],[DATA]])</f>
        <v>1</v>
      </c>
      <c r="L1258" s="36">
        <f>DAY(RESER3[[#This Row],[DATA]])</f>
        <v>0</v>
      </c>
      <c r="M1258" s="36"/>
    </row>
    <row r="1259" spans="1:13" x14ac:dyDescent="0.25">
      <c r="A1259" s="36"/>
      <c r="B1259" s="129"/>
      <c r="C1259" s="28"/>
      <c r="D1259" s="36"/>
      <c r="E1259" s="36"/>
      <c r="F1259" s="36"/>
      <c r="G1259" s="36"/>
      <c r="H1259" s="36"/>
      <c r="I1259" s="36"/>
      <c r="J1259" s="36">
        <f>YEAR(RESER3[[#This Row],[DATA]])</f>
        <v>1900</v>
      </c>
      <c r="K1259" s="36">
        <f>MONTH(RESER3[[#This Row],[DATA]])</f>
        <v>1</v>
      </c>
      <c r="L1259" s="36">
        <f>DAY(RESER3[[#This Row],[DATA]])</f>
        <v>0</v>
      </c>
      <c r="M1259" s="36"/>
    </row>
    <row r="1260" spans="1:13" x14ac:dyDescent="0.25">
      <c r="A1260" s="36"/>
      <c r="B1260" s="129"/>
      <c r="C1260" s="28"/>
      <c r="D1260" s="36"/>
      <c r="E1260" s="36"/>
      <c r="F1260" s="36"/>
      <c r="G1260" s="36"/>
      <c r="H1260" s="36"/>
      <c r="I1260" s="36"/>
      <c r="J1260" s="36">
        <f>YEAR(RESER3[[#This Row],[DATA]])</f>
        <v>1900</v>
      </c>
      <c r="K1260" s="36">
        <f>MONTH(RESER3[[#This Row],[DATA]])</f>
        <v>1</v>
      </c>
      <c r="L1260" s="36">
        <f>DAY(RESER3[[#This Row],[DATA]])</f>
        <v>0</v>
      </c>
      <c r="M1260" s="36"/>
    </row>
    <row r="1261" spans="1:13" x14ac:dyDescent="0.25">
      <c r="A1261" s="36"/>
      <c r="B1261" s="129"/>
      <c r="C1261" s="28"/>
      <c r="D1261" s="36"/>
      <c r="E1261" s="36"/>
      <c r="F1261" s="36"/>
      <c r="G1261" s="36"/>
      <c r="H1261" s="36"/>
      <c r="I1261" s="36"/>
      <c r="J1261" s="36">
        <f>YEAR(RESER3[[#This Row],[DATA]])</f>
        <v>1900</v>
      </c>
      <c r="K1261" s="36">
        <f>MONTH(RESER3[[#This Row],[DATA]])</f>
        <v>1</v>
      </c>
      <c r="L1261" s="36">
        <f>DAY(RESER3[[#This Row],[DATA]])</f>
        <v>0</v>
      </c>
      <c r="M1261" s="36"/>
    </row>
    <row r="1262" spans="1:13" x14ac:dyDescent="0.25">
      <c r="A1262" s="36"/>
      <c r="B1262" s="129"/>
      <c r="C1262" s="28"/>
      <c r="D1262" s="36"/>
      <c r="E1262" s="36"/>
      <c r="F1262" s="36"/>
      <c r="G1262" s="36"/>
      <c r="H1262" s="36"/>
      <c r="I1262" s="36"/>
      <c r="J1262" s="36">
        <f>YEAR(RESER3[[#This Row],[DATA]])</f>
        <v>1900</v>
      </c>
      <c r="K1262" s="36">
        <f>MONTH(RESER3[[#This Row],[DATA]])</f>
        <v>1</v>
      </c>
      <c r="L1262" s="36">
        <f>DAY(RESER3[[#This Row],[DATA]])</f>
        <v>0</v>
      </c>
      <c r="M1262" s="36"/>
    </row>
    <row r="1263" spans="1:13" x14ac:dyDescent="0.25">
      <c r="A1263" s="36"/>
      <c r="B1263" s="129"/>
      <c r="C1263" s="28"/>
      <c r="D1263" s="36"/>
      <c r="E1263" s="36"/>
      <c r="F1263" s="36"/>
      <c r="G1263" s="36"/>
      <c r="H1263" s="36"/>
      <c r="I1263" s="36"/>
      <c r="J1263" s="36">
        <f>YEAR(RESER3[[#This Row],[DATA]])</f>
        <v>1900</v>
      </c>
      <c r="K1263" s="36">
        <f>MONTH(RESER3[[#This Row],[DATA]])</f>
        <v>1</v>
      </c>
      <c r="L1263" s="36">
        <f>DAY(RESER3[[#This Row],[DATA]])</f>
        <v>0</v>
      </c>
      <c r="M1263" s="36"/>
    </row>
    <row r="1264" spans="1:13" x14ac:dyDescent="0.25">
      <c r="A1264" s="36"/>
      <c r="B1264" s="129"/>
      <c r="C1264" s="28"/>
      <c r="D1264" s="36"/>
      <c r="E1264" s="36"/>
      <c r="F1264" s="36"/>
      <c r="G1264" s="36"/>
      <c r="H1264" s="36"/>
      <c r="I1264" s="36"/>
      <c r="J1264" s="36">
        <f>YEAR(RESER3[[#This Row],[DATA]])</f>
        <v>1900</v>
      </c>
      <c r="K1264" s="36">
        <f>MONTH(RESER3[[#This Row],[DATA]])</f>
        <v>1</v>
      </c>
      <c r="L1264" s="36">
        <f>DAY(RESER3[[#This Row],[DATA]])</f>
        <v>0</v>
      </c>
      <c r="M1264" s="36"/>
    </row>
    <row r="1265" spans="1:13" x14ac:dyDescent="0.25">
      <c r="A1265" s="36"/>
      <c r="B1265" s="129"/>
      <c r="C1265" s="28"/>
      <c r="D1265" s="36"/>
      <c r="E1265" s="36"/>
      <c r="F1265" s="36"/>
      <c r="G1265" s="36"/>
      <c r="H1265" s="36"/>
      <c r="I1265" s="36"/>
      <c r="J1265" s="36">
        <f>YEAR(RESER3[[#This Row],[DATA]])</f>
        <v>1900</v>
      </c>
      <c r="K1265" s="36">
        <f>MONTH(RESER3[[#This Row],[DATA]])</f>
        <v>1</v>
      </c>
      <c r="L1265" s="36">
        <f>DAY(RESER3[[#This Row],[DATA]])</f>
        <v>0</v>
      </c>
      <c r="M1265" s="36"/>
    </row>
    <row r="1266" spans="1:13" x14ac:dyDescent="0.25">
      <c r="A1266" s="36"/>
      <c r="B1266" s="129"/>
      <c r="C1266" s="28"/>
      <c r="D1266" s="36"/>
      <c r="E1266" s="36"/>
      <c r="F1266" s="36"/>
      <c r="G1266" s="36"/>
      <c r="H1266" s="36"/>
      <c r="I1266" s="36"/>
      <c r="J1266" s="36">
        <f>YEAR(RESER3[[#This Row],[DATA]])</f>
        <v>1900</v>
      </c>
      <c r="K1266" s="36">
        <f>MONTH(RESER3[[#This Row],[DATA]])</f>
        <v>1</v>
      </c>
      <c r="L1266" s="36">
        <f>DAY(RESER3[[#This Row],[DATA]])</f>
        <v>0</v>
      </c>
      <c r="M1266" s="36"/>
    </row>
    <row r="1267" spans="1:13" x14ac:dyDescent="0.25">
      <c r="A1267" s="36"/>
      <c r="B1267" s="129"/>
      <c r="C1267" s="28"/>
      <c r="D1267" s="36"/>
      <c r="E1267" s="36"/>
      <c r="F1267" s="36"/>
      <c r="G1267" s="36"/>
      <c r="H1267" s="36"/>
      <c r="I1267" s="36"/>
      <c r="J1267" s="36">
        <f>YEAR(RESER3[[#This Row],[DATA]])</f>
        <v>1900</v>
      </c>
      <c r="K1267" s="36">
        <f>MONTH(RESER3[[#This Row],[DATA]])</f>
        <v>1</v>
      </c>
      <c r="L1267" s="36">
        <f>DAY(RESER3[[#This Row],[DATA]])</f>
        <v>0</v>
      </c>
      <c r="M1267" s="36"/>
    </row>
    <row r="1268" spans="1:13" x14ac:dyDescent="0.25">
      <c r="A1268" s="36"/>
      <c r="B1268" s="129"/>
      <c r="C1268" s="28"/>
      <c r="D1268" s="36"/>
      <c r="E1268" s="36"/>
      <c r="F1268" s="36"/>
      <c r="G1268" s="36"/>
      <c r="H1268" s="36"/>
      <c r="I1268" s="36"/>
      <c r="J1268" s="36">
        <f>YEAR(RESER3[[#This Row],[DATA]])</f>
        <v>1900</v>
      </c>
      <c r="K1268" s="36">
        <f>MONTH(RESER3[[#This Row],[DATA]])</f>
        <v>1</v>
      </c>
      <c r="L1268" s="36">
        <f>DAY(RESER3[[#This Row],[DATA]])</f>
        <v>0</v>
      </c>
      <c r="M1268" s="36"/>
    </row>
    <row r="1269" spans="1:13" x14ac:dyDescent="0.25">
      <c r="A1269" s="36"/>
      <c r="B1269" s="129"/>
      <c r="C1269" s="28"/>
      <c r="D1269" s="36"/>
      <c r="E1269" s="36"/>
      <c r="F1269" s="36"/>
      <c r="G1269" s="36"/>
      <c r="H1269" s="36"/>
      <c r="I1269" s="36"/>
      <c r="J1269" s="36">
        <f>YEAR(RESER3[[#This Row],[DATA]])</f>
        <v>1900</v>
      </c>
      <c r="K1269" s="36">
        <f>MONTH(RESER3[[#This Row],[DATA]])</f>
        <v>1</v>
      </c>
      <c r="L1269" s="36">
        <f>DAY(RESER3[[#This Row],[DATA]])</f>
        <v>0</v>
      </c>
      <c r="M1269" s="36"/>
    </row>
    <row r="1270" spans="1:13" x14ac:dyDescent="0.25">
      <c r="A1270" s="36"/>
      <c r="B1270" s="129"/>
      <c r="C1270" s="28"/>
      <c r="D1270" s="36"/>
      <c r="E1270" s="36"/>
      <c r="F1270" s="36"/>
      <c r="G1270" s="36"/>
      <c r="H1270" s="36"/>
      <c r="I1270" s="36"/>
      <c r="J1270" s="36">
        <f>YEAR(RESER3[[#This Row],[DATA]])</f>
        <v>1900</v>
      </c>
      <c r="K1270" s="36">
        <f>MONTH(RESER3[[#This Row],[DATA]])</f>
        <v>1</v>
      </c>
      <c r="L1270" s="36">
        <f>DAY(RESER3[[#This Row],[DATA]])</f>
        <v>0</v>
      </c>
      <c r="M1270" s="36"/>
    </row>
    <row r="1271" spans="1:13" x14ac:dyDescent="0.25">
      <c r="A1271" s="36"/>
      <c r="B1271" s="129"/>
      <c r="C1271" s="28"/>
      <c r="D1271" s="36"/>
      <c r="E1271" s="36"/>
      <c r="F1271" s="36"/>
      <c r="G1271" s="36"/>
      <c r="H1271" s="36"/>
      <c r="I1271" s="36"/>
      <c r="J1271" s="36">
        <f>YEAR(RESER3[[#This Row],[DATA]])</f>
        <v>1900</v>
      </c>
      <c r="K1271" s="36">
        <f>MONTH(RESER3[[#This Row],[DATA]])</f>
        <v>1</v>
      </c>
      <c r="L1271" s="36">
        <f>DAY(RESER3[[#This Row],[DATA]])</f>
        <v>0</v>
      </c>
      <c r="M1271" s="36"/>
    </row>
    <row r="1272" spans="1:13" x14ac:dyDescent="0.25">
      <c r="A1272" s="36"/>
      <c r="B1272" s="129"/>
      <c r="C1272" s="28"/>
      <c r="D1272" s="36"/>
      <c r="E1272" s="36"/>
      <c r="F1272" s="36"/>
      <c r="G1272" s="36"/>
      <c r="H1272" s="36"/>
      <c r="I1272" s="36"/>
      <c r="J1272" s="36">
        <f>YEAR(RESER3[[#This Row],[DATA]])</f>
        <v>1900</v>
      </c>
      <c r="K1272" s="36">
        <f>MONTH(RESER3[[#This Row],[DATA]])</f>
        <v>1</v>
      </c>
      <c r="L1272" s="36">
        <f>DAY(RESER3[[#This Row],[DATA]])</f>
        <v>0</v>
      </c>
      <c r="M1272" s="36"/>
    </row>
    <row r="1273" spans="1:13" x14ac:dyDescent="0.25">
      <c r="A1273" s="36"/>
      <c r="B1273" s="129"/>
      <c r="C1273" s="28"/>
      <c r="D1273" s="36"/>
      <c r="E1273" s="36"/>
      <c r="F1273" s="36"/>
      <c r="G1273" s="36"/>
      <c r="H1273" s="36"/>
      <c r="I1273" s="36"/>
      <c r="J1273" s="36">
        <f>YEAR(RESER3[[#This Row],[DATA]])</f>
        <v>1900</v>
      </c>
      <c r="K1273" s="36">
        <f>MONTH(RESER3[[#This Row],[DATA]])</f>
        <v>1</v>
      </c>
      <c r="L1273" s="36">
        <f>DAY(RESER3[[#This Row],[DATA]])</f>
        <v>0</v>
      </c>
      <c r="M1273" s="36"/>
    </row>
    <row r="1274" spans="1:13" x14ac:dyDescent="0.25">
      <c r="A1274" s="36"/>
      <c r="B1274" s="129"/>
      <c r="C1274" s="28"/>
      <c r="D1274" s="36"/>
      <c r="E1274" s="36"/>
      <c r="F1274" s="36"/>
      <c r="G1274" s="36"/>
      <c r="H1274" s="36"/>
      <c r="I1274" s="36"/>
      <c r="J1274" s="36">
        <f>YEAR(RESER3[[#This Row],[DATA]])</f>
        <v>1900</v>
      </c>
      <c r="K1274" s="36">
        <f>MONTH(RESER3[[#This Row],[DATA]])</f>
        <v>1</v>
      </c>
      <c r="L1274" s="36">
        <f>DAY(RESER3[[#This Row],[DATA]])</f>
        <v>0</v>
      </c>
      <c r="M1274" s="36"/>
    </row>
    <row r="1275" spans="1:13" x14ac:dyDescent="0.25">
      <c r="A1275" s="36"/>
      <c r="B1275" s="129"/>
      <c r="C1275" s="28"/>
      <c r="D1275" s="36"/>
      <c r="E1275" s="36"/>
      <c r="F1275" s="36"/>
      <c r="G1275" s="36"/>
      <c r="H1275" s="36"/>
      <c r="I1275" s="36"/>
      <c r="J1275" s="36">
        <f>YEAR(RESER3[[#This Row],[DATA]])</f>
        <v>1900</v>
      </c>
      <c r="K1275" s="36">
        <f>MONTH(RESER3[[#This Row],[DATA]])</f>
        <v>1</v>
      </c>
      <c r="L1275" s="36">
        <f>DAY(RESER3[[#This Row],[DATA]])</f>
        <v>0</v>
      </c>
      <c r="M1275" s="36"/>
    </row>
    <row r="1276" spans="1:13" x14ac:dyDescent="0.25">
      <c r="A1276" s="36"/>
      <c r="B1276" s="129"/>
      <c r="C1276" s="28"/>
      <c r="D1276" s="36"/>
      <c r="E1276" s="36"/>
      <c r="F1276" s="36"/>
      <c r="G1276" s="36"/>
      <c r="H1276" s="36"/>
      <c r="I1276" s="36"/>
      <c r="J1276" s="36">
        <f>YEAR(RESER3[[#This Row],[DATA]])</f>
        <v>1900</v>
      </c>
      <c r="K1276" s="36">
        <f>MONTH(RESER3[[#This Row],[DATA]])</f>
        <v>1</v>
      </c>
      <c r="L1276" s="36">
        <f>DAY(RESER3[[#This Row],[DATA]])</f>
        <v>0</v>
      </c>
      <c r="M1276" s="36"/>
    </row>
    <row r="1277" spans="1:13" x14ac:dyDescent="0.25">
      <c r="A1277" s="36"/>
      <c r="B1277" s="129"/>
      <c r="C1277" s="28"/>
      <c r="D1277" s="36"/>
      <c r="E1277" s="36"/>
      <c r="F1277" s="36"/>
      <c r="G1277" s="36"/>
      <c r="H1277" s="36"/>
      <c r="I1277" s="36"/>
      <c r="J1277" s="36">
        <f>YEAR(RESER3[[#This Row],[DATA]])</f>
        <v>1900</v>
      </c>
      <c r="K1277" s="36">
        <f>MONTH(RESER3[[#This Row],[DATA]])</f>
        <v>1</v>
      </c>
      <c r="L1277" s="36">
        <f>DAY(RESER3[[#This Row],[DATA]])</f>
        <v>0</v>
      </c>
      <c r="M1277" s="36"/>
    </row>
    <row r="1278" spans="1:13" x14ac:dyDescent="0.25">
      <c r="A1278" s="36"/>
      <c r="B1278" s="129"/>
      <c r="C1278" s="28"/>
      <c r="D1278" s="36"/>
      <c r="E1278" s="36"/>
      <c r="F1278" s="36"/>
      <c r="G1278" s="36"/>
      <c r="H1278" s="36"/>
      <c r="I1278" s="36"/>
      <c r="J1278" s="36">
        <f>YEAR(RESER3[[#This Row],[DATA]])</f>
        <v>1900</v>
      </c>
      <c r="K1278" s="36">
        <f>MONTH(RESER3[[#This Row],[DATA]])</f>
        <v>1</v>
      </c>
      <c r="L1278" s="36">
        <f>DAY(RESER3[[#This Row],[DATA]])</f>
        <v>0</v>
      </c>
      <c r="M1278" s="36"/>
    </row>
    <row r="1279" spans="1:13" x14ac:dyDescent="0.25">
      <c r="A1279" s="36"/>
      <c r="B1279" s="129"/>
      <c r="C1279" s="28"/>
      <c r="D1279" s="36"/>
      <c r="E1279" s="36"/>
      <c r="F1279" s="36"/>
      <c r="G1279" s="36"/>
      <c r="H1279" s="36"/>
      <c r="I1279" s="36"/>
      <c r="J1279" s="36">
        <f>YEAR(RESER3[[#This Row],[DATA]])</f>
        <v>1900</v>
      </c>
      <c r="K1279" s="36">
        <f>MONTH(RESER3[[#This Row],[DATA]])</f>
        <v>1</v>
      </c>
      <c r="L1279" s="36">
        <f>DAY(RESER3[[#This Row],[DATA]])</f>
        <v>0</v>
      </c>
      <c r="M1279" s="36"/>
    </row>
    <row r="1280" spans="1:13" x14ac:dyDescent="0.25">
      <c r="A1280" s="36"/>
      <c r="B1280" s="129"/>
      <c r="C1280" s="28"/>
      <c r="D1280" s="36"/>
      <c r="E1280" s="36"/>
      <c r="F1280" s="36"/>
      <c r="G1280" s="36"/>
      <c r="H1280" s="36"/>
      <c r="I1280" s="36"/>
      <c r="J1280" s="36">
        <f>YEAR(RESER3[[#This Row],[DATA]])</f>
        <v>1900</v>
      </c>
      <c r="K1280" s="36">
        <f>MONTH(RESER3[[#This Row],[DATA]])</f>
        <v>1</v>
      </c>
      <c r="L1280" s="36">
        <f>DAY(RESER3[[#This Row],[DATA]])</f>
        <v>0</v>
      </c>
      <c r="M1280" s="36"/>
    </row>
    <row r="1281" spans="1:13" x14ac:dyDescent="0.25">
      <c r="A1281" s="36"/>
      <c r="B1281" s="129"/>
      <c r="C1281" s="28"/>
      <c r="D1281" s="36"/>
      <c r="E1281" s="36"/>
      <c r="F1281" s="36"/>
      <c r="G1281" s="36"/>
      <c r="H1281" s="36"/>
      <c r="I1281" s="36"/>
      <c r="J1281" s="36">
        <f>YEAR(RESER3[[#This Row],[DATA]])</f>
        <v>1900</v>
      </c>
      <c r="K1281" s="36">
        <f>MONTH(RESER3[[#This Row],[DATA]])</f>
        <v>1</v>
      </c>
      <c r="L1281" s="36">
        <f>DAY(RESER3[[#This Row],[DATA]])</f>
        <v>0</v>
      </c>
      <c r="M1281" s="36"/>
    </row>
    <row r="1282" spans="1:13" x14ac:dyDescent="0.25">
      <c r="A1282" s="36"/>
      <c r="B1282" s="129"/>
      <c r="C1282" s="28"/>
      <c r="D1282" s="36"/>
      <c r="E1282" s="36"/>
      <c r="F1282" s="36"/>
      <c r="G1282" s="36"/>
      <c r="H1282" s="36"/>
      <c r="I1282" s="36"/>
      <c r="J1282" s="36">
        <f>YEAR(RESER3[[#This Row],[DATA]])</f>
        <v>1900</v>
      </c>
      <c r="K1282" s="36">
        <f>MONTH(RESER3[[#This Row],[DATA]])</f>
        <v>1</v>
      </c>
      <c r="L1282" s="36">
        <f>DAY(RESER3[[#This Row],[DATA]])</f>
        <v>0</v>
      </c>
      <c r="M1282" s="36"/>
    </row>
    <row r="1283" spans="1:13" x14ac:dyDescent="0.25">
      <c r="A1283" s="36"/>
      <c r="B1283" s="129"/>
      <c r="C1283" s="28"/>
      <c r="D1283" s="36"/>
      <c r="E1283" s="36"/>
      <c r="F1283" s="36"/>
      <c r="G1283" s="36"/>
      <c r="H1283" s="36"/>
      <c r="I1283" s="36"/>
      <c r="J1283" s="36">
        <f>YEAR(RESER3[[#This Row],[DATA]])</f>
        <v>1900</v>
      </c>
      <c r="K1283" s="36">
        <f>MONTH(RESER3[[#This Row],[DATA]])</f>
        <v>1</v>
      </c>
      <c r="L1283" s="36">
        <f>DAY(RESER3[[#This Row],[DATA]])</f>
        <v>0</v>
      </c>
      <c r="M1283" s="36"/>
    </row>
    <row r="1284" spans="1:13" x14ac:dyDescent="0.25">
      <c r="A1284" s="36"/>
      <c r="B1284" s="129"/>
      <c r="C1284" s="28"/>
      <c r="D1284" s="36"/>
      <c r="E1284" s="36"/>
      <c r="F1284" s="36"/>
      <c r="G1284" s="36"/>
      <c r="H1284" s="36"/>
      <c r="I1284" s="36"/>
      <c r="J1284" s="36">
        <f>YEAR(RESER3[[#This Row],[DATA]])</f>
        <v>1900</v>
      </c>
      <c r="K1284" s="36">
        <f>MONTH(RESER3[[#This Row],[DATA]])</f>
        <v>1</v>
      </c>
      <c r="L1284" s="36">
        <f>DAY(RESER3[[#This Row],[DATA]])</f>
        <v>0</v>
      </c>
      <c r="M1284" s="36"/>
    </row>
    <row r="1285" spans="1:13" x14ac:dyDescent="0.25">
      <c r="A1285" s="36"/>
      <c r="B1285" s="129"/>
      <c r="C1285" s="28"/>
      <c r="D1285" s="36"/>
      <c r="E1285" s="36"/>
      <c r="F1285" s="36"/>
      <c r="G1285" s="36"/>
      <c r="H1285" s="36"/>
      <c r="I1285" s="36"/>
      <c r="J1285" s="36">
        <f>YEAR(RESER3[[#This Row],[DATA]])</f>
        <v>1900</v>
      </c>
      <c r="K1285" s="36">
        <f>MONTH(RESER3[[#This Row],[DATA]])</f>
        <v>1</v>
      </c>
      <c r="L1285" s="36">
        <f>DAY(RESER3[[#This Row],[DATA]])</f>
        <v>0</v>
      </c>
      <c r="M1285" s="36"/>
    </row>
    <row r="1286" spans="1:13" x14ac:dyDescent="0.25">
      <c r="A1286" s="36"/>
      <c r="B1286" s="129"/>
      <c r="C1286" s="28"/>
      <c r="D1286" s="36"/>
      <c r="E1286" s="36"/>
      <c r="F1286" s="36"/>
      <c r="G1286" s="36"/>
      <c r="H1286" s="36"/>
      <c r="I1286" s="36"/>
      <c r="J1286" s="36">
        <f>YEAR(RESER3[[#This Row],[DATA]])</f>
        <v>1900</v>
      </c>
      <c r="K1286" s="36">
        <f>MONTH(RESER3[[#This Row],[DATA]])</f>
        <v>1</v>
      </c>
      <c r="L1286" s="36">
        <f>DAY(RESER3[[#This Row],[DATA]])</f>
        <v>0</v>
      </c>
      <c r="M1286" s="36"/>
    </row>
    <row r="1287" spans="1:13" x14ac:dyDescent="0.25">
      <c r="A1287" s="36"/>
      <c r="B1287" s="129"/>
      <c r="C1287" s="28"/>
      <c r="D1287" s="36"/>
      <c r="E1287" s="36"/>
      <c r="F1287" s="36"/>
      <c r="G1287" s="36"/>
      <c r="H1287" s="36"/>
      <c r="I1287" s="36"/>
      <c r="J1287" s="36">
        <f>YEAR(RESER3[[#This Row],[DATA]])</f>
        <v>1900</v>
      </c>
      <c r="K1287" s="36">
        <f>MONTH(RESER3[[#This Row],[DATA]])</f>
        <v>1</v>
      </c>
      <c r="L1287" s="36">
        <f>DAY(RESER3[[#This Row],[DATA]])</f>
        <v>0</v>
      </c>
      <c r="M1287" s="36"/>
    </row>
    <row r="1288" spans="1:13" x14ac:dyDescent="0.25">
      <c r="A1288" s="36"/>
      <c r="B1288" s="129"/>
      <c r="C1288" s="28"/>
      <c r="D1288" s="36"/>
      <c r="E1288" s="36"/>
      <c r="F1288" s="36"/>
      <c r="G1288" s="36"/>
      <c r="H1288" s="36"/>
      <c r="I1288" s="36"/>
      <c r="J1288" s="36">
        <f>YEAR(RESER3[[#This Row],[DATA]])</f>
        <v>1900</v>
      </c>
      <c r="K1288" s="36">
        <f>MONTH(RESER3[[#This Row],[DATA]])</f>
        <v>1</v>
      </c>
      <c r="L1288" s="36">
        <f>DAY(RESER3[[#This Row],[DATA]])</f>
        <v>0</v>
      </c>
      <c r="M1288" s="36"/>
    </row>
    <row r="1289" spans="1:13" x14ac:dyDescent="0.25">
      <c r="A1289" s="36"/>
      <c r="B1289" s="129"/>
      <c r="C1289" s="28"/>
      <c r="D1289" s="36"/>
      <c r="E1289" s="36"/>
      <c r="F1289" s="36"/>
      <c r="G1289" s="36"/>
      <c r="H1289" s="36"/>
      <c r="I1289" s="36"/>
      <c r="J1289" s="36">
        <f>YEAR(RESER3[[#This Row],[DATA]])</f>
        <v>1900</v>
      </c>
      <c r="K1289" s="36">
        <f>MONTH(RESER3[[#This Row],[DATA]])</f>
        <v>1</v>
      </c>
      <c r="L1289" s="36">
        <f>DAY(RESER3[[#This Row],[DATA]])</f>
        <v>0</v>
      </c>
      <c r="M1289" s="36"/>
    </row>
    <row r="1290" spans="1:13" x14ac:dyDescent="0.25">
      <c r="A1290" s="36"/>
      <c r="B1290" s="129"/>
      <c r="C1290" s="28"/>
      <c r="D1290" s="36"/>
      <c r="E1290" s="36"/>
      <c r="F1290" s="36"/>
      <c r="G1290" s="36"/>
      <c r="H1290" s="36"/>
      <c r="I1290" s="36"/>
      <c r="J1290" s="36">
        <f>YEAR(RESER3[[#This Row],[DATA]])</f>
        <v>1900</v>
      </c>
      <c r="K1290" s="36">
        <f>MONTH(RESER3[[#This Row],[DATA]])</f>
        <v>1</v>
      </c>
      <c r="L1290" s="36">
        <f>DAY(RESER3[[#This Row],[DATA]])</f>
        <v>0</v>
      </c>
      <c r="M1290" s="36"/>
    </row>
    <row r="1291" spans="1:13" x14ac:dyDescent="0.25">
      <c r="A1291" s="36"/>
      <c r="B1291" s="129"/>
      <c r="C1291" s="28"/>
      <c r="D1291" s="36"/>
      <c r="E1291" s="36"/>
      <c r="F1291" s="36"/>
      <c r="G1291" s="36"/>
      <c r="H1291" s="36"/>
      <c r="I1291" s="36"/>
      <c r="J1291" s="36">
        <f>YEAR(RESER3[[#This Row],[DATA]])</f>
        <v>1900</v>
      </c>
      <c r="K1291" s="36">
        <f>MONTH(RESER3[[#This Row],[DATA]])</f>
        <v>1</v>
      </c>
      <c r="L1291" s="36">
        <f>DAY(RESER3[[#This Row],[DATA]])</f>
        <v>0</v>
      </c>
      <c r="M1291" s="36"/>
    </row>
    <row r="1292" spans="1:13" x14ac:dyDescent="0.25">
      <c r="A1292" s="36"/>
      <c r="B1292" s="129"/>
      <c r="C1292" s="28"/>
      <c r="D1292" s="36"/>
      <c r="E1292" s="36"/>
      <c r="F1292" s="36"/>
      <c r="G1292" s="36"/>
      <c r="H1292" s="36"/>
      <c r="I1292" s="36"/>
      <c r="J1292" s="36">
        <f>YEAR(RESER3[[#This Row],[DATA]])</f>
        <v>1900</v>
      </c>
      <c r="K1292" s="36">
        <f>MONTH(RESER3[[#This Row],[DATA]])</f>
        <v>1</v>
      </c>
      <c r="L1292" s="36">
        <f>DAY(RESER3[[#This Row],[DATA]])</f>
        <v>0</v>
      </c>
      <c r="M1292" s="36"/>
    </row>
    <row r="1293" spans="1:13" x14ac:dyDescent="0.25">
      <c r="A1293" s="36"/>
      <c r="B1293" s="129"/>
      <c r="C1293" s="28"/>
      <c r="D1293" s="36"/>
      <c r="E1293" s="36"/>
      <c r="F1293" s="36"/>
      <c r="G1293" s="36"/>
      <c r="H1293" s="36"/>
      <c r="I1293" s="36"/>
      <c r="J1293" s="36">
        <f>YEAR(RESER3[[#This Row],[DATA]])</f>
        <v>1900</v>
      </c>
      <c r="K1293" s="36">
        <f>MONTH(RESER3[[#This Row],[DATA]])</f>
        <v>1</v>
      </c>
      <c r="L1293" s="36">
        <f>DAY(RESER3[[#This Row],[DATA]])</f>
        <v>0</v>
      </c>
      <c r="M1293" s="36"/>
    </row>
    <row r="1294" spans="1:13" x14ac:dyDescent="0.25">
      <c r="A1294" s="36"/>
      <c r="B1294" s="129"/>
      <c r="C1294" s="28"/>
      <c r="D1294" s="36"/>
      <c r="E1294" s="36"/>
      <c r="F1294" s="36"/>
      <c r="G1294" s="36"/>
      <c r="H1294" s="36"/>
      <c r="I1294" s="36"/>
      <c r="J1294" s="36">
        <f>YEAR(RESER3[[#This Row],[DATA]])</f>
        <v>1900</v>
      </c>
      <c r="K1294" s="36">
        <f>MONTH(RESER3[[#This Row],[DATA]])</f>
        <v>1</v>
      </c>
      <c r="L1294" s="36">
        <f>DAY(RESER3[[#This Row],[DATA]])</f>
        <v>0</v>
      </c>
      <c r="M1294" s="36"/>
    </row>
    <row r="1295" spans="1:13" x14ac:dyDescent="0.25">
      <c r="A1295" s="36"/>
      <c r="B1295" s="129"/>
      <c r="C1295" s="28"/>
      <c r="D1295" s="36"/>
      <c r="E1295" s="36"/>
      <c r="F1295" s="36"/>
      <c r="G1295" s="36"/>
      <c r="H1295" s="36"/>
      <c r="I1295" s="36"/>
      <c r="J1295" s="36">
        <f>YEAR(RESER3[[#This Row],[DATA]])</f>
        <v>1900</v>
      </c>
      <c r="K1295" s="36">
        <f>MONTH(RESER3[[#This Row],[DATA]])</f>
        <v>1</v>
      </c>
      <c r="L1295" s="36">
        <f>DAY(RESER3[[#This Row],[DATA]])</f>
        <v>0</v>
      </c>
      <c r="M1295" s="36"/>
    </row>
    <row r="1296" spans="1:13" x14ac:dyDescent="0.25">
      <c r="A1296" s="36"/>
      <c r="B1296" s="129"/>
      <c r="C1296" s="28"/>
      <c r="D1296" s="36"/>
      <c r="E1296" s="36"/>
      <c r="F1296" s="36"/>
      <c r="G1296" s="36"/>
      <c r="H1296" s="36"/>
      <c r="I1296" s="36"/>
      <c r="J1296" s="36">
        <f>YEAR(RESER3[[#This Row],[DATA]])</f>
        <v>1900</v>
      </c>
      <c r="K1296" s="36">
        <f>MONTH(RESER3[[#This Row],[DATA]])</f>
        <v>1</v>
      </c>
      <c r="L1296" s="36">
        <f>DAY(RESER3[[#This Row],[DATA]])</f>
        <v>0</v>
      </c>
      <c r="M1296" s="36"/>
    </row>
    <row r="1297" spans="1:13" x14ac:dyDescent="0.25">
      <c r="A1297" s="36"/>
      <c r="B1297" s="129"/>
      <c r="C1297" s="28"/>
      <c r="D1297" s="36"/>
      <c r="E1297" s="36"/>
      <c r="F1297" s="36"/>
      <c r="G1297" s="36"/>
      <c r="H1297" s="36"/>
      <c r="I1297" s="36"/>
      <c r="J1297" s="36">
        <f>YEAR(RESER3[[#This Row],[DATA]])</f>
        <v>1900</v>
      </c>
      <c r="K1297" s="36">
        <f>MONTH(RESER3[[#This Row],[DATA]])</f>
        <v>1</v>
      </c>
      <c r="L1297" s="36">
        <f>DAY(RESER3[[#This Row],[DATA]])</f>
        <v>0</v>
      </c>
      <c r="M1297" s="36"/>
    </row>
    <row r="1298" spans="1:13" x14ac:dyDescent="0.25">
      <c r="A1298" s="36"/>
      <c r="B1298" s="129"/>
      <c r="C1298" s="28"/>
      <c r="D1298" s="36"/>
      <c r="E1298" s="36"/>
      <c r="F1298" s="36"/>
      <c r="G1298" s="36"/>
      <c r="H1298" s="36"/>
      <c r="I1298" s="36"/>
      <c r="J1298" s="36">
        <f>YEAR(RESER3[[#This Row],[DATA]])</f>
        <v>1900</v>
      </c>
      <c r="K1298" s="36">
        <f>MONTH(RESER3[[#This Row],[DATA]])</f>
        <v>1</v>
      </c>
      <c r="L1298" s="36">
        <f>DAY(RESER3[[#This Row],[DATA]])</f>
        <v>0</v>
      </c>
      <c r="M1298" s="36"/>
    </row>
    <row r="1299" spans="1:13" x14ac:dyDescent="0.25">
      <c r="A1299" s="36"/>
      <c r="B1299" s="129"/>
      <c r="C1299" s="28"/>
      <c r="D1299" s="36"/>
      <c r="E1299" s="36"/>
      <c r="F1299" s="36"/>
      <c r="G1299" s="36"/>
      <c r="H1299" s="36"/>
      <c r="I1299" s="36"/>
      <c r="J1299" s="36">
        <f>YEAR(RESER3[[#This Row],[DATA]])</f>
        <v>1900</v>
      </c>
      <c r="K1299" s="36">
        <f>MONTH(RESER3[[#This Row],[DATA]])</f>
        <v>1</v>
      </c>
      <c r="L1299" s="36">
        <f>DAY(RESER3[[#This Row],[DATA]])</f>
        <v>0</v>
      </c>
      <c r="M1299" s="36"/>
    </row>
    <row r="1300" spans="1:13" x14ac:dyDescent="0.25">
      <c r="A1300" s="36"/>
      <c r="B1300" s="129"/>
      <c r="C1300" s="28"/>
      <c r="D1300" s="36"/>
      <c r="E1300" s="36"/>
      <c r="F1300" s="36"/>
      <c r="G1300" s="36"/>
      <c r="H1300" s="36"/>
      <c r="I1300" s="36"/>
      <c r="J1300" s="36">
        <f>YEAR(RESER3[[#This Row],[DATA]])</f>
        <v>1900</v>
      </c>
      <c r="K1300" s="36">
        <f>MONTH(RESER3[[#This Row],[DATA]])</f>
        <v>1</v>
      </c>
      <c r="L1300" s="36">
        <f>DAY(RESER3[[#This Row],[DATA]])</f>
        <v>0</v>
      </c>
      <c r="M1300" s="36"/>
    </row>
    <row r="1301" spans="1:13" x14ac:dyDescent="0.25">
      <c r="A1301" s="36"/>
      <c r="B1301" s="129"/>
      <c r="C1301" s="28"/>
      <c r="D1301" s="36"/>
      <c r="E1301" s="36"/>
      <c r="F1301" s="36"/>
      <c r="G1301" s="36"/>
      <c r="H1301" s="36"/>
      <c r="I1301" s="36"/>
      <c r="J1301" s="36">
        <f>YEAR(RESER3[[#This Row],[DATA]])</f>
        <v>1900</v>
      </c>
      <c r="K1301" s="36">
        <f>MONTH(RESER3[[#This Row],[DATA]])</f>
        <v>1</v>
      </c>
      <c r="L1301" s="36">
        <f>DAY(RESER3[[#This Row],[DATA]])</f>
        <v>0</v>
      </c>
      <c r="M1301" s="36"/>
    </row>
    <row r="1302" spans="1:13" x14ac:dyDescent="0.25">
      <c r="A1302" s="36"/>
      <c r="B1302" s="129"/>
      <c r="C1302" s="28"/>
      <c r="D1302" s="36"/>
      <c r="E1302" s="36"/>
      <c r="F1302" s="36"/>
      <c r="G1302" s="36"/>
      <c r="H1302" s="36"/>
      <c r="I1302" s="36"/>
      <c r="J1302" s="36">
        <f>YEAR(RESER3[[#This Row],[DATA]])</f>
        <v>1900</v>
      </c>
      <c r="K1302" s="36">
        <f>MONTH(RESER3[[#This Row],[DATA]])</f>
        <v>1</v>
      </c>
      <c r="L1302" s="36">
        <f>DAY(RESER3[[#This Row],[DATA]])</f>
        <v>0</v>
      </c>
      <c r="M1302" s="36"/>
    </row>
    <row r="1303" spans="1:13" x14ac:dyDescent="0.25">
      <c r="A1303" s="36"/>
      <c r="B1303" s="129"/>
      <c r="C1303" s="28"/>
      <c r="D1303" s="36"/>
      <c r="E1303" s="36"/>
      <c r="F1303" s="36"/>
      <c r="G1303" s="36"/>
      <c r="H1303" s="36"/>
      <c r="I1303" s="36"/>
      <c r="J1303" s="36">
        <f>YEAR(RESER3[[#This Row],[DATA]])</f>
        <v>1900</v>
      </c>
      <c r="K1303" s="36">
        <f>MONTH(RESER3[[#This Row],[DATA]])</f>
        <v>1</v>
      </c>
      <c r="L1303" s="36">
        <f>DAY(RESER3[[#This Row],[DATA]])</f>
        <v>0</v>
      </c>
      <c r="M1303" s="36"/>
    </row>
    <row r="1304" spans="1:13" x14ac:dyDescent="0.25">
      <c r="A1304" s="36"/>
      <c r="B1304" s="129"/>
      <c r="C1304" s="28"/>
      <c r="D1304" s="36"/>
      <c r="E1304" s="36"/>
      <c r="F1304" s="36"/>
      <c r="G1304" s="36"/>
      <c r="H1304" s="36"/>
      <c r="I1304" s="36"/>
      <c r="J1304" s="36">
        <f>YEAR(RESER3[[#This Row],[DATA]])</f>
        <v>1900</v>
      </c>
      <c r="K1304" s="36">
        <f>MONTH(RESER3[[#This Row],[DATA]])</f>
        <v>1</v>
      </c>
      <c r="L1304" s="36">
        <f>DAY(RESER3[[#This Row],[DATA]])</f>
        <v>0</v>
      </c>
      <c r="M1304" s="36"/>
    </row>
    <row r="1305" spans="1:13" x14ac:dyDescent="0.25">
      <c r="A1305" s="36"/>
      <c r="B1305" s="129"/>
      <c r="C1305" s="28"/>
      <c r="D1305" s="36"/>
      <c r="E1305" s="36"/>
      <c r="F1305" s="36"/>
      <c r="G1305" s="36"/>
      <c r="H1305" s="36"/>
      <c r="I1305" s="36"/>
      <c r="J1305" s="36">
        <f>YEAR(RESER3[[#This Row],[DATA]])</f>
        <v>1900</v>
      </c>
      <c r="K1305" s="36">
        <f>MONTH(RESER3[[#This Row],[DATA]])</f>
        <v>1</v>
      </c>
      <c r="L1305" s="36">
        <f>DAY(RESER3[[#This Row],[DATA]])</f>
        <v>0</v>
      </c>
      <c r="M1305" s="36"/>
    </row>
    <row r="1306" spans="1:13" x14ac:dyDescent="0.25">
      <c r="A1306" s="36"/>
      <c r="B1306" s="129"/>
      <c r="C1306" s="28"/>
      <c r="D1306" s="36"/>
      <c r="E1306" s="36"/>
      <c r="F1306" s="36"/>
      <c r="G1306" s="36"/>
      <c r="H1306" s="36"/>
      <c r="I1306" s="36"/>
      <c r="J1306" s="36">
        <f>YEAR(RESER3[[#This Row],[DATA]])</f>
        <v>1900</v>
      </c>
      <c r="K1306" s="36">
        <f>MONTH(RESER3[[#This Row],[DATA]])</f>
        <v>1</v>
      </c>
      <c r="L1306" s="36">
        <f>DAY(RESER3[[#This Row],[DATA]])</f>
        <v>0</v>
      </c>
      <c r="M1306" s="36"/>
    </row>
    <row r="1307" spans="1:13" x14ac:dyDescent="0.25">
      <c r="A1307" s="36"/>
      <c r="B1307" s="129"/>
      <c r="C1307" s="28"/>
      <c r="D1307" s="36"/>
      <c r="E1307" s="36"/>
      <c r="F1307" s="36"/>
      <c r="G1307" s="36"/>
      <c r="H1307" s="36"/>
      <c r="I1307" s="36"/>
      <c r="J1307" s="36">
        <f>YEAR(RESER3[[#This Row],[DATA]])</f>
        <v>1900</v>
      </c>
      <c r="K1307" s="36">
        <f>MONTH(RESER3[[#This Row],[DATA]])</f>
        <v>1</v>
      </c>
      <c r="L1307" s="36">
        <f>DAY(RESER3[[#This Row],[DATA]])</f>
        <v>0</v>
      </c>
      <c r="M1307" s="36"/>
    </row>
    <row r="1308" spans="1:13" x14ac:dyDescent="0.25">
      <c r="A1308" s="36"/>
      <c r="B1308" s="129"/>
      <c r="C1308" s="28"/>
      <c r="D1308" s="36"/>
      <c r="E1308" s="36"/>
      <c r="F1308" s="36"/>
      <c r="G1308" s="36"/>
      <c r="H1308" s="36"/>
      <c r="I1308" s="36"/>
      <c r="J1308" s="36">
        <f>YEAR(RESER3[[#This Row],[DATA]])</f>
        <v>1900</v>
      </c>
      <c r="K1308" s="36">
        <f>MONTH(RESER3[[#This Row],[DATA]])</f>
        <v>1</v>
      </c>
      <c r="L1308" s="36">
        <f>DAY(RESER3[[#This Row],[DATA]])</f>
        <v>0</v>
      </c>
      <c r="M1308" s="36"/>
    </row>
    <row r="1309" spans="1:13" x14ac:dyDescent="0.25">
      <c r="A1309" s="36"/>
      <c r="B1309" s="129"/>
      <c r="C1309" s="28"/>
      <c r="D1309" s="36"/>
      <c r="E1309" s="36"/>
      <c r="F1309" s="36"/>
      <c r="G1309" s="36"/>
      <c r="H1309" s="36"/>
      <c r="I1309" s="36"/>
      <c r="J1309" s="36">
        <f>YEAR(RESER3[[#This Row],[DATA]])</f>
        <v>1900</v>
      </c>
      <c r="K1309" s="36">
        <f>MONTH(RESER3[[#This Row],[DATA]])</f>
        <v>1</v>
      </c>
      <c r="L1309" s="36">
        <f>DAY(RESER3[[#This Row],[DATA]])</f>
        <v>0</v>
      </c>
      <c r="M1309" s="36"/>
    </row>
    <row r="1310" spans="1:13" x14ac:dyDescent="0.25">
      <c r="A1310" s="36"/>
      <c r="B1310" s="129"/>
      <c r="C1310" s="28"/>
      <c r="D1310" s="36"/>
      <c r="E1310" s="36"/>
      <c r="F1310" s="36"/>
      <c r="G1310" s="36"/>
      <c r="H1310" s="36"/>
      <c r="I1310" s="36"/>
      <c r="J1310" s="36">
        <f>YEAR(RESER3[[#This Row],[DATA]])</f>
        <v>1900</v>
      </c>
      <c r="K1310" s="36">
        <f>MONTH(RESER3[[#This Row],[DATA]])</f>
        <v>1</v>
      </c>
      <c r="L1310" s="36">
        <f>DAY(RESER3[[#This Row],[DATA]])</f>
        <v>0</v>
      </c>
      <c r="M1310" s="36"/>
    </row>
    <row r="1311" spans="1:13" x14ac:dyDescent="0.25">
      <c r="A1311" s="36"/>
      <c r="B1311" s="129"/>
      <c r="C1311" s="28"/>
      <c r="D1311" s="36"/>
      <c r="E1311" s="36"/>
      <c r="F1311" s="36"/>
      <c r="G1311" s="36"/>
      <c r="H1311" s="36"/>
      <c r="I1311" s="36"/>
      <c r="J1311" s="36">
        <f>YEAR(RESER3[[#This Row],[DATA]])</f>
        <v>1900</v>
      </c>
      <c r="K1311" s="36">
        <f>MONTH(RESER3[[#This Row],[DATA]])</f>
        <v>1</v>
      </c>
      <c r="L1311" s="36">
        <f>DAY(RESER3[[#This Row],[DATA]])</f>
        <v>0</v>
      </c>
      <c r="M1311" s="36"/>
    </row>
    <row r="1312" spans="1:13" x14ac:dyDescent="0.25">
      <c r="A1312" s="36"/>
      <c r="B1312" s="129"/>
      <c r="C1312" s="28"/>
      <c r="D1312" s="36"/>
      <c r="E1312" s="36"/>
      <c r="F1312" s="36"/>
      <c r="G1312" s="36"/>
      <c r="H1312" s="36"/>
      <c r="I1312" s="36"/>
      <c r="J1312" s="36">
        <f>YEAR(RESER3[[#This Row],[DATA]])</f>
        <v>1900</v>
      </c>
      <c r="K1312" s="36">
        <f>MONTH(RESER3[[#This Row],[DATA]])</f>
        <v>1</v>
      </c>
      <c r="L1312" s="36">
        <f>DAY(RESER3[[#This Row],[DATA]])</f>
        <v>0</v>
      </c>
      <c r="M1312" s="36"/>
    </row>
    <row r="1313" spans="1:13" x14ac:dyDescent="0.25">
      <c r="A1313" s="36"/>
      <c r="B1313" s="129"/>
      <c r="C1313" s="28"/>
      <c r="D1313" s="36"/>
      <c r="E1313" s="36"/>
      <c r="F1313" s="36"/>
      <c r="G1313" s="36"/>
      <c r="H1313" s="36"/>
      <c r="I1313" s="36"/>
      <c r="J1313" s="36">
        <f>YEAR(RESER3[[#This Row],[DATA]])</f>
        <v>1900</v>
      </c>
      <c r="K1313" s="36">
        <f>MONTH(RESER3[[#This Row],[DATA]])</f>
        <v>1</v>
      </c>
      <c r="L1313" s="36">
        <f>DAY(RESER3[[#This Row],[DATA]])</f>
        <v>0</v>
      </c>
      <c r="M1313" s="36"/>
    </row>
    <row r="1314" spans="1:13" x14ac:dyDescent="0.25">
      <c r="A1314" s="36"/>
      <c r="B1314" s="129"/>
      <c r="C1314" s="28"/>
      <c r="D1314" s="36"/>
      <c r="E1314" s="36"/>
      <c r="F1314" s="36"/>
      <c r="G1314" s="36"/>
      <c r="H1314" s="36"/>
      <c r="I1314" s="36"/>
      <c r="J1314" s="36">
        <f>YEAR(RESER3[[#This Row],[DATA]])</f>
        <v>1900</v>
      </c>
      <c r="K1314" s="36">
        <f>MONTH(RESER3[[#This Row],[DATA]])</f>
        <v>1</v>
      </c>
      <c r="L1314" s="36">
        <f>DAY(RESER3[[#This Row],[DATA]])</f>
        <v>0</v>
      </c>
      <c r="M1314" s="36"/>
    </row>
    <row r="1315" spans="1:13" x14ac:dyDescent="0.25">
      <c r="A1315" s="36"/>
      <c r="B1315" s="129"/>
      <c r="C1315" s="28"/>
      <c r="D1315" s="36"/>
      <c r="E1315" s="36"/>
      <c r="F1315" s="36"/>
      <c r="G1315" s="36"/>
      <c r="H1315" s="36"/>
      <c r="I1315" s="36"/>
      <c r="J1315" s="36">
        <f>YEAR(RESER3[[#This Row],[DATA]])</f>
        <v>1900</v>
      </c>
      <c r="K1315" s="36">
        <f>MONTH(RESER3[[#This Row],[DATA]])</f>
        <v>1</v>
      </c>
      <c r="L1315" s="36">
        <f>DAY(RESER3[[#This Row],[DATA]])</f>
        <v>0</v>
      </c>
      <c r="M1315" s="36"/>
    </row>
    <row r="1316" spans="1:13" x14ac:dyDescent="0.25">
      <c r="A1316" s="36"/>
      <c r="B1316" s="129"/>
      <c r="C1316" s="28"/>
      <c r="D1316" s="36"/>
      <c r="E1316" s="36"/>
      <c r="F1316" s="36"/>
      <c r="G1316" s="36"/>
      <c r="H1316" s="36"/>
      <c r="I1316" s="36"/>
      <c r="J1316" s="36">
        <f>YEAR(RESER3[[#This Row],[DATA]])</f>
        <v>1900</v>
      </c>
      <c r="K1316" s="36">
        <f>MONTH(RESER3[[#This Row],[DATA]])</f>
        <v>1</v>
      </c>
      <c r="L1316" s="36">
        <f>DAY(RESER3[[#This Row],[DATA]])</f>
        <v>0</v>
      </c>
      <c r="M1316" s="36"/>
    </row>
    <row r="1317" spans="1:13" x14ac:dyDescent="0.25">
      <c r="A1317" s="36"/>
      <c r="B1317" s="129"/>
      <c r="C1317" s="28"/>
      <c r="D1317" s="36"/>
      <c r="E1317" s="36"/>
      <c r="F1317" s="36"/>
      <c r="G1317" s="36"/>
      <c r="H1317" s="36"/>
      <c r="I1317" s="36"/>
      <c r="J1317" s="36">
        <f>YEAR(RESER3[[#This Row],[DATA]])</f>
        <v>1900</v>
      </c>
      <c r="K1317" s="36">
        <f>MONTH(RESER3[[#This Row],[DATA]])</f>
        <v>1</v>
      </c>
      <c r="L1317" s="36">
        <f>DAY(RESER3[[#This Row],[DATA]])</f>
        <v>0</v>
      </c>
      <c r="M1317" s="36"/>
    </row>
    <row r="1318" spans="1:13" x14ac:dyDescent="0.25">
      <c r="A1318" s="36"/>
      <c r="B1318" s="129"/>
      <c r="C1318" s="28"/>
      <c r="D1318" s="36"/>
      <c r="E1318" s="36"/>
      <c r="F1318" s="36"/>
      <c r="G1318" s="36"/>
      <c r="H1318" s="36"/>
      <c r="I1318" s="36"/>
      <c r="J1318" s="36">
        <f>YEAR(RESER3[[#This Row],[DATA]])</f>
        <v>1900</v>
      </c>
      <c r="K1318" s="36">
        <f>MONTH(RESER3[[#This Row],[DATA]])</f>
        <v>1</v>
      </c>
      <c r="L1318" s="36">
        <f>DAY(RESER3[[#This Row],[DATA]])</f>
        <v>0</v>
      </c>
      <c r="M1318" s="36"/>
    </row>
    <row r="1319" spans="1:13" x14ac:dyDescent="0.25">
      <c r="A1319" s="36"/>
      <c r="B1319" s="129"/>
      <c r="C1319" s="28"/>
      <c r="D1319" s="36"/>
      <c r="E1319" s="36"/>
      <c r="F1319" s="36"/>
      <c r="G1319" s="36"/>
      <c r="H1319" s="36"/>
      <c r="I1319" s="36"/>
      <c r="J1319" s="36">
        <f>YEAR(RESER3[[#This Row],[DATA]])</f>
        <v>1900</v>
      </c>
      <c r="K1319" s="36">
        <f>MONTH(RESER3[[#This Row],[DATA]])</f>
        <v>1</v>
      </c>
      <c r="L1319" s="36">
        <f>DAY(RESER3[[#This Row],[DATA]])</f>
        <v>0</v>
      </c>
      <c r="M1319" s="36"/>
    </row>
    <row r="1320" spans="1:13" x14ac:dyDescent="0.25">
      <c r="A1320" s="36"/>
      <c r="B1320" s="129"/>
      <c r="C1320" s="28"/>
      <c r="D1320" s="36"/>
      <c r="E1320" s="36"/>
      <c r="F1320" s="36"/>
      <c r="G1320" s="36"/>
      <c r="H1320" s="36"/>
      <c r="I1320" s="36"/>
      <c r="J1320" s="36">
        <f>YEAR(RESER3[[#This Row],[DATA]])</f>
        <v>1900</v>
      </c>
      <c r="K1320" s="36">
        <f>MONTH(RESER3[[#This Row],[DATA]])</f>
        <v>1</v>
      </c>
      <c r="L1320" s="36">
        <f>DAY(RESER3[[#This Row],[DATA]])</f>
        <v>0</v>
      </c>
      <c r="M1320" s="36"/>
    </row>
    <row r="1321" spans="1:13" x14ac:dyDescent="0.25">
      <c r="A1321" s="36"/>
      <c r="B1321" s="129"/>
      <c r="C1321" s="28"/>
      <c r="D1321" s="36"/>
      <c r="E1321" s="36"/>
      <c r="F1321" s="36"/>
      <c r="G1321" s="36"/>
      <c r="H1321" s="36"/>
      <c r="I1321" s="36"/>
      <c r="J1321" s="36">
        <f>YEAR(RESER3[[#This Row],[DATA]])</f>
        <v>1900</v>
      </c>
      <c r="K1321" s="36">
        <f>MONTH(RESER3[[#This Row],[DATA]])</f>
        <v>1</v>
      </c>
      <c r="L1321" s="36">
        <f>DAY(RESER3[[#This Row],[DATA]])</f>
        <v>0</v>
      </c>
      <c r="M1321" s="36"/>
    </row>
    <row r="1322" spans="1:13" x14ac:dyDescent="0.25">
      <c r="A1322" s="36"/>
      <c r="B1322" s="129"/>
      <c r="C1322" s="28"/>
      <c r="D1322" s="36"/>
      <c r="E1322" s="36"/>
      <c r="F1322" s="36"/>
      <c r="G1322" s="36"/>
      <c r="H1322" s="36"/>
      <c r="I1322" s="36"/>
      <c r="J1322" s="36">
        <f>YEAR(RESER3[[#This Row],[DATA]])</f>
        <v>1900</v>
      </c>
      <c r="K1322" s="36">
        <f>MONTH(RESER3[[#This Row],[DATA]])</f>
        <v>1</v>
      </c>
      <c r="L1322" s="36">
        <f>DAY(RESER3[[#This Row],[DATA]])</f>
        <v>0</v>
      </c>
      <c r="M1322" s="36"/>
    </row>
    <row r="1323" spans="1:13" x14ac:dyDescent="0.25">
      <c r="A1323" s="36"/>
      <c r="B1323" s="129"/>
      <c r="C1323" s="28"/>
      <c r="D1323" s="36"/>
      <c r="E1323" s="36"/>
      <c r="F1323" s="36"/>
      <c r="G1323" s="36"/>
      <c r="H1323" s="36"/>
      <c r="I1323" s="36"/>
      <c r="J1323" s="36">
        <f>YEAR(RESER3[[#This Row],[DATA]])</f>
        <v>1900</v>
      </c>
      <c r="K1323" s="36">
        <f>MONTH(RESER3[[#This Row],[DATA]])</f>
        <v>1</v>
      </c>
      <c r="L1323" s="36">
        <f>DAY(RESER3[[#This Row],[DATA]])</f>
        <v>0</v>
      </c>
      <c r="M1323" s="36"/>
    </row>
    <row r="1324" spans="1:13" x14ac:dyDescent="0.25">
      <c r="A1324" s="36"/>
      <c r="B1324" s="129"/>
      <c r="C1324" s="28"/>
      <c r="D1324" s="36"/>
      <c r="E1324" s="36"/>
      <c r="F1324" s="36"/>
      <c r="G1324" s="36"/>
      <c r="H1324" s="36"/>
      <c r="I1324" s="36"/>
      <c r="J1324" s="36">
        <f>YEAR(RESER3[[#This Row],[DATA]])</f>
        <v>1900</v>
      </c>
      <c r="K1324" s="36">
        <f>MONTH(RESER3[[#This Row],[DATA]])</f>
        <v>1</v>
      </c>
      <c r="L1324" s="36">
        <f>DAY(RESER3[[#This Row],[DATA]])</f>
        <v>0</v>
      </c>
      <c r="M1324" s="36"/>
    </row>
    <row r="1325" spans="1:13" x14ac:dyDescent="0.25">
      <c r="A1325" s="36"/>
      <c r="B1325" s="129"/>
      <c r="C1325" s="28"/>
      <c r="D1325" s="36"/>
      <c r="E1325" s="36"/>
      <c r="F1325" s="36"/>
      <c r="G1325" s="36"/>
      <c r="H1325" s="36"/>
      <c r="I1325" s="36"/>
      <c r="J1325" s="36">
        <f>YEAR(RESER3[[#This Row],[DATA]])</f>
        <v>1900</v>
      </c>
      <c r="K1325" s="36">
        <f>MONTH(RESER3[[#This Row],[DATA]])</f>
        <v>1</v>
      </c>
      <c r="L1325" s="36">
        <f>DAY(RESER3[[#This Row],[DATA]])</f>
        <v>0</v>
      </c>
      <c r="M1325" s="36"/>
    </row>
    <row r="1326" spans="1:13" x14ac:dyDescent="0.25">
      <c r="A1326" s="36"/>
      <c r="B1326" s="129"/>
      <c r="C1326" s="28"/>
      <c r="D1326" s="36"/>
      <c r="E1326" s="36"/>
      <c r="F1326" s="36"/>
      <c r="G1326" s="36"/>
      <c r="H1326" s="36"/>
      <c r="I1326" s="36"/>
      <c r="J1326" s="36">
        <f>YEAR(RESER3[[#This Row],[DATA]])</f>
        <v>1900</v>
      </c>
      <c r="K1326" s="36">
        <f>MONTH(RESER3[[#This Row],[DATA]])</f>
        <v>1</v>
      </c>
      <c r="L1326" s="36">
        <f>DAY(RESER3[[#This Row],[DATA]])</f>
        <v>0</v>
      </c>
      <c r="M1326" s="36"/>
    </row>
    <row r="1327" spans="1:13" x14ac:dyDescent="0.25">
      <c r="A1327" s="36"/>
      <c r="B1327" s="129"/>
      <c r="C1327" s="28"/>
      <c r="D1327" s="36"/>
      <c r="E1327" s="36"/>
      <c r="F1327" s="36"/>
      <c r="G1327" s="36"/>
      <c r="H1327" s="36"/>
      <c r="I1327" s="36"/>
      <c r="J1327" s="36">
        <f>YEAR(RESER3[[#This Row],[DATA]])</f>
        <v>1900</v>
      </c>
      <c r="K1327" s="36">
        <f>MONTH(RESER3[[#This Row],[DATA]])</f>
        <v>1</v>
      </c>
      <c r="L1327" s="36">
        <f>DAY(RESER3[[#This Row],[DATA]])</f>
        <v>0</v>
      </c>
      <c r="M1327" s="36"/>
    </row>
    <row r="1328" spans="1:13" x14ac:dyDescent="0.25">
      <c r="A1328" s="36"/>
      <c r="B1328" s="129"/>
      <c r="C1328" s="28"/>
      <c r="D1328" s="36"/>
      <c r="E1328" s="36"/>
      <c r="F1328" s="36"/>
      <c r="G1328" s="36"/>
      <c r="H1328" s="36"/>
      <c r="I1328" s="36"/>
      <c r="J1328" s="36">
        <f>YEAR(RESER3[[#This Row],[DATA]])</f>
        <v>1900</v>
      </c>
      <c r="K1328" s="36">
        <f>MONTH(RESER3[[#This Row],[DATA]])</f>
        <v>1</v>
      </c>
      <c r="L1328" s="36">
        <f>DAY(RESER3[[#This Row],[DATA]])</f>
        <v>0</v>
      </c>
      <c r="M1328" s="36"/>
    </row>
    <row r="1329" spans="1:13" x14ac:dyDescent="0.25">
      <c r="A1329" s="36"/>
      <c r="B1329" s="129"/>
      <c r="C1329" s="28"/>
      <c r="D1329" s="36"/>
      <c r="E1329" s="36"/>
      <c r="F1329" s="36"/>
      <c r="G1329" s="36"/>
      <c r="H1329" s="36"/>
      <c r="I1329" s="36"/>
      <c r="J1329" s="36">
        <f>YEAR(RESER3[[#This Row],[DATA]])</f>
        <v>1900</v>
      </c>
      <c r="K1329" s="36">
        <f>MONTH(RESER3[[#This Row],[DATA]])</f>
        <v>1</v>
      </c>
      <c r="L1329" s="36">
        <f>DAY(RESER3[[#This Row],[DATA]])</f>
        <v>0</v>
      </c>
      <c r="M1329" s="36"/>
    </row>
    <row r="1330" spans="1:13" x14ac:dyDescent="0.25">
      <c r="A1330" s="36"/>
      <c r="B1330" s="129"/>
      <c r="C1330" s="28"/>
      <c r="D1330" s="36"/>
      <c r="E1330" s="36"/>
      <c r="F1330" s="36"/>
      <c r="G1330" s="36"/>
      <c r="H1330" s="36"/>
      <c r="I1330" s="36"/>
      <c r="J1330" s="36">
        <f>YEAR(RESER3[[#This Row],[DATA]])</f>
        <v>1900</v>
      </c>
      <c r="K1330" s="36">
        <f>MONTH(RESER3[[#This Row],[DATA]])</f>
        <v>1</v>
      </c>
      <c r="L1330" s="36">
        <f>DAY(RESER3[[#This Row],[DATA]])</f>
        <v>0</v>
      </c>
      <c r="M1330" s="36"/>
    </row>
    <row r="1331" spans="1:13" x14ac:dyDescent="0.25">
      <c r="A1331" s="36"/>
      <c r="B1331" s="129"/>
      <c r="C1331" s="28"/>
      <c r="D1331" s="36"/>
      <c r="E1331" s="36"/>
      <c r="F1331" s="36"/>
      <c r="G1331" s="36"/>
      <c r="H1331" s="36"/>
      <c r="I1331" s="36"/>
      <c r="J1331" s="36">
        <f>YEAR(RESER3[[#This Row],[DATA]])</f>
        <v>1900</v>
      </c>
      <c r="K1331" s="36">
        <f>MONTH(RESER3[[#This Row],[DATA]])</f>
        <v>1</v>
      </c>
      <c r="L1331" s="36">
        <f>DAY(RESER3[[#This Row],[DATA]])</f>
        <v>0</v>
      </c>
      <c r="M1331" s="36"/>
    </row>
    <row r="1332" spans="1:13" x14ac:dyDescent="0.25">
      <c r="A1332" s="36"/>
      <c r="B1332" s="129"/>
      <c r="C1332" s="28"/>
      <c r="D1332" s="36"/>
      <c r="E1332" s="36"/>
      <c r="F1332" s="36"/>
      <c r="G1332" s="36"/>
      <c r="H1332" s="36"/>
      <c r="I1332" s="36"/>
      <c r="J1332" s="36">
        <f>YEAR(RESER3[[#This Row],[DATA]])</f>
        <v>1900</v>
      </c>
      <c r="K1332" s="36">
        <f>MONTH(RESER3[[#This Row],[DATA]])</f>
        <v>1</v>
      </c>
      <c r="L1332" s="36">
        <f>DAY(RESER3[[#This Row],[DATA]])</f>
        <v>0</v>
      </c>
      <c r="M1332" s="36"/>
    </row>
    <row r="1333" spans="1:13" x14ac:dyDescent="0.25">
      <c r="A1333" s="36"/>
      <c r="B1333" s="129"/>
      <c r="C1333" s="28"/>
      <c r="D1333" s="36"/>
      <c r="E1333" s="36"/>
      <c r="F1333" s="36"/>
      <c r="G1333" s="36"/>
      <c r="H1333" s="36"/>
      <c r="I1333" s="36"/>
      <c r="J1333" s="36">
        <f>YEAR(RESER3[[#This Row],[DATA]])</f>
        <v>1900</v>
      </c>
      <c r="K1333" s="36">
        <f>MONTH(RESER3[[#This Row],[DATA]])</f>
        <v>1</v>
      </c>
      <c r="L1333" s="36">
        <f>DAY(RESER3[[#This Row],[DATA]])</f>
        <v>0</v>
      </c>
      <c r="M1333" s="36"/>
    </row>
    <row r="1334" spans="1:13" x14ac:dyDescent="0.25">
      <c r="A1334" s="36"/>
      <c r="B1334" s="129"/>
      <c r="C1334" s="28"/>
      <c r="D1334" s="36"/>
      <c r="E1334" s="36"/>
      <c r="F1334" s="36"/>
      <c r="G1334" s="36"/>
      <c r="H1334" s="36"/>
      <c r="I1334" s="36"/>
      <c r="J1334" s="36">
        <f>YEAR(RESER3[[#This Row],[DATA]])</f>
        <v>1900</v>
      </c>
      <c r="K1334" s="36">
        <f>MONTH(RESER3[[#This Row],[DATA]])</f>
        <v>1</v>
      </c>
      <c r="L1334" s="36">
        <f>DAY(RESER3[[#This Row],[DATA]])</f>
        <v>0</v>
      </c>
      <c r="M1334" s="36"/>
    </row>
    <row r="1335" spans="1:13" x14ac:dyDescent="0.25">
      <c r="A1335" s="36"/>
      <c r="B1335" s="129"/>
      <c r="C1335" s="28"/>
      <c r="D1335" s="36"/>
      <c r="E1335" s="36"/>
      <c r="F1335" s="36"/>
      <c r="G1335" s="36"/>
      <c r="H1335" s="36"/>
      <c r="I1335" s="36"/>
      <c r="J1335" s="36">
        <f>YEAR(RESER3[[#This Row],[DATA]])</f>
        <v>1900</v>
      </c>
      <c r="K1335" s="36">
        <f>MONTH(RESER3[[#This Row],[DATA]])</f>
        <v>1</v>
      </c>
      <c r="L1335" s="36">
        <f>DAY(RESER3[[#This Row],[DATA]])</f>
        <v>0</v>
      </c>
      <c r="M1335" s="36"/>
    </row>
    <row r="1336" spans="1:13" x14ac:dyDescent="0.25">
      <c r="A1336" s="36"/>
      <c r="B1336" s="129"/>
      <c r="C1336" s="28"/>
      <c r="D1336" s="36"/>
      <c r="E1336" s="36"/>
      <c r="F1336" s="36"/>
      <c r="G1336" s="36"/>
      <c r="H1336" s="36"/>
      <c r="I1336" s="36"/>
      <c r="J1336" s="36">
        <f>YEAR(RESER3[[#This Row],[DATA]])</f>
        <v>1900</v>
      </c>
      <c r="K1336" s="36">
        <f>MONTH(RESER3[[#This Row],[DATA]])</f>
        <v>1</v>
      </c>
      <c r="L1336" s="36">
        <f>DAY(RESER3[[#This Row],[DATA]])</f>
        <v>0</v>
      </c>
      <c r="M1336" s="36"/>
    </row>
    <row r="1337" spans="1:13" x14ac:dyDescent="0.25">
      <c r="A1337" s="36"/>
      <c r="B1337" s="129"/>
      <c r="C1337" s="28"/>
      <c r="D1337" s="36"/>
      <c r="E1337" s="36"/>
      <c r="F1337" s="36"/>
      <c r="G1337" s="36"/>
      <c r="H1337" s="36"/>
      <c r="I1337" s="36"/>
      <c r="J1337" s="36">
        <f>YEAR(RESER3[[#This Row],[DATA]])</f>
        <v>1900</v>
      </c>
      <c r="K1337" s="36">
        <f>MONTH(RESER3[[#This Row],[DATA]])</f>
        <v>1</v>
      </c>
      <c r="L1337" s="36">
        <f>DAY(RESER3[[#This Row],[DATA]])</f>
        <v>0</v>
      </c>
      <c r="M1337" s="36"/>
    </row>
    <row r="1338" spans="1:13" x14ac:dyDescent="0.25">
      <c r="A1338" s="36"/>
      <c r="B1338" s="129"/>
      <c r="C1338" s="28"/>
      <c r="D1338" s="36"/>
      <c r="E1338" s="36"/>
      <c r="F1338" s="36"/>
      <c r="G1338" s="36"/>
      <c r="H1338" s="36"/>
      <c r="I1338" s="36"/>
      <c r="J1338" s="36">
        <f>YEAR(RESER3[[#This Row],[DATA]])</f>
        <v>1900</v>
      </c>
      <c r="K1338" s="36">
        <f>MONTH(RESER3[[#This Row],[DATA]])</f>
        <v>1</v>
      </c>
      <c r="L1338" s="36">
        <f>DAY(RESER3[[#This Row],[DATA]])</f>
        <v>0</v>
      </c>
      <c r="M1338" s="36"/>
    </row>
    <row r="1339" spans="1:13" x14ac:dyDescent="0.25">
      <c r="A1339" s="36"/>
      <c r="B1339" s="129"/>
      <c r="C1339" s="28"/>
      <c r="D1339" s="36"/>
      <c r="E1339" s="36"/>
      <c r="F1339" s="36"/>
      <c r="G1339" s="36"/>
      <c r="H1339" s="36"/>
      <c r="I1339" s="36"/>
      <c r="J1339" s="36">
        <f>YEAR(RESER3[[#This Row],[DATA]])</f>
        <v>1900</v>
      </c>
      <c r="K1339" s="36">
        <f>MONTH(RESER3[[#This Row],[DATA]])</f>
        <v>1</v>
      </c>
      <c r="L1339" s="36">
        <f>DAY(RESER3[[#This Row],[DATA]])</f>
        <v>0</v>
      </c>
      <c r="M1339" s="36"/>
    </row>
    <row r="1340" spans="1:13" x14ac:dyDescent="0.25">
      <c r="A1340" s="36"/>
      <c r="B1340" s="129"/>
      <c r="C1340" s="28"/>
      <c r="D1340" s="36"/>
      <c r="E1340" s="36"/>
      <c r="F1340" s="36"/>
      <c r="G1340" s="36"/>
      <c r="H1340" s="36"/>
      <c r="I1340" s="36"/>
      <c r="J1340" s="36">
        <f>YEAR(RESER3[[#This Row],[DATA]])</f>
        <v>1900</v>
      </c>
      <c r="K1340" s="36">
        <f>MONTH(RESER3[[#This Row],[DATA]])</f>
        <v>1</v>
      </c>
      <c r="L1340" s="36">
        <f>DAY(RESER3[[#This Row],[DATA]])</f>
        <v>0</v>
      </c>
      <c r="M1340" s="36"/>
    </row>
    <row r="1341" spans="1:13" x14ac:dyDescent="0.25">
      <c r="A1341" s="36"/>
      <c r="B1341" s="129"/>
      <c r="C1341" s="28"/>
      <c r="D1341" s="36"/>
      <c r="E1341" s="36"/>
      <c r="F1341" s="36"/>
      <c r="G1341" s="36"/>
      <c r="H1341" s="36"/>
      <c r="I1341" s="36"/>
      <c r="J1341" s="36">
        <f>YEAR(RESER3[[#This Row],[DATA]])</f>
        <v>1900</v>
      </c>
      <c r="K1341" s="36">
        <f>MONTH(RESER3[[#This Row],[DATA]])</f>
        <v>1</v>
      </c>
      <c r="L1341" s="36">
        <f>DAY(RESER3[[#This Row],[DATA]])</f>
        <v>0</v>
      </c>
      <c r="M1341" s="36"/>
    </row>
    <row r="1342" spans="1:13" x14ac:dyDescent="0.25">
      <c r="A1342" s="36"/>
      <c r="B1342" s="129"/>
      <c r="C1342" s="28"/>
      <c r="D1342" s="36"/>
      <c r="E1342" s="36"/>
      <c r="F1342" s="36"/>
      <c r="G1342" s="36"/>
      <c r="H1342" s="36"/>
      <c r="I1342" s="36"/>
      <c r="J1342" s="36">
        <f>YEAR(RESER3[[#This Row],[DATA]])</f>
        <v>1900</v>
      </c>
      <c r="K1342" s="36">
        <f>MONTH(RESER3[[#This Row],[DATA]])</f>
        <v>1</v>
      </c>
      <c r="L1342" s="36">
        <f>DAY(RESER3[[#This Row],[DATA]])</f>
        <v>0</v>
      </c>
      <c r="M1342" s="36"/>
    </row>
    <row r="1343" spans="1:13" x14ac:dyDescent="0.25">
      <c r="A1343" s="36"/>
      <c r="B1343" s="129"/>
      <c r="C1343" s="28"/>
      <c r="D1343" s="36"/>
      <c r="E1343" s="36"/>
      <c r="F1343" s="36"/>
      <c r="G1343" s="36"/>
      <c r="H1343" s="36"/>
      <c r="I1343" s="36"/>
      <c r="J1343" s="36">
        <f>YEAR(RESER3[[#This Row],[DATA]])</f>
        <v>1900</v>
      </c>
      <c r="K1343" s="36">
        <f>MONTH(RESER3[[#This Row],[DATA]])</f>
        <v>1</v>
      </c>
      <c r="L1343" s="36">
        <f>DAY(RESER3[[#This Row],[DATA]])</f>
        <v>0</v>
      </c>
      <c r="M1343" s="36"/>
    </row>
    <row r="1344" spans="1:13" x14ac:dyDescent="0.25">
      <c r="A1344" s="36"/>
      <c r="B1344" s="129"/>
      <c r="C1344" s="28"/>
      <c r="D1344" s="36"/>
      <c r="E1344" s="36"/>
      <c r="F1344" s="36"/>
      <c r="G1344" s="36"/>
      <c r="H1344" s="36"/>
      <c r="I1344" s="36"/>
      <c r="J1344" s="36">
        <f>YEAR(RESER3[[#This Row],[DATA]])</f>
        <v>1900</v>
      </c>
      <c r="K1344" s="36">
        <f>MONTH(RESER3[[#This Row],[DATA]])</f>
        <v>1</v>
      </c>
      <c r="L1344" s="36">
        <f>DAY(RESER3[[#This Row],[DATA]])</f>
        <v>0</v>
      </c>
      <c r="M1344" s="36"/>
    </row>
    <row r="1345" spans="1:13" x14ac:dyDescent="0.25">
      <c r="A1345" s="36"/>
      <c r="B1345" s="129"/>
      <c r="C1345" s="28"/>
      <c r="D1345" s="36"/>
      <c r="E1345" s="36"/>
      <c r="F1345" s="36"/>
      <c r="G1345" s="36"/>
      <c r="H1345" s="36"/>
      <c r="I1345" s="36"/>
      <c r="J1345" s="36">
        <f>YEAR(RESER3[[#This Row],[DATA]])</f>
        <v>1900</v>
      </c>
      <c r="K1345" s="36">
        <f>MONTH(RESER3[[#This Row],[DATA]])</f>
        <v>1</v>
      </c>
      <c r="L1345" s="36">
        <f>DAY(RESER3[[#This Row],[DATA]])</f>
        <v>0</v>
      </c>
      <c r="M1345" s="36"/>
    </row>
    <row r="1346" spans="1:13" x14ac:dyDescent="0.25">
      <c r="A1346" s="36"/>
      <c r="B1346" s="129"/>
      <c r="C1346" s="28"/>
      <c r="D1346" s="36"/>
      <c r="E1346" s="36"/>
      <c r="F1346" s="36"/>
      <c r="G1346" s="36"/>
      <c r="H1346" s="36"/>
      <c r="I1346" s="36"/>
      <c r="J1346" s="36">
        <f>YEAR(RESER3[[#This Row],[DATA]])</f>
        <v>1900</v>
      </c>
      <c r="K1346" s="36">
        <f>MONTH(RESER3[[#This Row],[DATA]])</f>
        <v>1</v>
      </c>
      <c r="L1346" s="36">
        <f>DAY(RESER3[[#This Row],[DATA]])</f>
        <v>0</v>
      </c>
      <c r="M1346" s="36"/>
    </row>
    <row r="1347" spans="1:13" x14ac:dyDescent="0.25">
      <c r="A1347" s="36"/>
      <c r="B1347" s="129"/>
      <c r="C1347" s="28"/>
      <c r="D1347" s="36"/>
      <c r="E1347" s="36"/>
      <c r="F1347" s="36"/>
      <c r="G1347" s="36"/>
      <c r="H1347" s="36"/>
      <c r="I1347" s="36"/>
      <c r="J1347" s="36">
        <f>YEAR(RESER3[[#This Row],[DATA]])</f>
        <v>1900</v>
      </c>
      <c r="K1347" s="36">
        <f>MONTH(RESER3[[#This Row],[DATA]])</f>
        <v>1</v>
      </c>
      <c r="L1347" s="36">
        <f>DAY(RESER3[[#This Row],[DATA]])</f>
        <v>0</v>
      </c>
      <c r="M1347" s="36"/>
    </row>
    <row r="1348" spans="1:13" x14ac:dyDescent="0.25">
      <c r="A1348" s="36"/>
      <c r="B1348" s="129"/>
      <c r="C1348" s="28"/>
      <c r="D1348" s="36"/>
      <c r="E1348" s="36"/>
      <c r="F1348" s="36"/>
      <c r="G1348" s="36"/>
      <c r="H1348" s="36"/>
      <c r="I1348" s="36"/>
      <c r="J1348" s="36">
        <f>YEAR(RESER3[[#This Row],[DATA]])</f>
        <v>1900</v>
      </c>
      <c r="K1348" s="36">
        <f>MONTH(RESER3[[#This Row],[DATA]])</f>
        <v>1</v>
      </c>
      <c r="L1348" s="36">
        <f>DAY(RESER3[[#This Row],[DATA]])</f>
        <v>0</v>
      </c>
      <c r="M1348" s="36"/>
    </row>
    <row r="1349" spans="1:13" x14ac:dyDescent="0.25">
      <c r="A1349" s="36"/>
      <c r="B1349" s="129"/>
      <c r="C1349" s="28"/>
      <c r="D1349" s="36"/>
      <c r="E1349" s="36"/>
      <c r="F1349" s="36"/>
      <c r="G1349" s="36"/>
      <c r="H1349" s="36"/>
      <c r="I1349" s="36"/>
      <c r="J1349" s="36">
        <f>YEAR(RESER3[[#This Row],[DATA]])</f>
        <v>1900</v>
      </c>
      <c r="K1349" s="36">
        <f>MONTH(RESER3[[#This Row],[DATA]])</f>
        <v>1</v>
      </c>
      <c r="L1349" s="36">
        <f>DAY(RESER3[[#This Row],[DATA]])</f>
        <v>0</v>
      </c>
      <c r="M1349" s="36"/>
    </row>
    <row r="1350" spans="1:13" x14ac:dyDescent="0.25">
      <c r="A1350" s="36"/>
      <c r="B1350" s="129"/>
      <c r="C1350" s="28"/>
      <c r="D1350" s="36"/>
      <c r="E1350" s="36"/>
      <c r="F1350" s="36"/>
      <c r="G1350" s="36"/>
      <c r="H1350" s="36"/>
      <c r="I1350" s="36"/>
      <c r="J1350" s="36">
        <f>YEAR(RESER3[[#This Row],[DATA]])</f>
        <v>1900</v>
      </c>
      <c r="K1350" s="36">
        <f>MONTH(RESER3[[#This Row],[DATA]])</f>
        <v>1</v>
      </c>
      <c r="L1350" s="36">
        <f>DAY(RESER3[[#This Row],[DATA]])</f>
        <v>0</v>
      </c>
      <c r="M1350" s="36"/>
    </row>
    <row r="1351" spans="1:13" x14ac:dyDescent="0.25">
      <c r="A1351" s="36"/>
      <c r="B1351" s="129"/>
      <c r="C1351" s="28"/>
      <c r="D1351" s="36"/>
      <c r="E1351" s="36"/>
      <c r="F1351" s="36"/>
      <c r="G1351" s="36"/>
      <c r="H1351" s="36"/>
      <c r="I1351" s="36"/>
      <c r="J1351" s="36">
        <f>YEAR(RESER3[[#This Row],[DATA]])</f>
        <v>1900</v>
      </c>
      <c r="K1351" s="36">
        <f>MONTH(RESER3[[#This Row],[DATA]])</f>
        <v>1</v>
      </c>
      <c r="L1351" s="36">
        <f>DAY(RESER3[[#This Row],[DATA]])</f>
        <v>0</v>
      </c>
      <c r="M1351" s="36"/>
    </row>
    <row r="1352" spans="1:13" x14ac:dyDescent="0.25">
      <c r="A1352" s="36"/>
      <c r="B1352" s="129"/>
      <c r="C1352" s="28"/>
      <c r="D1352" s="36"/>
      <c r="E1352" s="36"/>
      <c r="F1352" s="36"/>
      <c r="G1352" s="36"/>
      <c r="H1352" s="36"/>
      <c r="I1352" s="36"/>
      <c r="J1352" s="36">
        <f>YEAR(RESER3[[#This Row],[DATA]])</f>
        <v>1900</v>
      </c>
      <c r="K1352" s="36">
        <f>MONTH(RESER3[[#This Row],[DATA]])</f>
        <v>1</v>
      </c>
      <c r="L1352" s="36">
        <f>DAY(RESER3[[#This Row],[DATA]])</f>
        <v>0</v>
      </c>
      <c r="M1352" s="36"/>
    </row>
    <row r="1353" spans="1:13" x14ac:dyDescent="0.25">
      <c r="A1353" s="36"/>
      <c r="B1353" s="129"/>
      <c r="C1353" s="28"/>
      <c r="D1353" s="36"/>
      <c r="E1353" s="36"/>
      <c r="F1353" s="36"/>
      <c r="G1353" s="36"/>
      <c r="H1353" s="36"/>
      <c r="I1353" s="36"/>
      <c r="J1353" s="36">
        <f>YEAR(RESER3[[#This Row],[DATA]])</f>
        <v>1900</v>
      </c>
      <c r="K1353" s="36">
        <f>MONTH(RESER3[[#This Row],[DATA]])</f>
        <v>1</v>
      </c>
      <c r="L1353" s="36">
        <f>DAY(RESER3[[#This Row],[DATA]])</f>
        <v>0</v>
      </c>
      <c r="M1353" s="36"/>
    </row>
    <row r="1354" spans="1:13" x14ac:dyDescent="0.25">
      <c r="A1354" s="36"/>
      <c r="B1354" s="129"/>
      <c r="C1354" s="28"/>
      <c r="D1354" s="36"/>
      <c r="E1354" s="36"/>
      <c r="F1354" s="36"/>
      <c r="G1354" s="36"/>
      <c r="H1354" s="36"/>
      <c r="I1354" s="36"/>
      <c r="J1354" s="36">
        <f>YEAR(RESER3[[#This Row],[DATA]])</f>
        <v>1900</v>
      </c>
      <c r="K1354" s="36">
        <f>MONTH(RESER3[[#This Row],[DATA]])</f>
        <v>1</v>
      </c>
      <c r="L1354" s="36">
        <f>DAY(RESER3[[#This Row],[DATA]])</f>
        <v>0</v>
      </c>
      <c r="M1354" s="36"/>
    </row>
    <row r="1355" spans="1:13" x14ac:dyDescent="0.25">
      <c r="A1355" s="36"/>
      <c r="B1355" s="129"/>
      <c r="C1355" s="28"/>
      <c r="D1355" s="36"/>
      <c r="E1355" s="36"/>
      <c r="F1355" s="36"/>
      <c r="G1355" s="36"/>
      <c r="H1355" s="36"/>
      <c r="I1355" s="36"/>
      <c r="J1355" s="36">
        <f>YEAR(RESER3[[#This Row],[DATA]])</f>
        <v>1900</v>
      </c>
      <c r="K1355" s="36">
        <f>MONTH(RESER3[[#This Row],[DATA]])</f>
        <v>1</v>
      </c>
      <c r="L1355" s="36">
        <f>DAY(RESER3[[#This Row],[DATA]])</f>
        <v>0</v>
      </c>
      <c r="M1355" s="36"/>
    </row>
    <row r="1356" spans="1:13" x14ac:dyDescent="0.25">
      <c r="A1356" s="36"/>
      <c r="B1356" s="129"/>
      <c r="C1356" s="28"/>
      <c r="D1356" s="36"/>
      <c r="E1356" s="36"/>
      <c r="F1356" s="36"/>
      <c r="G1356" s="36"/>
      <c r="H1356" s="36"/>
      <c r="I1356" s="36"/>
      <c r="J1356" s="36">
        <f>YEAR(RESER3[[#This Row],[DATA]])</f>
        <v>1900</v>
      </c>
      <c r="K1356" s="36">
        <f>MONTH(RESER3[[#This Row],[DATA]])</f>
        <v>1</v>
      </c>
      <c r="L1356" s="36">
        <f>DAY(RESER3[[#This Row],[DATA]])</f>
        <v>0</v>
      </c>
      <c r="M1356" s="36"/>
    </row>
    <row r="1357" spans="1:13" x14ac:dyDescent="0.25">
      <c r="A1357" s="36"/>
      <c r="B1357" s="129"/>
      <c r="C1357" s="28"/>
      <c r="D1357" s="36"/>
      <c r="E1357" s="36"/>
      <c r="F1357" s="36"/>
      <c r="G1357" s="36"/>
      <c r="H1357" s="36"/>
      <c r="I1357" s="36"/>
      <c r="J1357" s="36">
        <f>YEAR(RESER3[[#This Row],[DATA]])</f>
        <v>1900</v>
      </c>
      <c r="K1357" s="36">
        <f>MONTH(RESER3[[#This Row],[DATA]])</f>
        <v>1</v>
      </c>
      <c r="L1357" s="36">
        <f>DAY(RESER3[[#This Row],[DATA]])</f>
        <v>0</v>
      </c>
      <c r="M1357" s="36"/>
    </row>
    <row r="1358" spans="1:13" x14ac:dyDescent="0.25">
      <c r="A1358" s="36"/>
      <c r="B1358" s="129"/>
      <c r="C1358" s="28"/>
      <c r="D1358" s="36"/>
      <c r="E1358" s="36"/>
      <c r="F1358" s="36"/>
      <c r="G1358" s="36"/>
      <c r="H1358" s="36"/>
      <c r="I1358" s="36"/>
      <c r="J1358" s="36">
        <f>YEAR(RESER3[[#This Row],[DATA]])</f>
        <v>1900</v>
      </c>
      <c r="K1358" s="36">
        <f>MONTH(RESER3[[#This Row],[DATA]])</f>
        <v>1</v>
      </c>
      <c r="L1358" s="36">
        <f>DAY(RESER3[[#This Row],[DATA]])</f>
        <v>0</v>
      </c>
      <c r="M1358" s="36"/>
    </row>
    <row r="1359" spans="1:13" x14ac:dyDescent="0.25">
      <c r="A1359" s="36"/>
      <c r="B1359" s="129"/>
      <c r="C1359" s="28"/>
      <c r="D1359" s="36"/>
      <c r="E1359" s="36"/>
      <c r="F1359" s="36"/>
      <c r="G1359" s="36"/>
      <c r="H1359" s="36"/>
      <c r="I1359" s="36"/>
      <c r="J1359" s="36">
        <f>YEAR(RESER3[[#This Row],[DATA]])</f>
        <v>1900</v>
      </c>
      <c r="K1359" s="36">
        <f>MONTH(RESER3[[#This Row],[DATA]])</f>
        <v>1</v>
      </c>
      <c r="L1359" s="36">
        <f>DAY(RESER3[[#This Row],[DATA]])</f>
        <v>0</v>
      </c>
      <c r="M1359" s="36"/>
    </row>
    <row r="1360" spans="1:13" x14ac:dyDescent="0.25">
      <c r="A1360" s="36"/>
      <c r="B1360" s="129"/>
      <c r="C1360" s="28"/>
      <c r="D1360" s="36"/>
      <c r="E1360" s="36"/>
      <c r="F1360" s="36"/>
      <c r="G1360" s="36"/>
      <c r="H1360" s="36"/>
      <c r="I1360" s="36"/>
      <c r="J1360" s="36">
        <f>YEAR(RESER3[[#This Row],[DATA]])</f>
        <v>1900</v>
      </c>
      <c r="K1360" s="36">
        <f>MONTH(RESER3[[#This Row],[DATA]])</f>
        <v>1</v>
      </c>
      <c r="L1360" s="36">
        <f>DAY(RESER3[[#This Row],[DATA]])</f>
        <v>0</v>
      </c>
      <c r="M1360" s="36"/>
    </row>
    <row r="1361" spans="1:13" x14ac:dyDescent="0.25">
      <c r="A1361" s="36"/>
      <c r="B1361" s="129"/>
      <c r="C1361" s="28"/>
      <c r="D1361" s="36"/>
      <c r="E1361" s="36"/>
      <c r="F1361" s="36"/>
      <c r="G1361" s="36"/>
      <c r="H1361" s="36"/>
      <c r="I1361" s="36"/>
      <c r="J1361" s="36">
        <f>YEAR(RESER3[[#This Row],[DATA]])</f>
        <v>1900</v>
      </c>
      <c r="K1361" s="36">
        <f>MONTH(RESER3[[#This Row],[DATA]])</f>
        <v>1</v>
      </c>
      <c r="L1361" s="36">
        <f>DAY(RESER3[[#This Row],[DATA]])</f>
        <v>0</v>
      </c>
      <c r="M1361" s="36"/>
    </row>
    <row r="1362" spans="1:13" x14ac:dyDescent="0.25">
      <c r="A1362" s="36"/>
      <c r="B1362" s="129"/>
      <c r="C1362" s="28"/>
      <c r="D1362" s="36"/>
      <c r="E1362" s="36"/>
      <c r="F1362" s="36"/>
      <c r="G1362" s="36"/>
      <c r="H1362" s="36"/>
      <c r="I1362" s="36"/>
      <c r="J1362" s="36">
        <f>YEAR(RESER3[[#This Row],[DATA]])</f>
        <v>1900</v>
      </c>
      <c r="K1362" s="36">
        <f>MONTH(RESER3[[#This Row],[DATA]])</f>
        <v>1</v>
      </c>
      <c r="L1362" s="36">
        <f>DAY(RESER3[[#This Row],[DATA]])</f>
        <v>0</v>
      </c>
      <c r="M1362" s="36"/>
    </row>
    <row r="1363" spans="1:13" x14ac:dyDescent="0.25">
      <c r="A1363" s="36"/>
      <c r="B1363" s="129"/>
      <c r="C1363" s="28"/>
      <c r="D1363" s="36"/>
      <c r="E1363" s="36"/>
      <c r="F1363" s="36"/>
      <c r="G1363" s="36"/>
      <c r="H1363" s="36"/>
      <c r="I1363" s="36"/>
      <c r="J1363" s="36">
        <f>YEAR(RESER3[[#This Row],[DATA]])</f>
        <v>1900</v>
      </c>
      <c r="K1363" s="36">
        <f>MONTH(RESER3[[#This Row],[DATA]])</f>
        <v>1</v>
      </c>
      <c r="L1363" s="36">
        <f>DAY(RESER3[[#This Row],[DATA]])</f>
        <v>0</v>
      </c>
      <c r="M1363" s="36"/>
    </row>
    <row r="1364" spans="1:13" x14ac:dyDescent="0.25">
      <c r="A1364" s="36"/>
      <c r="B1364" s="129"/>
      <c r="C1364" s="28"/>
      <c r="D1364" s="36"/>
      <c r="E1364" s="36"/>
      <c r="F1364" s="36"/>
      <c r="G1364" s="36"/>
      <c r="H1364" s="36"/>
      <c r="I1364" s="36"/>
      <c r="J1364" s="36">
        <f>YEAR(RESER3[[#This Row],[DATA]])</f>
        <v>1900</v>
      </c>
      <c r="K1364" s="36">
        <f>MONTH(RESER3[[#This Row],[DATA]])</f>
        <v>1</v>
      </c>
      <c r="L1364" s="36">
        <f>DAY(RESER3[[#This Row],[DATA]])</f>
        <v>0</v>
      </c>
      <c r="M1364" s="36"/>
    </row>
    <row r="1365" spans="1:13" x14ac:dyDescent="0.25">
      <c r="A1365" s="36"/>
      <c r="B1365" s="129"/>
      <c r="C1365" s="28"/>
      <c r="D1365" s="36"/>
      <c r="E1365" s="36"/>
      <c r="F1365" s="36"/>
      <c r="G1365" s="36"/>
      <c r="H1365" s="36"/>
      <c r="I1365" s="36"/>
      <c r="J1365" s="36">
        <f>YEAR(RESER3[[#This Row],[DATA]])</f>
        <v>1900</v>
      </c>
      <c r="K1365" s="36">
        <f>MONTH(RESER3[[#This Row],[DATA]])</f>
        <v>1</v>
      </c>
      <c r="L1365" s="36">
        <f>DAY(RESER3[[#This Row],[DATA]])</f>
        <v>0</v>
      </c>
      <c r="M1365" s="36"/>
    </row>
    <row r="1366" spans="1:13" x14ac:dyDescent="0.25">
      <c r="A1366" s="36"/>
      <c r="B1366" s="129"/>
      <c r="C1366" s="28"/>
      <c r="D1366" s="36"/>
      <c r="E1366" s="36"/>
      <c r="F1366" s="36"/>
      <c r="G1366" s="36"/>
      <c r="H1366" s="36"/>
      <c r="I1366" s="36"/>
      <c r="J1366" s="36">
        <f>YEAR(RESER3[[#This Row],[DATA]])</f>
        <v>1900</v>
      </c>
      <c r="K1366" s="36">
        <f>MONTH(RESER3[[#This Row],[DATA]])</f>
        <v>1</v>
      </c>
      <c r="L1366" s="36">
        <f>DAY(RESER3[[#This Row],[DATA]])</f>
        <v>0</v>
      </c>
      <c r="M1366" s="36"/>
    </row>
    <row r="1367" spans="1:13" x14ac:dyDescent="0.25">
      <c r="A1367" s="36"/>
      <c r="B1367" s="129"/>
      <c r="C1367" s="28"/>
      <c r="D1367" s="36"/>
      <c r="E1367" s="36"/>
      <c r="F1367" s="36"/>
      <c r="G1367" s="36"/>
      <c r="H1367" s="36"/>
      <c r="I1367" s="36"/>
      <c r="J1367" s="36">
        <f>YEAR(RESER3[[#This Row],[DATA]])</f>
        <v>1900</v>
      </c>
      <c r="K1367" s="36">
        <f>MONTH(RESER3[[#This Row],[DATA]])</f>
        <v>1</v>
      </c>
      <c r="L1367" s="36">
        <f>DAY(RESER3[[#This Row],[DATA]])</f>
        <v>0</v>
      </c>
      <c r="M1367" s="36"/>
    </row>
    <row r="1368" spans="1:13" x14ac:dyDescent="0.25">
      <c r="A1368" s="36"/>
      <c r="B1368" s="129"/>
      <c r="C1368" s="28"/>
      <c r="D1368" s="36"/>
      <c r="E1368" s="36"/>
      <c r="F1368" s="36"/>
      <c r="G1368" s="36"/>
      <c r="H1368" s="36"/>
      <c r="I1368" s="36"/>
      <c r="J1368" s="36">
        <f>YEAR(RESER3[[#This Row],[DATA]])</f>
        <v>1900</v>
      </c>
      <c r="K1368" s="36">
        <f>MONTH(RESER3[[#This Row],[DATA]])</f>
        <v>1</v>
      </c>
      <c r="L1368" s="36">
        <f>DAY(RESER3[[#This Row],[DATA]])</f>
        <v>0</v>
      </c>
      <c r="M1368" s="36"/>
    </row>
    <row r="1369" spans="1:13" x14ac:dyDescent="0.25">
      <c r="A1369" s="36"/>
      <c r="B1369" s="129"/>
      <c r="C1369" s="28"/>
      <c r="D1369" s="36"/>
      <c r="E1369" s="36"/>
      <c r="F1369" s="36"/>
      <c r="G1369" s="36"/>
      <c r="H1369" s="36"/>
      <c r="I1369" s="36"/>
      <c r="J1369" s="36">
        <f>YEAR(RESER3[[#This Row],[DATA]])</f>
        <v>1900</v>
      </c>
      <c r="K1369" s="36">
        <f>MONTH(RESER3[[#This Row],[DATA]])</f>
        <v>1</v>
      </c>
      <c r="L1369" s="36">
        <f>DAY(RESER3[[#This Row],[DATA]])</f>
        <v>0</v>
      </c>
      <c r="M1369" s="36"/>
    </row>
    <row r="1370" spans="1:13" x14ac:dyDescent="0.25">
      <c r="A1370" s="36"/>
      <c r="B1370" s="129"/>
      <c r="C1370" s="28"/>
      <c r="D1370" s="36"/>
      <c r="E1370" s="36"/>
      <c r="F1370" s="36"/>
      <c r="G1370" s="36"/>
      <c r="H1370" s="36"/>
      <c r="I1370" s="36"/>
      <c r="J1370" s="36">
        <f>YEAR(RESER3[[#This Row],[DATA]])</f>
        <v>1900</v>
      </c>
      <c r="K1370" s="36">
        <f>MONTH(RESER3[[#This Row],[DATA]])</f>
        <v>1</v>
      </c>
      <c r="L1370" s="36">
        <f>DAY(RESER3[[#This Row],[DATA]])</f>
        <v>0</v>
      </c>
      <c r="M1370" s="36"/>
    </row>
    <row r="1371" spans="1:13" x14ac:dyDescent="0.25">
      <c r="A1371" s="36"/>
      <c r="B1371" s="129"/>
      <c r="C1371" s="28"/>
      <c r="D1371" s="36"/>
      <c r="E1371" s="36"/>
      <c r="F1371" s="36"/>
      <c r="G1371" s="36"/>
      <c r="H1371" s="36"/>
      <c r="I1371" s="36"/>
      <c r="J1371" s="36">
        <f>YEAR(RESER3[[#This Row],[DATA]])</f>
        <v>1900</v>
      </c>
      <c r="K1371" s="36">
        <f>MONTH(RESER3[[#This Row],[DATA]])</f>
        <v>1</v>
      </c>
      <c r="L1371" s="36">
        <f>DAY(RESER3[[#This Row],[DATA]])</f>
        <v>0</v>
      </c>
      <c r="M1371" s="36"/>
    </row>
    <row r="1372" spans="1:13" x14ac:dyDescent="0.25">
      <c r="A1372" s="36"/>
      <c r="B1372" s="129"/>
      <c r="C1372" s="28"/>
      <c r="D1372" s="36"/>
      <c r="E1372" s="36"/>
      <c r="F1372" s="36"/>
      <c r="G1372" s="36"/>
      <c r="H1372" s="36"/>
      <c r="I1372" s="36"/>
      <c r="J1372" s="36">
        <f>YEAR(RESER3[[#This Row],[DATA]])</f>
        <v>1900</v>
      </c>
      <c r="K1372" s="36">
        <f>MONTH(RESER3[[#This Row],[DATA]])</f>
        <v>1</v>
      </c>
      <c r="L1372" s="36">
        <f>DAY(RESER3[[#This Row],[DATA]])</f>
        <v>0</v>
      </c>
      <c r="M1372" s="36"/>
    </row>
    <row r="1373" spans="1:13" x14ac:dyDescent="0.25">
      <c r="A1373" s="36"/>
      <c r="B1373" s="129"/>
      <c r="C1373" s="28"/>
      <c r="D1373" s="36"/>
      <c r="E1373" s="36"/>
      <c r="F1373" s="36"/>
      <c r="G1373" s="36"/>
      <c r="H1373" s="36"/>
      <c r="I1373" s="36"/>
      <c r="J1373" s="36">
        <f>YEAR(RESER3[[#This Row],[DATA]])</f>
        <v>1900</v>
      </c>
      <c r="K1373" s="36">
        <f>MONTH(RESER3[[#This Row],[DATA]])</f>
        <v>1</v>
      </c>
      <c r="L1373" s="36">
        <f>DAY(RESER3[[#This Row],[DATA]])</f>
        <v>0</v>
      </c>
      <c r="M1373" s="36"/>
    </row>
    <row r="1374" spans="1:13" x14ac:dyDescent="0.25">
      <c r="A1374" s="36"/>
      <c r="B1374" s="129"/>
      <c r="C1374" s="28"/>
      <c r="D1374" s="36"/>
      <c r="E1374" s="36"/>
      <c r="F1374" s="36"/>
      <c r="G1374" s="36"/>
      <c r="H1374" s="36"/>
      <c r="I1374" s="36"/>
      <c r="J1374" s="36">
        <f>YEAR(RESER3[[#This Row],[DATA]])</f>
        <v>1900</v>
      </c>
      <c r="K1374" s="36">
        <f>MONTH(RESER3[[#This Row],[DATA]])</f>
        <v>1</v>
      </c>
      <c r="L1374" s="36">
        <f>DAY(RESER3[[#This Row],[DATA]])</f>
        <v>0</v>
      </c>
      <c r="M1374" s="36"/>
    </row>
    <row r="1375" spans="1:13" x14ac:dyDescent="0.25">
      <c r="A1375" s="36"/>
      <c r="B1375" s="129"/>
      <c r="C1375" s="28"/>
      <c r="D1375" s="36"/>
      <c r="E1375" s="36"/>
      <c r="F1375" s="36"/>
      <c r="G1375" s="36"/>
      <c r="H1375" s="36"/>
      <c r="I1375" s="36"/>
      <c r="J1375" s="36">
        <f>YEAR(RESER3[[#This Row],[DATA]])</f>
        <v>1900</v>
      </c>
      <c r="K1375" s="36">
        <f>MONTH(RESER3[[#This Row],[DATA]])</f>
        <v>1</v>
      </c>
      <c r="L1375" s="36">
        <f>DAY(RESER3[[#This Row],[DATA]])</f>
        <v>0</v>
      </c>
      <c r="M1375" s="36"/>
    </row>
    <row r="1376" spans="1:13" x14ac:dyDescent="0.25">
      <c r="A1376" s="36"/>
      <c r="B1376" s="129"/>
      <c r="C1376" s="28"/>
      <c r="D1376" s="36"/>
      <c r="E1376" s="36"/>
      <c r="F1376" s="36"/>
      <c r="G1376" s="36"/>
      <c r="H1376" s="36"/>
      <c r="I1376" s="36"/>
      <c r="J1376" s="36">
        <f>YEAR(RESER3[[#This Row],[DATA]])</f>
        <v>1900</v>
      </c>
      <c r="K1376" s="36">
        <f>MONTH(RESER3[[#This Row],[DATA]])</f>
        <v>1</v>
      </c>
      <c r="L1376" s="36">
        <f>DAY(RESER3[[#This Row],[DATA]])</f>
        <v>0</v>
      </c>
      <c r="M1376" s="36"/>
    </row>
    <row r="1377" spans="1:13" x14ac:dyDescent="0.25">
      <c r="A1377" s="36"/>
      <c r="B1377" s="129"/>
      <c r="C1377" s="28"/>
      <c r="D1377" s="36"/>
      <c r="E1377" s="36"/>
      <c r="F1377" s="36"/>
      <c r="G1377" s="36"/>
      <c r="H1377" s="36"/>
      <c r="I1377" s="36"/>
      <c r="J1377" s="36">
        <f>YEAR(RESER3[[#This Row],[DATA]])</f>
        <v>1900</v>
      </c>
      <c r="K1377" s="36">
        <f>MONTH(RESER3[[#This Row],[DATA]])</f>
        <v>1</v>
      </c>
      <c r="L1377" s="36">
        <f>DAY(RESER3[[#This Row],[DATA]])</f>
        <v>0</v>
      </c>
      <c r="M1377" s="36"/>
    </row>
    <row r="1378" spans="1:13" x14ac:dyDescent="0.25">
      <c r="A1378" s="36"/>
      <c r="B1378" s="129"/>
      <c r="C1378" s="28"/>
      <c r="D1378" s="36"/>
      <c r="E1378" s="36"/>
      <c r="F1378" s="36"/>
      <c r="G1378" s="36"/>
      <c r="H1378" s="36"/>
      <c r="I1378" s="36"/>
      <c r="J1378" s="36">
        <f>YEAR(RESER3[[#This Row],[DATA]])</f>
        <v>1900</v>
      </c>
      <c r="K1378" s="36">
        <f>MONTH(RESER3[[#This Row],[DATA]])</f>
        <v>1</v>
      </c>
      <c r="L1378" s="36">
        <f>DAY(RESER3[[#This Row],[DATA]])</f>
        <v>0</v>
      </c>
      <c r="M1378" s="36"/>
    </row>
    <row r="1379" spans="1:13" x14ac:dyDescent="0.25">
      <c r="A1379" s="36"/>
      <c r="B1379" s="129"/>
      <c r="C1379" s="28"/>
      <c r="D1379" s="36"/>
      <c r="E1379" s="36"/>
      <c r="F1379" s="36"/>
      <c r="G1379" s="36"/>
      <c r="H1379" s="36"/>
      <c r="I1379" s="36"/>
      <c r="J1379" s="36">
        <f>YEAR(RESER3[[#This Row],[DATA]])</f>
        <v>1900</v>
      </c>
      <c r="K1379" s="36">
        <f>MONTH(RESER3[[#This Row],[DATA]])</f>
        <v>1</v>
      </c>
      <c r="L1379" s="36">
        <f>DAY(RESER3[[#This Row],[DATA]])</f>
        <v>0</v>
      </c>
      <c r="M1379" s="36"/>
    </row>
    <row r="1380" spans="1:13" x14ac:dyDescent="0.25">
      <c r="A1380" s="36"/>
      <c r="B1380" s="129"/>
      <c r="C1380" s="28"/>
      <c r="D1380" s="36"/>
      <c r="E1380" s="36"/>
      <c r="F1380" s="36"/>
      <c r="G1380" s="36"/>
      <c r="H1380" s="36"/>
      <c r="I1380" s="36"/>
      <c r="J1380" s="36">
        <f>YEAR(RESER3[[#This Row],[DATA]])</f>
        <v>1900</v>
      </c>
      <c r="K1380" s="36">
        <f>MONTH(RESER3[[#This Row],[DATA]])</f>
        <v>1</v>
      </c>
      <c r="L1380" s="36">
        <f>DAY(RESER3[[#This Row],[DATA]])</f>
        <v>0</v>
      </c>
      <c r="M1380" s="36"/>
    </row>
    <row r="1381" spans="1:13" x14ac:dyDescent="0.25">
      <c r="A1381" s="36"/>
      <c r="B1381" s="129"/>
      <c r="C1381" s="28"/>
      <c r="D1381" s="36"/>
      <c r="E1381" s="36"/>
      <c r="F1381" s="36"/>
      <c r="G1381" s="36"/>
      <c r="H1381" s="36"/>
      <c r="I1381" s="36"/>
      <c r="J1381" s="36">
        <f>YEAR(RESER3[[#This Row],[DATA]])</f>
        <v>1900</v>
      </c>
      <c r="K1381" s="36">
        <f>MONTH(RESER3[[#This Row],[DATA]])</f>
        <v>1</v>
      </c>
      <c r="L1381" s="36">
        <f>DAY(RESER3[[#This Row],[DATA]])</f>
        <v>0</v>
      </c>
      <c r="M1381" s="36"/>
    </row>
    <row r="1382" spans="1:13" x14ac:dyDescent="0.25">
      <c r="A1382" s="36"/>
      <c r="B1382" s="129"/>
      <c r="C1382" s="28"/>
      <c r="D1382" s="36"/>
      <c r="E1382" s="36"/>
      <c r="F1382" s="36"/>
      <c r="G1382" s="36"/>
      <c r="H1382" s="36"/>
      <c r="I1382" s="36"/>
      <c r="J1382" s="36">
        <f>YEAR(RESER3[[#This Row],[DATA]])</f>
        <v>1900</v>
      </c>
      <c r="K1382" s="36">
        <f>MONTH(RESER3[[#This Row],[DATA]])</f>
        <v>1</v>
      </c>
      <c r="L1382" s="36">
        <f>DAY(RESER3[[#This Row],[DATA]])</f>
        <v>0</v>
      </c>
      <c r="M1382" s="36"/>
    </row>
    <row r="1383" spans="1:13" x14ac:dyDescent="0.25">
      <c r="A1383" s="36"/>
      <c r="B1383" s="129"/>
      <c r="C1383" s="28"/>
      <c r="D1383" s="36"/>
      <c r="E1383" s="36"/>
      <c r="F1383" s="36"/>
      <c r="G1383" s="36"/>
      <c r="H1383" s="36"/>
      <c r="I1383" s="36"/>
      <c r="J1383" s="36">
        <f>YEAR(RESER3[[#This Row],[DATA]])</f>
        <v>1900</v>
      </c>
      <c r="K1383" s="36">
        <f>MONTH(RESER3[[#This Row],[DATA]])</f>
        <v>1</v>
      </c>
      <c r="L1383" s="36">
        <f>DAY(RESER3[[#This Row],[DATA]])</f>
        <v>0</v>
      </c>
      <c r="M1383" s="36"/>
    </row>
    <row r="1384" spans="1:13" x14ac:dyDescent="0.25">
      <c r="A1384" s="36"/>
      <c r="B1384" s="129"/>
      <c r="C1384" s="28"/>
      <c r="D1384" s="36"/>
      <c r="E1384" s="36"/>
      <c r="F1384" s="36"/>
      <c r="G1384" s="36"/>
      <c r="H1384" s="36"/>
      <c r="I1384" s="36"/>
      <c r="J1384" s="36">
        <f>YEAR(RESER3[[#This Row],[DATA]])</f>
        <v>1900</v>
      </c>
      <c r="K1384" s="36">
        <f>MONTH(RESER3[[#This Row],[DATA]])</f>
        <v>1</v>
      </c>
      <c r="L1384" s="36">
        <f>DAY(RESER3[[#This Row],[DATA]])</f>
        <v>0</v>
      </c>
      <c r="M1384" s="36"/>
    </row>
    <row r="1385" spans="1:13" x14ac:dyDescent="0.25">
      <c r="A1385" s="36"/>
      <c r="B1385" s="129"/>
      <c r="C1385" s="28"/>
      <c r="D1385" s="36"/>
      <c r="E1385" s="36"/>
      <c r="F1385" s="36"/>
      <c r="G1385" s="36"/>
      <c r="H1385" s="36"/>
      <c r="I1385" s="36"/>
      <c r="J1385" s="36">
        <f>YEAR(RESER3[[#This Row],[DATA]])</f>
        <v>1900</v>
      </c>
      <c r="K1385" s="36">
        <f>MONTH(RESER3[[#This Row],[DATA]])</f>
        <v>1</v>
      </c>
      <c r="L1385" s="36">
        <f>DAY(RESER3[[#This Row],[DATA]])</f>
        <v>0</v>
      </c>
      <c r="M1385" s="36"/>
    </row>
    <row r="1386" spans="1:13" x14ac:dyDescent="0.25">
      <c r="A1386" s="36"/>
      <c r="B1386" s="129"/>
      <c r="C1386" s="28"/>
      <c r="D1386" s="36"/>
      <c r="E1386" s="36"/>
      <c r="F1386" s="36"/>
      <c r="G1386" s="36"/>
      <c r="H1386" s="36"/>
      <c r="I1386" s="36"/>
      <c r="J1386" s="36">
        <f>YEAR(RESER3[[#This Row],[DATA]])</f>
        <v>1900</v>
      </c>
      <c r="K1386" s="36">
        <f>MONTH(RESER3[[#This Row],[DATA]])</f>
        <v>1</v>
      </c>
      <c r="L1386" s="36">
        <f>DAY(RESER3[[#This Row],[DATA]])</f>
        <v>0</v>
      </c>
      <c r="M1386" s="36"/>
    </row>
    <row r="1387" spans="1:13" x14ac:dyDescent="0.25">
      <c r="A1387" s="36"/>
      <c r="B1387" s="129"/>
      <c r="C1387" s="28"/>
      <c r="D1387" s="36"/>
      <c r="E1387" s="36"/>
      <c r="F1387" s="36"/>
      <c r="G1387" s="36"/>
      <c r="H1387" s="36"/>
      <c r="I1387" s="36"/>
      <c r="J1387" s="36">
        <f>YEAR(RESER3[[#This Row],[DATA]])</f>
        <v>1900</v>
      </c>
      <c r="K1387" s="36">
        <f>MONTH(RESER3[[#This Row],[DATA]])</f>
        <v>1</v>
      </c>
      <c r="L1387" s="36">
        <f>DAY(RESER3[[#This Row],[DATA]])</f>
        <v>0</v>
      </c>
      <c r="M1387" s="36"/>
    </row>
    <row r="1388" spans="1:13" x14ac:dyDescent="0.25">
      <c r="A1388" s="36"/>
      <c r="B1388" s="129"/>
      <c r="C1388" s="28"/>
      <c r="D1388" s="36"/>
      <c r="E1388" s="36"/>
      <c r="F1388" s="36"/>
      <c r="G1388" s="36"/>
      <c r="H1388" s="36"/>
      <c r="I1388" s="36"/>
      <c r="J1388" s="36">
        <f>YEAR(RESER3[[#This Row],[DATA]])</f>
        <v>1900</v>
      </c>
      <c r="K1388" s="36">
        <f>MONTH(RESER3[[#This Row],[DATA]])</f>
        <v>1</v>
      </c>
      <c r="L1388" s="36">
        <f>DAY(RESER3[[#This Row],[DATA]])</f>
        <v>0</v>
      </c>
      <c r="M1388" s="36"/>
    </row>
    <row r="1389" spans="1:13" x14ac:dyDescent="0.25">
      <c r="A1389" s="36"/>
      <c r="B1389" s="129"/>
      <c r="C1389" s="28"/>
      <c r="D1389" s="36"/>
      <c r="E1389" s="36"/>
      <c r="F1389" s="36"/>
      <c r="G1389" s="36"/>
      <c r="H1389" s="36"/>
      <c r="I1389" s="36"/>
      <c r="J1389" s="36">
        <f>YEAR(RESER3[[#This Row],[DATA]])</f>
        <v>1900</v>
      </c>
      <c r="K1389" s="36">
        <f>MONTH(RESER3[[#This Row],[DATA]])</f>
        <v>1</v>
      </c>
      <c r="L1389" s="36">
        <f>DAY(RESER3[[#This Row],[DATA]])</f>
        <v>0</v>
      </c>
      <c r="M1389" s="36"/>
    </row>
    <row r="1390" spans="1:13" x14ac:dyDescent="0.25">
      <c r="A1390" s="36"/>
      <c r="B1390" s="129"/>
      <c r="C1390" s="28"/>
      <c r="D1390" s="36"/>
      <c r="E1390" s="36"/>
      <c r="F1390" s="36"/>
      <c r="G1390" s="36"/>
      <c r="H1390" s="36"/>
      <c r="I1390" s="36"/>
      <c r="J1390" s="36">
        <f>YEAR(RESER3[[#This Row],[DATA]])</f>
        <v>1900</v>
      </c>
      <c r="K1390" s="36">
        <f>MONTH(RESER3[[#This Row],[DATA]])</f>
        <v>1</v>
      </c>
      <c r="L1390" s="36">
        <f>DAY(RESER3[[#This Row],[DATA]])</f>
        <v>0</v>
      </c>
      <c r="M1390" s="36"/>
    </row>
    <row r="1391" spans="1:13" x14ac:dyDescent="0.25">
      <c r="A1391" s="36"/>
      <c r="B1391" s="129"/>
      <c r="C1391" s="28"/>
      <c r="D1391" s="36"/>
      <c r="E1391" s="36"/>
      <c r="F1391" s="36"/>
      <c r="G1391" s="36"/>
      <c r="H1391" s="36"/>
      <c r="I1391" s="36"/>
      <c r="J1391" s="36">
        <f>YEAR(RESER3[[#This Row],[DATA]])</f>
        <v>1900</v>
      </c>
      <c r="K1391" s="36">
        <f>MONTH(RESER3[[#This Row],[DATA]])</f>
        <v>1</v>
      </c>
      <c r="L1391" s="36">
        <f>DAY(RESER3[[#This Row],[DATA]])</f>
        <v>0</v>
      </c>
      <c r="M1391" s="36"/>
    </row>
    <row r="1392" spans="1:13" x14ac:dyDescent="0.25">
      <c r="A1392" s="36"/>
      <c r="B1392" s="129"/>
      <c r="C1392" s="28"/>
      <c r="D1392" s="36"/>
      <c r="E1392" s="36"/>
      <c r="F1392" s="36"/>
      <c r="G1392" s="36"/>
      <c r="H1392" s="36"/>
      <c r="I1392" s="36"/>
      <c r="J1392" s="36">
        <f>YEAR(RESER3[[#This Row],[DATA]])</f>
        <v>1900</v>
      </c>
      <c r="K1392" s="36">
        <f>MONTH(RESER3[[#This Row],[DATA]])</f>
        <v>1</v>
      </c>
      <c r="L1392" s="36">
        <f>DAY(RESER3[[#This Row],[DATA]])</f>
        <v>0</v>
      </c>
      <c r="M1392" s="36"/>
    </row>
    <row r="1393" spans="1:13" x14ac:dyDescent="0.25">
      <c r="A1393" s="36"/>
      <c r="B1393" s="129"/>
      <c r="C1393" s="28"/>
      <c r="D1393" s="36"/>
      <c r="E1393" s="36"/>
      <c r="F1393" s="36"/>
      <c r="G1393" s="36"/>
      <c r="H1393" s="36"/>
      <c r="I1393" s="36"/>
      <c r="J1393" s="36">
        <f>YEAR(RESER3[[#This Row],[DATA]])</f>
        <v>1900</v>
      </c>
      <c r="K1393" s="36">
        <f>MONTH(RESER3[[#This Row],[DATA]])</f>
        <v>1</v>
      </c>
      <c r="L1393" s="36">
        <f>DAY(RESER3[[#This Row],[DATA]])</f>
        <v>0</v>
      </c>
      <c r="M1393" s="36"/>
    </row>
    <row r="1394" spans="1:13" x14ac:dyDescent="0.25">
      <c r="A1394" s="36"/>
      <c r="B1394" s="129"/>
      <c r="C1394" s="28"/>
      <c r="D1394" s="36"/>
      <c r="E1394" s="36"/>
      <c r="F1394" s="36"/>
      <c r="G1394" s="36"/>
      <c r="H1394" s="36"/>
      <c r="I1394" s="36"/>
      <c r="J1394" s="36">
        <f>YEAR(RESER3[[#This Row],[DATA]])</f>
        <v>1900</v>
      </c>
      <c r="K1394" s="36">
        <f>MONTH(RESER3[[#This Row],[DATA]])</f>
        <v>1</v>
      </c>
      <c r="L1394" s="36">
        <f>DAY(RESER3[[#This Row],[DATA]])</f>
        <v>0</v>
      </c>
      <c r="M1394" s="36"/>
    </row>
    <row r="1395" spans="1:13" x14ac:dyDescent="0.25">
      <c r="A1395" s="36"/>
      <c r="B1395" s="129"/>
      <c r="C1395" s="28"/>
      <c r="D1395" s="36"/>
      <c r="E1395" s="36"/>
      <c r="F1395" s="36"/>
      <c r="G1395" s="36"/>
      <c r="H1395" s="36"/>
      <c r="I1395" s="36"/>
      <c r="J1395" s="36">
        <f>YEAR(RESER3[[#This Row],[DATA]])</f>
        <v>1900</v>
      </c>
      <c r="K1395" s="36">
        <f>MONTH(RESER3[[#This Row],[DATA]])</f>
        <v>1</v>
      </c>
      <c r="L1395" s="36">
        <f>DAY(RESER3[[#This Row],[DATA]])</f>
        <v>0</v>
      </c>
      <c r="M1395" s="36"/>
    </row>
    <row r="1396" spans="1:13" x14ac:dyDescent="0.25">
      <c r="A1396" s="36"/>
      <c r="B1396" s="129"/>
      <c r="C1396" s="28"/>
      <c r="D1396" s="36"/>
      <c r="E1396" s="36"/>
      <c r="F1396" s="36"/>
      <c r="G1396" s="36"/>
      <c r="H1396" s="36"/>
      <c r="I1396" s="36"/>
      <c r="J1396" s="36">
        <f>YEAR(RESER3[[#This Row],[DATA]])</f>
        <v>1900</v>
      </c>
      <c r="K1396" s="36">
        <f>MONTH(RESER3[[#This Row],[DATA]])</f>
        <v>1</v>
      </c>
      <c r="L1396" s="36">
        <f>DAY(RESER3[[#This Row],[DATA]])</f>
        <v>0</v>
      </c>
      <c r="M1396" s="36"/>
    </row>
    <row r="1397" spans="1:13" x14ac:dyDescent="0.25">
      <c r="A1397" s="36"/>
      <c r="B1397" s="129"/>
      <c r="C1397" s="28"/>
      <c r="D1397" s="36"/>
      <c r="E1397" s="36"/>
      <c r="F1397" s="36"/>
      <c r="G1397" s="36"/>
      <c r="H1397" s="36"/>
      <c r="I1397" s="36"/>
      <c r="J1397" s="36">
        <f>YEAR(RESER3[[#This Row],[DATA]])</f>
        <v>1900</v>
      </c>
      <c r="K1397" s="36">
        <f>MONTH(RESER3[[#This Row],[DATA]])</f>
        <v>1</v>
      </c>
      <c r="L1397" s="36">
        <f>DAY(RESER3[[#This Row],[DATA]])</f>
        <v>0</v>
      </c>
      <c r="M1397" s="36"/>
    </row>
    <row r="1398" spans="1:13" x14ac:dyDescent="0.25">
      <c r="A1398" s="36"/>
      <c r="B1398" s="129"/>
      <c r="C1398" s="28"/>
      <c r="D1398" s="36"/>
      <c r="E1398" s="36"/>
      <c r="F1398" s="36"/>
      <c r="G1398" s="36"/>
      <c r="H1398" s="36"/>
      <c r="I1398" s="36"/>
      <c r="J1398" s="36">
        <f>YEAR(RESER3[[#This Row],[DATA]])</f>
        <v>1900</v>
      </c>
      <c r="K1398" s="36">
        <f>MONTH(RESER3[[#This Row],[DATA]])</f>
        <v>1</v>
      </c>
      <c r="L1398" s="36">
        <f>DAY(RESER3[[#This Row],[DATA]])</f>
        <v>0</v>
      </c>
      <c r="M1398" s="36"/>
    </row>
    <row r="1399" spans="1:13" x14ac:dyDescent="0.25">
      <c r="A1399" s="36"/>
      <c r="B1399" s="129"/>
      <c r="C1399" s="28"/>
      <c r="D1399" s="36"/>
      <c r="E1399" s="36"/>
      <c r="F1399" s="36"/>
      <c r="G1399" s="36"/>
      <c r="H1399" s="36"/>
      <c r="I1399" s="36"/>
      <c r="J1399" s="36">
        <f>YEAR(RESER3[[#This Row],[DATA]])</f>
        <v>1900</v>
      </c>
      <c r="K1399" s="36">
        <f>MONTH(RESER3[[#This Row],[DATA]])</f>
        <v>1</v>
      </c>
      <c r="L1399" s="36">
        <f>DAY(RESER3[[#This Row],[DATA]])</f>
        <v>0</v>
      </c>
      <c r="M1399" s="36"/>
    </row>
    <row r="1400" spans="1:13" x14ac:dyDescent="0.25">
      <c r="A1400" s="36"/>
      <c r="B1400" s="129"/>
      <c r="C1400" s="28"/>
      <c r="D1400" s="36"/>
      <c r="E1400" s="36"/>
      <c r="F1400" s="36"/>
      <c r="G1400" s="36"/>
      <c r="H1400" s="36"/>
      <c r="I1400" s="36"/>
      <c r="J1400" s="36">
        <f>YEAR(RESER3[[#This Row],[DATA]])</f>
        <v>1900</v>
      </c>
      <c r="K1400" s="36">
        <f>MONTH(RESER3[[#This Row],[DATA]])</f>
        <v>1</v>
      </c>
      <c r="L1400" s="36">
        <f>DAY(RESER3[[#This Row],[DATA]])</f>
        <v>0</v>
      </c>
      <c r="M1400" s="36"/>
    </row>
    <row r="1401" spans="1:13" x14ac:dyDescent="0.25">
      <c r="A1401" s="36"/>
      <c r="B1401" s="129"/>
      <c r="C1401" s="28"/>
      <c r="D1401" s="36"/>
      <c r="E1401" s="36"/>
      <c r="F1401" s="36"/>
      <c r="G1401" s="36"/>
      <c r="H1401" s="36"/>
      <c r="I1401" s="36"/>
      <c r="J1401" s="36">
        <f>YEAR(RESER3[[#This Row],[DATA]])</f>
        <v>1900</v>
      </c>
      <c r="K1401" s="36">
        <f>MONTH(RESER3[[#This Row],[DATA]])</f>
        <v>1</v>
      </c>
      <c r="L1401" s="36">
        <f>DAY(RESER3[[#This Row],[DATA]])</f>
        <v>0</v>
      </c>
      <c r="M1401" s="36"/>
    </row>
    <row r="1402" spans="1:13" x14ac:dyDescent="0.25">
      <c r="A1402" s="36"/>
      <c r="B1402" s="129"/>
      <c r="C1402" s="28"/>
      <c r="D1402" s="36"/>
      <c r="E1402" s="36"/>
      <c r="F1402" s="36"/>
      <c r="G1402" s="36"/>
      <c r="H1402" s="36"/>
      <c r="I1402" s="36"/>
      <c r="J1402" s="36">
        <f>YEAR(RESER3[[#This Row],[DATA]])</f>
        <v>1900</v>
      </c>
      <c r="K1402" s="36">
        <f>MONTH(RESER3[[#This Row],[DATA]])</f>
        <v>1</v>
      </c>
      <c r="L1402" s="36">
        <f>DAY(RESER3[[#This Row],[DATA]])</f>
        <v>0</v>
      </c>
      <c r="M1402" s="36"/>
    </row>
    <row r="1403" spans="1:13" x14ac:dyDescent="0.25">
      <c r="A1403" s="36"/>
      <c r="B1403" s="129"/>
      <c r="C1403" s="28"/>
      <c r="D1403" s="36"/>
      <c r="E1403" s="36"/>
      <c r="F1403" s="36"/>
      <c r="G1403" s="36"/>
      <c r="H1403" s="36"/>
      <c r="I1403" s="36"/>
      <c r="J1403" s="36">
        <f>YEAR(RESER3[[#This Row],[DATA]])</f>
        <v>1900</v>
      </c>
      <c r="K1403" s="36">
        <f>MONTH(RESER3[[#This Row],[DATA]])</f>
        <v>1</v>
      </c>
      <c r="L1403" s="36">
        <f>DAY(RESER3[[#This Row],[DATA]])</f>
        <v>0</v>
      </c>
      <c r="M1403" s="36"/>
    </row>
    <row r="1404" spans="1:13" x14ac:dyDescent="0.25">
      <c r="A1404" s="36"/>
      <c r="B1404" s="129"/>
      <c r="C1404" s="28"/>
      <c r="D1404" s="36"/>
      <c r="E1404" s="36"/>
      <c r="F1404" s="36"/>
      <c r="G1404" s="36"/>
      <c r="H1404" s="36"/>
      <c r="I1404" s="36"/>
      <c r="J1404" s="36">
        <f>YEAR(RESER3[[#This Row],[DATA]])</f>
        <v>1900</v>
      </c>
      <c r="K1404" s="36">
        <f>MONTH(RESER3[[#This Row],[DATA]])</f>
        <v>1</v>
      </c>
      <c r="L1404" s="36">
        <f>DAY(RESER3[[#This Row],[DATA]])</f>
        <v>0</v>
      </c>
      <c r="M1404" s="36"/>
    </row>
    <row r="1405" spans="1:13" x14ac:dyDescent="0.25">
      <c r="A1405" s="36"/>
      <c r="B1405" s="129"/>
      <c r="C1405" s="28"/>
      <c r="D1405" s="36"/>
      <c r="E1405" s="36"/>
      <c r="F1405" s="36"/>
      <c r="G1405" s="36"/>
      <c r="H1405" s="36"/>
      <c r="I1405" s="36"/>
      <c r="J1405" s="36">
        <f>YEAR(RESER3[[#This Row],[DATA]])</f>
        <v>1900</v>
      </c>
      <c r="K1405" s="36">
        <f>MONTH(RESER3[[#This Row],[DATA]])</f>
        <v>1</v>
      </c>
      <c r="L1405" s="36">
        <f>DAY(RESER3[[#This Row],[DATA]])</f>
        <v>0</v>
      </c>
      <c r="M1405" s="36"/>
    </row>
    <row r="1406" spans="1:13" x14ac:dyDescent="0.25">
      <c r="A1406" s="36"/>
      <c r="B1406" s="129"/>
      <c r="C1406" s="28"/>
      <c r="D1406" s="36"/>
      <c r="E1406" s="36"/>
      <c r="F1406" s="36"/>
      <c r="G1406" s="36"/>
      <c r="H1406" s="36"/>
      <c r="I1406" s="36"/>
      <c r="J1406" s="36">
        <f>YEAR(RESER3[[#This Row],[DATA]])</f>
        <v>1900</v>
      </c>
      <c r="K1406" s="36">
        <f>MONTH(RESER3[[#This Row],[DATA]])</f>
        <v>1</v>
      </c>
      <c r="L1406" s="36">
        <f>DAY(RESER3[[#This Row],[DATA]])</f>
        <v>0</v>
      </c>
      <c r="M1406" s="36"/>
    </row>
    <row r="1407" spans="1:13" x14ac:dyDescent="0.25">
      <c r="A1407" s="36"/>
      <c r="B1407" s="129"/>
      <c r="C1407" s="28"/>
      <c r="D1407" s="36"/>
      <c r="E1407" s="36"/>
      <c r="F1407" s="36"/>
      <c r="G1407" s="36"/>
      <c r="H1407" s="36"/>
      <c r="I1407" s="36"/>
      <c r="J1407" s="36">
        <f>YEAR(RESER3[[#This Row],[DATA]])</f>
        <v>1900</v>
      </c>
      <c r="K1407" s="36">
        <f>MONTH(RESER3[[#This Row],[DATA]])</f>
        <v>1</v>
      </c>
      <c r="L1407" s="36">
        <f>DAY(RESER3[[#This Row],[DATA]])</f>
        <v>0</v>
      </c>
      <c r="M1407" s="36"/>
    </row>
    <row r="1408" spans="1:13" x14ac:dyDescent="0.25">
      <c r="A1408" s="36"/>
      <c r="B1408" s="129"/>
      <c r="C1408" s="28"/>
      <c r="D1408" s="36"/>
      <c r="E1408" s="36"/>
      <c r="F1408" s="36"/>
      <c r="G1408" s="36"/>
      <c r="H1408" s="36"/>
      <c r="I1408" s="36"/>
      <c r="J1408" s="36">
        <f>YEAR(RESER3[[#This Row],[DATA]])</f>
        <v>1900</v>
      </c>
      <c r="K1408" s="36">
        <f>MONTH(RESER3[[#This Row],[DATA]])</f>
        <v>1</v>
      </c>
      <c r="L1408" s="36">
        <f>DAY(RESER3[[#This Row],[DATA]])</f>
        <v>0</v>
      </c>
      <c r="M1408" s="36"/>
    </row>
    <row r="1409" spans="1:13" x14ac:dyDescent="0.25">
      <c r="A1409" s="36"/>
      <c r="B1409" s="129"/>
      <c r="C1409" s="28"/>
      <c r="D1409" s="36"/>
      <c r="E1409" s="36"/>
      <c r="F1409" s="36"/>
      <c r="G1409" s="36"/>
      <c r="H1409" s="36"/>
      <c r="I1409" s="36"/>
      <c r="J1409" s="36">
        <f>YEAR(RESER3[[#This Row],[DATA]])</f>
        <v>1900</v>
      </c>
      <c r="K1409" s="36">
        <f>MONTH(RESER3[[#This Row],[DATA]])</f>
        <v>1</v>
      </c>
      <c r="L1409" s="36">
        <f>DAY(RESER3[[#This Row],[DATA]])</f>
        <v>0</v>
      </c>
      <c r="M1409" s="36"/>
    </row>
    <row r="1410" spans="1:13" x14ac:dyDescent="0.25">
      <c r="A1410" s="36"/>
      <c r="B1410" s="129"/>
      <c r="C1410" s="28"/>
      <c r="D1410" s="36"/>
      <c r="E1410" s="36"/>
      <c r="F1410" s="36"/>
      <c r="G1410" s="36"/>
      <c r="H1410" s="36"/>
      <c r="I1410" s="36"/>
      <c r="J1410" s="36">
        <f>YEAR(RESER3[[#This Row],[DATA]])</f>
        <v>1900</v>
      </c>
      <c r="K1410" s="36">
        <f>MONTH(RESER3[[#This Row],[DATA]])</f>
        <v>1</v>
      </c>
      <c r="L1410" s="36">
        <f>DAY(RESER3[[#This Row],[DATA]])</f>
        <v>0</v>
      </c>
      <c r="M1410" s="36"/>
    </row>
    <row r="1411" spans="1:13" x14ac:dyDescent="0.25">
      <c r="A1411" s="36"/>
      <c r="B1411" s="129"/>
      <c r="C1411" s="28"/>
      <c r="D1411" s="36"/>
      <c r="E1411" s="36"/>
      <c r="F1411" s="36"/>
      <c r="G1411" s="36"/>
      <c r="H1411" s="36"/>
      <c r="I1411" s="36"/>
      <c r="J1411" s="36">
        <f>YEAR(RESER3[[#This Row],[DATA]])</f>
        <v>1900</v>
      </c>
      <c r="K1411" s="36">
        <f>MONTH(RESER3[[#This Row],[DATA]])</f>
        <v>1</v>
      </c>
      <c r="L1411" s="36">
        <f>DAY(RESER3[[#This Row],[DATA]])</f>
        <v>0</v>
      </c>
      <c r="M1411" s="36"/>
    </row>
    <row r="1412" spans="1:13" x14ac:dyDescent="0.25">
      <c r="A1412" s="36"/>
      <c r="B1412" s="129"/>
      <c r="C1412" s="28"/>
      <c r="D1412" s="36"/>
      <c r="E1412" s="36"/>
      <c r="F1412" s="36"/>
      <c r="G1412" s="36"/>
      <c r="H1412" s="36"/>
      <c r="I1412" s="36"/>
      <c r="J1412" s="36">
        <f>YEAR(RESER3[[#This Row],[DATA]])</f>
        <v>1900</v>
      </c>
      <c r="K1412" s="36">
        <f>MONTH(RESER3[[#This Row],[DATA]])</f>
        <v>1</v>
      </c>
      <c r="L1412" s="36">
        <f>DAY(RESER3[[#This Row],[DATA]])</f>
        <v>0</v>
      </c>
      <c r="M1412" s="36"/>
    </row>
    <row r="1413" spans="1:13" x14ac:dyDescent="0.25">
      <c r="A1413" s="36"/>
      <c r="B1413" s="129"/>
      <c r="C1413" s="28"/>
      <c r="D1413" s="36"/>
      <c r="E1413" s="36"/>
      <c r="F1413" s="36"/>
      <c r="G1413" s="36"/>
      <c r="H1413" s="36"/>
      <c r="I1413" s="36"/>
      <c r="J1413" s="36">
        <f>YEAR(RESER3[[#This Row],[DATA]])</f>
        <v>1900</v>
      </c>
      <c r="K1413" s="36">
        <f>MONTH(RESER3[[#This Row],[DATA]])</f>
        <v>1</v>
      </c>
      <c r="L1413" s="36">
        <f>DAY(RESER3[[#This Row],[DATA]])</f>
        <v>0</v>
      </c>
      <c r="M1413" s="36"/>
    </row>
    <row r="1414" spans="1:13" x14ac:dyDescent="0.25">
      <c r="A1414" s="36"/>
      <c r="B1414" s="129"/>
      <c r="C1414" s="28"/>
      <c r="D1414" s="36"/>
      <c r="E1414" s="36"/>
      <c r="F1414" s="36"/>
      <c r="G1414" s="36"/>
      <c r="H1414" s="36"/>
      <c r="I1414" s="36"/>
      <c r="J1414" s="36">
        <f>YEAR(RESER3[[#This Row],[DATA]])</f>
        <v>1900</v>
      </c>
      <c r="K1414" s="36">
        <f>MONTH(RESER3[[#This Row],[DATA]])</f>
        <v>1</v>
      </c>
      <c r="L1414" s="36">
        <f>DAY(RESER3[[#This Row],[DATA]])</f>
        <v>0</v>
      </c>
      <c r="M1414" s="36"/>
    </row>
    <row r="1415" spans="1:13" x14ac:dyDescent="0.25">
      <c r="A1415" s="36"/>
      <c r="B1415" s="129"/>
      <c r="C1415" s="28"/>
      <c r="D1415" s="36"/>
      <c r="E1415" s="36"/>
      <c r="F1415" s="36"/>
      <c r="G1415" s="36"/>
      <c r="H1415" s="36"/>
      <c r="I1415" s="36"/>
      <c r="J1415" s="36">
        <f>YEAR(RESER3[[#This Row],[DATA]])</f>
        <v>1900</v>
      </c>
      <c r="K1415" s="36">
        <f>MONTH(RESER3[[#This Row],[DATA]])</f>
        <v>1</v>
      </c>
      <c r="L1415" s="36">
        <f>DAY(RESER3[[#This Row],[DATA]])</f>
        <v>0</v>
      </c>
      <c r="M1415" s="36"/>
    </row>
    <row r="1416" spans="1:13" x14ac:dyDescent="0.25">
      <c r="A1416" s="36"/>
      <c r="B1416" s="129"/>
      <c r="C1416" s="28"/>
      <c r="D1416" s="36"/>
      <c r="E1416" s="36"/>
      <c r="F1416" s="36"/>
      <c r="G1416" s="36"/>
      <c r="H1416" s="36"/>
      <c r="I1416" s="36"/>
      <c r="J1416" s="36">
        <f>YEAR(RESER3[[#This Row],[DATA]])</f>
        <v>1900</v>
      </c>
      <c r="K1416" s="36">
        <f>MONTH(RESER3[[#This Row],[DATA]])</f>
        <v>1</v>
      </c>
      <c r="L1416" s="36">
        <f>DAY(RESER3[[#This Row],[DATA]])</f>
        <v>0</v>
      </c>
      <c r="M1416" s="36"/>
    </row>
    <row r="1417" spans="1:13" x14ac:dyDescent="0.25">
      <c r="A1417" s="36"/>
      <c r="B1417" s="129"/>
      <c r="C1417" s="28"/>
      <c r="D1417" s="36"/>
      <c r="E1417" s="36"/>
      <c r="F1417" s="36"/>
      <c r="G1417" s="36"/>
      <c r="H1417" s="36"/>
      <c r="I1417" s="36"/>
      <c r="J1417" s="36">
        <f>YEAR(RESER3[[#This Row],[DATA]])</f>
        <v>1900</v>
      </c>
      <c r="K1417" s="36">
        <f>MONTH(RESER3[[#This Row],[DATA]])</f>
        <v>1</v>
      </c>
      <c r="L1417" s="36">
        <f>DAY(RESER3[[#This Row],[DATA]])</f>
        <v>0</v>
      </c>
      <c r="M1417" s="36"/>
    </row>
    <row r="1418" spans="1:13" x14ac:dyDescent="0.25">
      <c r="A1418" s="36"/>
      <c r="B1418" s="129"/>
      <c r="C1418" s="28"/>
      <c r="D1418" s="36"/>
      <c r="E1418" s="36"/>
      <c r="F1418" s="36"/>
      <c r="G1418" s="36"/>
      <c r="H1418" s="36"/>
      <c r="I1418" s="36"/>
      <c r="J1418" s="36">
        <f>YEAR(RESER3[[#This Row],[DATA]])</f>
        <v>1900</v>
      </c>
      <c r="K1418" s="36">
        <f>MONTH(RESER3[[#This Row],[DATA]])</f>
        <v>1</v>
      </c>
      <c r="L1418" s="36">
        <f>DAY(RESER3[[#This Row],[DATA]])</f>
        <v>0</v>
      </c>
      <c r="M1418" s="36"/>
    </row>
    <row r="1419" spans="1:13" x14ac:dyDescent="0.25">
      <c r="A1419" s="36"/>
      <c r="B1419" s="129"/>
      <c r="C1419" s="28"/>
      <c r="D1419" s="36"/>
      <c r="E1419" s="36"/>
      <c r="F1419" s="36"/>
      <c r="G1419" s="36"/>
      <c r="H1419" s="36"/>
      <c r="I1419" s="36"/>
      <c r="J1419" s="36">
        <f>YEAR(RESER3[[#This Row],[DATA]])</f>
        <v>1900</v>
      </c>
      <c r="K1419" s="36">
        <f>MONTH(RESER3[[#This Row],[DATA]])</f>
        <v>1</v>
      </c>
      <c r="L1419" s="36">
        <f>DAY(RESER3[[#This Row],[DATA]])</f>
        <v>0</v>
      </c>
      <c r="M1419" s="36"/>
    </row>
    <row r="1420" spans="1:13" x14ac:dyDescent="0.25">
      <c r="A1420" s="36"/>
      <c r="B1420" s="129"/>
      <c r="C1420" s="28"/>
      <c r="D1420" s="36"/>
      <c r="E1420" s="36"/>
      <c r="F1420" s="36"/>
      <c r="G1420" s="36"/>
      <c r="H1420" s="36"/>
      <c r="I1420" s="36"/>
      <c r="J1420" s="36">
        <f>YEAR(RESER3[[#This Row],[DATA]])</f>
        <v>1900</v>
      </c>
      <c r="K1420" s="36">
        <f>MONTH(RESER3[[#This Row],[DATA]])</f>
        <v>1</v>
      </c>
      <c r="L1420" s="36">
        <f>DAY(RESER3[[#This Row],[DATA]])</f>
        <v>0</v>
      </c>
      <c r="M1420" s="36"/>
    </row>
    <row r="1421" spans="1:13" x14ac:dyDescent="0.25">
      <c r="A1421" s="36"/>
      <c r="B1421" s="129"/>
      <c r="C1421" s="28"/>
      <c r="D1421" s="36"/>
      <c r="E1421" s="36"/>
      <c r="F1421" s="36"/>
      <c r="G1421" s="36"/>
      <c r="H1421" s="36"/>
      <c r="I1421" s="36"/>
      <c r="J1421" s="36">
        <f>YEAR(RESER3[[#This Row],[DATA]])</f>
        <v>1900</v>
      </c>
      <c r="K1421" s="36">
        <f>MONTH(RESER3[[#This Row],[DATA]])</f>
        <v>1</v>
      </c>
      <c r="L1421" s="36">
        <f>DAY(RESER3[[#This Row],[DATA]])</f>
        <v>0</v>
      </c>
      <c r="M1421" s="36"/>
    </row>
    <row r="1422" spans="1:13" x14ac:dyDescent="0.25">
      <c r="A1422" s="36"/>
      <c r="B1422" s="129"/>
      <c r="C1422" s="28"/>
      <c r="D1422" s="36"/>
      <c r="E1422" s="36"/>
      <c r="F1422" s="36"/>
      <c r="G1422" s="36"/>
      <c r="H1422" s="36"/>
      <c r="I1422" s="36"/>
      <c r="J1422" s="36">
        <f>YEAR(RESER3[[#This Row],[DATA]])</f>
        <v>1900</v>
      </c>
      <c r="K1422" s="36">
        <f>MONTH(RESER3[[#This Row],[DATA]])</f>
        <v>1</v>
      </c>
      <c r="L1422" s="36">
        <f>DAY(RESER3[[#This Row],[DATA]])</f>
        <v>0</v>
      </c>
      <c r="M1422" s="36"/>
    </row>
    <row r="1423" spans="1:13" x14ac:dyDescent="0.25">
      <c r="A1423" s="36"/>
      <c r="B1423" s="129"/>
      <c r="C1423" s="28"/>
      <c r="D1423" s="36"/>
      <c r="E1423" s="36"/>
      <c r="F1423" s="36"/>
      <c r="G1423" s="36"/>
      <c r="H1423" s="36"/>
      <c r="I1423" s="36"/>
      <c r="J1423" s="36">
        <f>YEAR(RESER3[[#This Row],[DATA]])</f>
        <v>1900</v>
      </c>
      <c r="K1423" s="36">
        <f>MONTH(RESER3[[#This Row],[DATA]])</f>
        <v>1</v>
      </c>
      <c r="L1423" s="36">
        <f>DAY(RESER3[[#This Row],[DATA]])</f>
        <v>0</v>
      </c>
      <c r="M1423" s="36"/>
    </row>
    <row r="1424" spans="1:13" x14ac:dyDescent="0.25">
      <c r="A1424" s="36"/>
      <c r="B1424" s="129"/>
      <c r="C1424" s="28"/>
      <c r="D1424" s="36"/>
      <c r="E1424" s="36"/>
      <c r="F1424" s="36"/>
      <c r="G1424" s="36"/>
      <c r="H1424" s="36"/>
      <c r="I1424" s="36"/>
      <c r="J1424" s="36">
        <f>YEAR(RESER3[[#This Row],[DATA]])</f>
        <v>1900</v>
      </c>
      <c r="K1424" s="36">
        <f>MONTH(RESER3[[#This Row],[DATA]])</f>
        <v>1</v>
      </c>
      <c r="L1424" s="36">
        <f>DAY(RESER3[[#This Row],[DATA]])</f>
        <v>0</v>
      </c>
      <c r="M1424" s="36"/>
    </row>
    <row r="1425" spans="1:13" x14ac:dyDescent="0.25">
      <c r="A1425" s="36"/>
      <c r="B1425" s="129"/>
      <c r="C1425" s="28"/>
      <c r="D1425" s="36"/>
      <c r="E1425" s="36"/>
      <c r="F1425" s="36"/>
      <c r="G1425" s="36"/>
      <c r="H1425" s="36"/>
      <c r="I1425" s="36"/>
      <c r="J1425" s="36">
        <f>YEAR(RESER3[[#This Row],[DATA]])</f>
        <v>1900</v>
      </c>
      <c r="K1425" s="36">
        <f>MONTH(RESER3[[#This Row],[DATA]])</f>
        <v>1</v>
      </c>
      <c r="L1425" s="36">
        <f>DAY(RESER3[[#This Row],[DATA]])</f>
        <v>0</v>
      </c>
      <c r="M1425" s="36"/>
    </row>
    <row r="1426" spans="1:13" x14ac:dyDescent="0.25">
      <c r="A1426" s="36"/>
      <c r="B1426" s="129"/>
      <c r="C1426" s="28"/>
      <c r="D1426" s="36"/>
      <c r="E1426" s="36"/>
      <c r="F1426" s="36"/>
      <c r="G1426" s="36"/>
      <c r="H1426" s="36"/>
      <c r="I1426" s="36"/>
      <c r="J1426" s="36">
        <f>YEAR(RESER3[[#This Row],[DATA]])</f>
        <v>1900</v>
      </c>
      <c r="K1426" s="36">
        <f>MONTH(RESER3[[#This Row],[DATA]])</f>
        <v>1</v>
      </c>
      <c r="L1426" s="36">
        <f>DAY(RESER3[[#This Row],[DATA]])</f>
        <v>0</v>
      </c>
      <c r="M1426" s="36"/>
    </row>
    <row r="1427" spans="1:13" x14ac:dyDescent="0.25">
      <c r="A1427" s="36"/>
      <c r="B1427" s="129"/>
      <c r="C1427" s="28"/>
      <c r="D1427" s="36"/>
      <c r="E1427" s="36"/>
      <c r="F1427" s="36"/>
      <c r="G1427" s="36"/>
      <c r="H1427" s="36"/>
      <c r="I1427" s="36"/>
      <c r="J1427" s="36">
        <f>YEAR(RESER3[[#This Row],[DATA]])</f>
        <v>1900</v>
      </c>
      <c r="K1427" s="36">
        <f>MONTH(RESER3[[#This Row],[DATA]])</f>
        <v>1</v>
      </c>
      <c r="L1427" s="36">
        <f>DAY(RESER3[[#This Row],[DATA]])</f>
        <v>0</v>
      </c>
      <c r="M1427" s="36"/>
    </row>
    <row r="1428" spans="1:13" x14ac:dyDescent="0.25">
      <c r="A1428" s="36"/>
      <c r="B1428" s="129"/>
      <c r="C1428" s="28"/>
      <c r="D1428" s="36"/>
      <c r="E1428" s="36"/>
      <c r="F1428" s="36"/>
      <c r="G1428" s="36"/>
      <c r="H1428" s="36"/>
      <c r="I1428" s="36"/>
      <c r="J1428" s="36">
        <f>YEAR(RESER3[[#This Row],[DATA]])</f>
        <v>1900</v>
      </c>
      <c r="K1428" s="36">
        <f>MONTH(RESER3[[#This Row],[DATA]])</f>
        <v>1</v>
      </c>
      <c r="L1428" s="36">
        <f>DAY(RESER3[[#This Row],[DATA]])</f>
        <v>0</v>
      </c>
      <c r="M1428" s="36"/>
    </row>
    <row r="1429" spans="1:13" x14ac:dyDescent="0.25">
      <c r="A1429" s="36"/>
      <c r="B1429" s="129"/>
      <c r="C1429" s="28"/>
      <c r="D1429" s="36"/>
      <c r="E1429" s="36"/>
      <c r="F1429" s="36"/>
      <c r="G1429" s="36"/>
      <c r="H1429" s="36"/>
      <c r="I1429" s="36"/>
      <c r="J1429" s="36">
        <f>YEAR(RESER3[[#This Row],[DATA]])</f>
        <v>1900</v>
      </c>
      <c r="K1429" s="36">
        <f>MONTH(RESER3[[#This Row],[DATA]])</f>
        <v>1</v>
      </c>
      <c r="L1429" s="36">
        <f>DAY(RESER3[[#This Row],[DATA]])</f>
        <v>0</v>
      </c>
      <c r="M1429" s="36"/>
    </row>
    <row r="1430" spans="1:13" x14ac:dyDescent="0.25">
      <c r="A1430" s="36"/>
      <c r="B1430" s="129"/>
      <c r="C1430" s="28"/>
      <c r="D1430" s="36"/>
      <c r="E1430" s="36"/>
      <c r="F1430" s="36"/>
      <c r="G1430" s="36"/>
      <c r="H1430" s="36"/>
      <c r="I1430" s="36"/>
      <c r="J1430" s="36">
        <f>YEAR(RESER3[[#This Row],[DATA]])</f>
        <v>1900</v>
      </c>
      <c r="K1430" s="36">
        <f>MONTH(RESER3[[#This Row],[DATA]])</f>
        <v>1</v>
      </c>
      <c r="L1430" s="36">
        <f>DAY(RESER3[[#This Row],[DATA]])</f>
        <v>0</v>
      </c>
      <c r="M1430" s="36"/>
    </row>
    <row r="1431" spans="1:13" x14ac:dyDescent="0.25">
      <c r="A1431" s="36"/>
      <c r="B1431" s="129"/>
      <c r="C1431" s="28"/>
      <c r="D1431" s="36"/>
      <c r="E1431" s="36"/>
      <c r="F1431" s="36"/>
      <c r="G1431" s="36"/>
      <c r="H1431" s="36"/>
      <c r="I1431" s="36"/>
      <c r="J1431" s="36">
        <f>YEAR(RESER3[[#This Row],[DATA]])</f>
        <v>1900</v>
      </c>
      <c r="K1431" s="36">
        <f>MONTH(RESER3[[#This Row],[DATA]])</f>
        <v>1</v>
      </c>
      <c r="L1431" s="36">
        <f>DAY(RESER3[[#This Row],[DATA]])</f>
        <v>0</v>
      </c>
      <c r="M1431" s="36"/>
    </row>
    <row r="1432" spans="1:13" x14ac:dyDescent="0.25">
      <c r="A1432" s="36"/>
      <c r="B1432" s="129"/>
      <c r="C1432" s="28"/>
      <c r="D1432" s="36"/>
      <c r="E1432" s="36"/>
      <c r="F1432" s="36"/>
      <c r="G1432" s="36"/>
      <c r="H1432" s="36"/>
      <c r="I1432" s="36"/>
      <c r="J1432" s="36">
        <f>YEAR(RESER3[[#This Row],[DATA]])</f>
        <v>1900</v>
      </c>
      <c r="K1432" s="36">
        <f>MONTH(RESER3[[#This Row],[DATA]])</f>
        <v>1</v>
      </c>
      <c r="L1432" s="36">
        <f>DAY(RESER3[[#This Row],[DATA]])</f>
        <v>0</v>
      </c>
      <c r="M1432" s="36"/>
    </row>
    <row r="1433" spans="1:13" x14ac:dyDescent="0.25">
      <c r="A1433" s="36"/>
      <c r="B1433" s="129"/>
      <c r="C1433" s="28"/>
      <c r="D1433" s="36"/>
      <c r="E1433" s="36"/>
      <c r="F1433" s="36"/>
      <c r="G1433" s="36"/>
      <c r="H1433" s="36"/>
      <c r="I1433" s="36"/>
      <c r="J1433" s="36">
        <f>YEAR(RESER3[[#This Row],[DATA]])</f>
        <v>1900</v>
      </c>
      <c r="K1433" s="36">
        <f>MONTH(RESER3[[#This Row],[DATA]])</f>
        <v>1</v>
      </c>
      <c r="L1433" s="36">
        <f>DAY(RESER3[[#This Row],[DATA]])</f>
        <v>0</v>
      </c>
      <c r="M1433" s="36"/>
    </row>
    <row r="1434" spans="1:13" x14ac:dyDescent="0.25">
      <c r="A1434" s="36"/>
      <c r="B1434" s="129"/>
      <c r="C1434" s="28"/>
      <c r="D1434" s="36"/>
      <c r="E1434" s="36"/>
      <c r="F1434" s="36"/>
      <c r="G1434" s="36"/>
      <c r="H1434" s="36"/>
      <c r="I1434" s="36"/>
      <c r="J1434" s="36">
        <f>YEAR(RESER3[[#This Row],[DATA]])</f>
        <v>1900</v>
      </c>
      <c r="K1434" s="36">
        <f>MONTH(RESER3[[#This Row],[DATA]])</f>
        <v>1</v>
      </c>
      <c r="L1434" s="36">
        <f>DAY(RESER3[[#This Row],[DATA]])</f>
        <v>0</v>
      </c>
      <c r="M1434" s="36"/>
    </row>
    <row r="1435" spans="1:13" x14ac:dyDescent="0.25">
      <c r="A1435" s="36"/>
      <c r="B1435" s="129"/>
      <c r="C1435" s="28"/>
      <c r="D1435" s="36"/>
      <c r="E1435" s="36"/>
      <c r="F1435" s="36"/>
      <c r="G1435" s="36"/>
      <c r="H1435" s="36"/>
      <c r="I1435" s="36"/>
      <c r="J1435" s="36">
        <f>YEAR(RESER3[[#This Row],[DATA]])</f>
        <v>1900</v>
      </c>
      <c r="K1435" s="36">
        <f>MONTH(RESER3[[#This Row],[DATA]])</f>
        <v>1</v>
      </c>
      <c r="L1435" s="36">
        <f>DAY(RESER3[[#This Row],[DATA]])</f>
        <v>0</v>
      </c>
      <c r="M1435" s="36"/>
    </row>
    <row r="1436" spans="1:13" x14ac:dyDescent="0.25">
      <c r="A1436" s="36"/>
      <c r="B1436" s="129"/>
      <c r="C1436" s="28"/>
      <c r="D1436" s="36"/>
      <c r="E1436" s="36"/>
      <c r="F1436" s="36"/>
      <c r="G1436" s="36"/>
      <c r="H1436" s="36"/>
      <c r="I1436" s="36"/>
      <c r="J1436" s="36">
        <f>YEAR(RESER3[[#This Row],[DATA]])</f>
        <v>1900</v>
      </c>
      <c r="K1436" s="36">
        <f>MONTH(RESER3[[#This Row],[DATA]])</f>
        <v>1</v>
      </c>
      <c r="L1436" s="36">
        <f>DAY(RESER3[[#This Row],[DATA]])</f>
        <v>0</v>
      </c>
      <c r="M1436" s="36"/>
    </row>
    <row r="1437" spans="1:13" x14ac:dyDescent="0.25">
      <c r="A1437" s="36"/>
      <c r="B1437" s="129"/>
      <c r="C1437" s="28"/>
      <c r="D1437" s="36"/>
      <c r="E1437" s="36"/>
      <c r="F1437" s="36"/>
      <c r="G1437" s="36"/>
      <c r="H1437" s="36"/>
      <c r="I1437" s="36"/>
      <c r="J1437" s="36">
        <f>YEAR(RESER3[[#This Row],[DATA]])</f>
        <v>1900</v>
      </c>
      <c r="K1437" s="36">
        <f>MONTH(RESER3[[#This Row],[DATA]])</f>
        <v>1</v>
      </c>
      <c r="L1437" s="36">
        <f>DAY(RESER3[[#This Row],[DATA]])</f>
        <v>0</v>
      </c>
      <c r="M1437" s="36"/>
    </row>
    <row r="1438" spans="1:13" x14ac:dyDescent="0.25">
      <c r="A1438" s="36"/>
      <c r="B1438" s="129"/>
      <c r="C1438" s="28"/>
      <c r="D1438" s="36"/>
      <c r="E1438" s="36"/>
      <c r="F1438" s="36"/>
      <c r="G1438" s="36"/>
      <c r="H1438" s="36"/>
      <c r="I1438" s="36"/>
      <c r="J1438" s="36">
        <f>YEAR(RESER3[[#This Row],[DATA]])</f>
        <v>1900</v>
      </c>
      <c r="K1438" s="36">
        <f>MONTH(RESER3[[#This Row],[DATA]])</f>
        <v>1</v>
      </c>
      <c r="L1438" s="36">
        <f>DAY(RESER3[[#This Row],[DATA]])</f>
        <v>0</v>
      </c>
      <c r="M1438" s="36"/>
    </row>
    <row r="1439" spans="1:13" x14ac:dyDescent="0.25">
      <c r="A1439" s="36"/>
      <c r="B1439" s="129"/>
      <c r="C1439" s="28"/>
      <c r="D1439" s="36"/>
      <c r="E1439" s="36"/>
      <c r="F1439" s="36"/>
      <c r="G1439" s="36"/>
      <c r="H1439" s="36"/>
      <c r="I1439" s="36"/>
      <c r="J1439" s="36">
        <f>YEAR(RESER3[[#This Row],[DATA]])</f>
        <v>1900</v>
      </c>
      <c r="K1439" s="36">
        <f>MONTH(RESER3[[#This Row],[DATA]])</f>
        <v>1</v>
      </c>
      <c r="L1439" s="36">
        <f>DAY(RESER3[[#This Row],[DATA]])</f>
        <v>0</v>
      </c>
      <c r="M1439" s="36"/>
    </row>
    <row r="1440" spans="1:13" x14ac:dyDescent="0.25">
      <c r="A1440" s="36"/>
      <c r="B1440" s="129"/>
      <c r="C1440" s="28"/>
      <c r="D1440" s="36"/>
      <c r="E1440" s="36"/>
      <c r="F1440" s="36"/>
      <c r="G1440" s="36"/>
      <c r="H1440" s="36"/>
      <c r="I1440" s="36"/>
      <c r="J1440" s="36">
        <f>YEAR(RESER3[[#This Row],[DATA]])</f>
        <v>1900</v>
      </c>
      <c r="K1440" s="36">
        <f>MONTH(RESER3[[#This Row],[DATA]])</f>
        <v>1</v>
      </c>
      <c r="L1440" s="36">
        <f>DAY(RESER3[[#This Row],[DATA]])</f>
        <v>0</v>
      </c>
      <c r="M1440" s="36"/>
    </row>
    <row r="1441" spans="1:13" x14ac:dyDescent="0.25">
      <c r="A1441" s="36"/>
      <c r="B1441" s="129"/>
      <c r="C1441" s="28"/>
      <c r="D1441" s="36"/>
      <c r="E1441" s="36"/>
      <c r="F1441" s="36"/>
      <c r="G1441" s="36"/>
      <c r="H1441" s="36"/>
      <c r="I1441" s="36"/>
      <c r="J1441" s="36">
        <f>YEAR(RESER3[[#This Row],[DATA]])</f>
        <v>1900</v>
      </c>
      <c r="K1441" s="36">
        <f>MONTH(RESER3[[#This Row],[DATA]])</f>
        <v>1</v>
      </c>
      <c r="L1441" s="36">
        <f>DAY(RESER3[[#This Row],[DATA]])</f>
        <v>0</v>
      </c>
      <c r="M1441" s="36"/>
    </row>
    <row r="1442" spans="1:13" x14ac:dyDescent="0.25">
      <c r="A1442" s="36"/>
      <c r="B1442" s="129"/>
      <c r="C1442" s="28"/>
      <c r="D1442" s="36"/>
      <c r="E1442" s="36"/>
      <c r="F1442" s="36"/>
      <c r="G1442" s="36"/>
      <c r="H1442" s="36"/>
      <c r="I1442" s="36"/>
      <c r="J1442" s="36">
        <f>YEAR(RESER3[[#This Row],[DATA]])</f>
        <v>1900</v>
      </c>
      <c r="K1442" s="36">
        <f>MONTH(RESER3[[#This Row],[DATA]])</f>
        <v>1</v>
      </c>
      <c r="L1442" s="36">
        <f>DAY(RESER3[[#This Row],[DATA]])</f>
        <v>0</v>
      </c>
      <c r="M1442" s="36"/>
    </row>
    <row r="1443" spans="1:13" x14ac:dyDescent="0.25">
      <c r="A1443" s="36"/>
      <c r="B1443" s="129"/>
      <c r="C1443" s="28"/>
      <c r="D1443" s="36"/>
      <c r="E1443" s="36"/>
      <c r="F1443" s="36"/>
      <c r="G1443" s="36"/>
      <c r="H1443" s="36"/>
      <c r="I1443" s="36"/>
      <c r="J1443" s="36">
        <f>YEAR(RESER3[[#This Row],[DATA]])</f>
        <v>1900</v>
      </c>
      <c r="K1443" s="36">
        <f>MONTH(RESER3[[#This Row],[DATA]])</f>
        <v>1</v>
      </c>
      <c r="L1443" s="36">
        <f>DAY(RESER3[[#This Row],[DATA]])</f>
        <v>0</v>
      </c>
      <c r="M1443" s="36"/>
    </row>
    <row r="1444" spans="1:13" x14ac:dyDescent="0.25">
      <c r="A1444" s="36"/>
      <c r="B1444" s="129"/>
      <c r="C1444" s="28"/>
      <c r="D1444" s="36"/>
      <c r="E1444" s="36"/>
      <c r="F1444" s="36"/>
      <c r="G1444" s="36"/>
      <c r="H1444" s="36"/>
      <c r="I1444" s="36"/>
      <c r="J1444" s="36">
        <f>YEAR(RESER3[[#This Row],[DATA]])</f>
        <v>1900</v>
      </c>
      <c r="K1444" s="36">
        <f>MONTH(RESER3[[#This Row],[DATA]])</f>
        <v>1</v>
      </c>
      <c r="L1444" s="36">
        <f>DAY(RESER3[[#This Row],[DATA]])</f>
        <v>0</v>
      </c>
      <c r="M1444" s="36"/>
    </row>
    <row r="1445" spans="1:13" x14ac:dyDescent="0.25">
      <c r="A1445" s="36"/>
      <c r="B1445" s="129"/>
      <c r="C1445" s="28"/>
      <c r="D1445" s="36"/>
      <c r="E1445" s="36"/>
      <c r="F1445" s="36"/>
      <c r="G1445" s="36"/>
      <c r="H1445" s="36"/>
      <c r="I1445" s="36"/>
      <c r="J1445" s="36">
        <f>YEAR(RESER3[[#This Row],[DATA]])</f>
        <v>1900</v>
      </c>
      <c r="K1445" s="36">
        <f>MONTH(RESER3[[#This Row],[DATA]])</f>
        <v>1</v>
      </c>
      <c r="L1445" s="36">
        <f>DAY(RESER3[[#This Row],[DATA]])</f>
        <v>0</v>
      </c>
      <c r="M1445" s="36"/>
    </row>
    <row r="1446" spans="1:13" x14ac:dyDescent="0.25">
      <c r="A1446" s="36"/>
      <c r="B1446" s="129"/>
      <c r="C1446" s="28"/>
      <c r="D1446" s="36"/>
      <c r="E1446" s="36"/>
      <c r="F1446" s="36"/>
      <c r="G1446" s="36"/>
      <c r="H1446" s="36"/>
      <c r="I1446" s="36"/>
      <c r="J1446" s="36">
        <f>YEAR(RESER3[[#This Row],[DATA]])</f>
        <v>1900</v>
      </c>
      <c r="K1446" s="36">
        <f>MONTH(RESER3[[#This Row],[DATA]])</f>
        <v>1</v>
      </c>
      <c r="L1446" s="36">
        <f>DAY(RESER3[[#This Row],[DATA]])</f>
        <v>0</v>
      </c>
      <c r="M1446" s="36"/>
    </row>
    <row r="1447" spans="1:13" x14ac:dyDescent="0.25">
      <c r="A1447" s="36"/>
      <c r="B1447" s="129"/>
      <c r="C1447" s="28"/>
      <c r="D1447" s="36"/>
      <c r="E1447" s="36"/>
      <c r="F1447" s="36"/>
      <c r="G1447" s="36"/>
      <c r="H1447" s="36"/>
      <c r="I1447" s="36"/>
      <c r="J1447" s="36">
        <f>YEAR(RESER3[[#This Row],[DATA]])</f>
        <v>1900</v>
      </c>
      <c r="K1447" s="36">
        <f>MONTH(RESER3[[#This Row],[DATA]])</f>
        <v>1</v>
      </c>
      <c r="L1447" s="36">
        <f>DAY(RESER3[[#This Row],[DATA]])</f>
        <v>0</v>
      </c>
      <c r="M1447" s="36"/>
    </row>
    <row r="1448" spans="1:13" x14ac:dyDescent="0.25">
      <c r="A1448" s="36"/>
      <c r="B1448" s="129"/>
      <c r="C1448" s="28"/>
      <c r="D1448" s="36"/>
      <c r="E1448" s="36"/>
      <c r="F1448" s="36"/>
      <c r="G1448" s="36"/>
      <c r="H1448" s="36"/>
      <c r="I1448" s="36"/>
      <c r="J1448" s="36">
        <f>YEAR(RESER3[[#This Row],[DATA]])</f>
        <v>1900</v>
      </c>
      <c r="K1448" s="36">
        <f>MONTH(RESER3[[#This Row],[DATA]])</f>
        <v>1</v>
      </c>
      <c r="L1448" s="36">
        <f>DAY(RESER3[[#This Row],[DATA]])</f>
        <v>0</v>
      </c>
      <c r="M1448" s="36"/>
    </row>
    <row r="1449" spans="1:13" x14ac:dyDescent="0.25">
      <c r="A1449" s="36"/>
      <c r="B1449" s="129"/>
      <c r="C1449" s="28"/>
      <c r="D1449" s="36"/>
      <c r="E1449" s="36"/>
      <c r="F1449" s="36"/>
      <c r="G1449" s="36"/>
      <c r="H1449" s="36"/>
      <c r="I1449" s="36"/>
      <c r="J1449" s="36">
        <f>YEAR(RESER3[[#This Row],[DATA]])</f>
        <v>1900</v>
      </c>
      <c r="K1449" s="36">
        <f>MONTH(RESER3[[#This Row],[DATA]])</f>
        <v>1</v>
      </c>
      <c r="L1449" s="36">
        <f>DAY(RESER3[[#This Row],[DATA]])</f>
        <v>0</v>
      </c>
      <c r="M1449" s="36"/>
    </row>
    <row r="1450" spans="1:13" x14ac:dyDescent="0.25">
      <c r="A1450" s="36"/>
      <c r="B1450" s="129"/>
      <c r="C1450" s="28"/>
      <c r="D1450" s="36"/>
      <c r="E1450" s="36"/>
      <c r="F1450" s="36"/>
      <c r="G1450" s="36"/>
      <c r="H1450" s="36"/>
      <c r="I1450" s="36"/>
      <c r="J1450" s="36">
        <f>YEAR(RESER3[[#This Row],[DATA]])</f>
        <v>1900</v>
      </c>
      <c r="K1450" s="36">
        <f>MONTH(RESER3[[#This Row],[DATA]])</f>
        <v>1</v>
      </c>
      <c r="L1450" s="36">
        <f>DAY(RESER3[[#This Row],[DATA]])</f>
        <v>0</v>
      </c>
      <c r="M1450" s="36"/>
    </row>
    <row r="1451" spans="1:13" x14ac:dyDescent="0.25">
      <c r="A1451" s="36"/>
      <c r="B1451" s="129"/>
      <c r="C1451" s="28"/>
      <c r="D1451" s="36"/>
      <c r="E1451" s="36"/>
      <c r="F1451" s="36"/>
      <c r="G1451" s="36"/>
      <c r="H1451" s="36"/>
      <c r="I1451" s="36"/>
      <c r="J1451" s="36">
        <f>YEAR(RESER3[[#This Row],[DATA]])</f>
        <v>1900</v>
      </c>
      <c r="K1451" s="36">
        <f>MONTH(RESER3[[#This Row],[DATA]])</f>
        <v>1</v>
      </c>
      <c r="L1451" s="36">
        <f>DAY(RESER3[[#This Row],[DATA]])</f>
        <v>0</v>
      </c>
      <c r="M1451" s="36"/>
    </row>
    <row r="1452" spans="1:13" x14ac:dyDescent="0.25">
      <c r="A1452" s="36"/>
      <c r="B1452" s="129"/>
      <c r="C1452" s="28"/>
      <c r="D1452" s="36"/>
      <c r="E1452" s="36"/>
      <c r="F1452" s="36"/>
      <c r="G1452" s="36"/>
      <c r="H1452" s="36"/>
      <c r="I1452" s="36"/>
      <c r="J1452" s="36">
        <f>YEAR(RESER3[[#This Row],[DATA]])</f>
        <v>1900</v>
      </c>
      <c r="K1452" s="36">
        <f>MONTH(RESER3[[#This Row],[DATA]])</f>
        <v>1</v>
      </c>
      <c r="L1452" s="36">
        <f>DAY(RESER3[[#This Row],[DATA]])</f>
        <v>0</v>
      </c>
      <c r="M1452" s="36"/>
    </row>
    <row r="1453" spans="1:13" x14ac:dyDescent="0.25">
      <c r="A1453" s="36"/>
      <c r="B1453" s="129"/>
      <c r="C1453" s="28"/>
      <c r="D1453" s="36"/>
      <c r="E1453" s="36"/>
      <c r="F1453" s="36"/>
      <c r="G1453" s="36"/>
      <c r="H1453" s="36"/>
      <c r="I1453" s="36"/>
      <c r="J1453" s="36">
        <f>YEAR(RESER3[[#This Row],[DATA]])</f>
        <v>1900</v>
      </c>
      <c r="K1453" s="36">
        <f>MONTH(RESER3[[#This Row],[DATA]])</f>
        <v>1</v>
      </c>
      <c r="L1453" s="36">
        <f>DAY(RESER3[[#This Row],[DATA]])</f>
        <v>0</v>
      </c>
      <c r="M1453" s="36"/>
    </row>
    <row r="1454" spans="1:13" x14ac:dyDescent="0.25">
      <c r="A1454" s="36"/>
      <c r="B1454" s="129"/>
      <c r="C1454" s="28"/>
      <c r="D1454" s="36"/>
      <c r="E1454" s="36"/>
      <c r="F1454" s="36"/>
      <c r="G1454" s="36"/>
      <c r="H1454" s="36"/>
      <c r="I1454" s="36"/>
      <c r="J1454" s="36">
        <f>YEAR(RESER3[[#This Row],[DATA]])</f>
        <v>1900</v>
      </c>
      <c r="K1454" s="36">
        <f>MONTH(RESER3[[#This Row],[DATA]])</f>
        <v>1</v>
      </c>
      <c r="L1454" s="36">
        <f>DAY(RESER3[[#This Row],[DATA]])</f>
        <v>0</v>
      </c>
      <c r="M1454" s="36"/>
    </row>
    <row r="1455" spans="1:13" x14ac:dyDescent="0.25">
      <c r="A1455" s="36"/>
      <c r="B1455" s="129"/>
      <c r="C1455" s="28"/>
      <c r="D1455" s="36"/>
      <c r="E1455" s="36"/>
      <c r="F1455" s="36"/>
      <c r="G1455" s="36"/>
      <c r="H1455" s="36"/>
      <c r="I1455" s="36"/>
      <c r="J1455" s="36">
        <f>YEAR(RESER3[[#This Row],[DATA]])</f>
        <v>1900</v>
      </c>
      <c r="K1455" s="36">
        <f>MONTH(RESER3[[#This Row],[DATA]])</f>
        <v>1</v>
      </c>
      <c r="L1455" s="36">
        <f>DAY(RESER3[[#This Row],[DATA]])</f>
        <v>0</v>
      </c>
      <c r="M1455" s="36"/>
    </row>
    <row r="1456" spans="1:13" x14ac:dyDescent="0.25">
      <c r="A1456" s="36"/>
      <c r="B1456" s="129"/>
      <c r="C1456" s="28"/>
      <c r="D1456" s="36"/>
      <c r="E1456" s="36"/>
      <c r="F1456" s="36"/>
      <c r="G1456" s="36"/>
      <c r="H1456" s="36"/>
      <c r="I1456" s="36"/>
      <c r="J1456" s="36">
        <f>YEAR(RESER3[[#This Row],[DATA]])</f>
        <v>1900</v>
      </c>
      <c r="K1456" s="36">
        <f>MONTH(RESER3[[#This Row],[DATA]])</f>
        <v>1</v>
      </c>
      <c r="L1456" s="36">
        <f>DAY(RESER3[[#This Row],[DATA]])</f>
        <v>0</v>
      </c>
      <c r="M1456" s="36"/>
    </row>
    <row r="1457" spans="1:13" x14ac:dyDescent="0.25">
      <c r="A1457" s="36"/>
      <c r="B1457" s="129"/>
      <c r="C1457" s="28"/>
      <c r="D1457" s="36"/>
      <c r="E1457" s="36"/>
      <c r="F1457" s="36"/>
      <c r="G1457" s="36"/>
      <c r="H1457" s="36"/>
      <c r="I1457" s="36"/>
      <c r="J1457" s="36">
        <f>YEAR(RESER3[[#This Row],[DATA]])</f>
        <v>1900</v>
      </c>
      <c r="K1457" s="36">
        <f>MONTH(RESER3[[#This Row],[DATA]])</f>
        <v>1</v>
      </c>
      <c r="L1457" s="36">
        <f>DAY(RESER3[[#This Row],[DATA]])</f>
        <v>0</v>
      </c>
      <c r="M1457" s="36"/>
    </row>
    <row r="1458" spans="1:13" x14ac:dyDescent="0.25">
      <c r="A1458" s="36"/>
      <c r="B1458" s="129"/>
      <c r="C1458" s="28"/>
      <c r="D1458" s="36"/>
      <c r="E1458" s="36"/>
      <c r="F1458" s="36"/>
      <c r="G1458" s="36"/>
      <c r="H1458" s="36"/>
      <c r="I1458" s="36"/>
      <c r="J1458" s="36">
        <f>YEAR(RESER3[[#This Row],[DATA]])</f>
        <v>1900</v>
      </c>
      <c r="K1458" s="36">
        <f>MONTH(RESER3[[#This Row],[DATA]])</f>
        <v>1</v>
      </c>
      <c r="L1458" s="36">
        <f>DAY(RESER3[[#This Row],[DATA]])</f>
        <v>0</v>
      </c>
      <c r="M1458" s="36"/>
    </row>
    <row r="1459" spans="1:13" x14ac:dyDescent="0.25">
      <c r="A1459" s="36"/>
      <c r="B1459" s="129"/>
      <c r="C1459" s="28"/>
      <c r="D1459" s="36"/>
      <c r="E1459" s="36"/>
      <c r="F1459" s="36"/>
      <c r="G1459" s="36"/>
      <c r="H1459" s="36"/>
      <c r="I1459" s="36"/>
      <c r="J1459" s="36">
        <f>YEAR(RESER3[[#This Row],[DATA]])</f>
        <v>1900</v>
      </c>
      <c r="K1459" s="36">
        <f>MONTH(RESER3[[#This Row],[DATA]])</f>
        <v>1</v>
      </c>
      <c r="L1459" s="36">
        <f>DAY(RESER3[[#This Row],[DATA]])</f>
        <v>0</v>
      </c>
      <c r="M1459" s="36"/>
    </row>
    <row r="1460" spans="1:13" x14ac:dyDescent="0.25">
      <c r="A1460" s="36"/>
      <c r="B1460" s="129"/>
      <c r="C1460" s="28"/>
      <c r="D1460" s="36"/>
      <c r="E1460" s="36"/>
      <c r="F1460" s="36"/>
      <c r="G1460" s="36"/>
      <c r="H1460" s="36"/>
      <c r="I1460" s="36"/>
      <c r="J1460" s="36">
        <f>YEAR(RESER3[[#This Row],[DATA]])</f>
        <v>1900</v>
      </c>
      <c r="K1460" s="36">
        <f>MONTH(RESER3[[#This Row],[DATA]])</f>
        <v>1</v>
      </c>
      <c r="L1460" s="36">
        <f>DAY(RESER3[[#This Row],[DATA]])</f>
        <v>0</v>
      </c>
      <c r="M1460" s="36"/>
    </row>
    <row r="1461" spans="1:13" x14ac:dyDescent="0.25">
      <c r="A1461" s="36"/>
      <c r="B1461" s="129"/>
      <c r="C1461" s="28"/>
      <c r="D1461" s="36"/>
      <c r="E1461" s="36"/>
      <c r="F1461" s="36"/>
      <c r="G1461" s="36"/>
      <c r="H1461" s="36"/>
      <c r="I1461" s="36"/>
      <c r="J1461" s="36">
        <f>YEAR(RESER3[[#This Row],[DATA]])</f>
        <v>1900</v>
      </c>
      <c r="K1461" s="36">
        <f t="shared" ref="K1461:K1468" si="25">MONTH(C1461)</f>
        <v>1</v>
      </c>
      <c r="L1461" s="36">
        <f>DAY(RESER3[[#This Row],[DATA]])</f>
        <v>0</v>
      </c>
      <c r="M1461" s="36"/>
    </row>
    <row r="1462" spans="1:13" x14ac:dyDescent="0.25">
      <c r="A1462" s="36"/>
      <c r="B1462" s="129"/>
      <c r="C1462" s="28"/>
      <c r="D1462" s="36"/>
      <c r="E1462" s="36"/>
      <c r="F1462" s="36"/>
      <c r="G1462" s="36"/>
      <c r="H1462" s="36"/>
      <c r="I1462" s="36"/>
      <c r="J1462" s="36">
        <f>YEAR(RESER3[[#This Row],[DATA]])</f>
        <v>1900</v>
      </c>
      <c r="K1462" s="36">
        <f t="shared" si="25"/>
        <v>1</v>
      </c>
      <c r="L1462" s="36">
        <f>DAY(RESER3[[#This Row],[DATA]])</f>
        <v>0</v>
      </c>
      <c r="M1462" s="36"/>
    </row>
    <row r="1463" spans="1:13" x14ac:dyDescent="0.25">
      <c r="A1463" s="36"/>
      <c r="B1463" s="129"/>
      <c r="C1463" s="28"/>
      <c r="D1463" s="36"/>
      <c r="E1463" s="36"/>
      <c r="F1463" s="36"/>
      <c r="G1463" s="36"/>
      <c r="H1463" s="36"/>
      <c r="I1463" s="36"/>
      <c r="J1463" s="36">
        <f>YEAR(RESER3[[#This Row],[DATA]])</f>
        <v>1900</v>
      </c>
      <c r="K1463" s="36">
        <f t="shared" si="25"/>
        <v>1</v>
      </c>
      <c r="L1463" s="36">
        <f>DAY(RESER3[[#This Row],[DATA]])</f>
        <v>0</v>
      </c>
      <c r="M1463" s="36"/>
    </row>
    <row r="1464" spans="1:13" x14ac:dyDescent="0.25">
      <c r="A1464" s="36"/>
      <c r="B1464" s="129"/>
      <c r="C1464" s="28"/>
      <c r="D1464" s="36"/>
      <c r="E1464" s="36"/>
      <c r="F1464" s="36"/>
      <c r="G1464" s="36"/>
      <c r="H1464" s="36"/>
      <c r="I1464" s="36"/>
      <c r="J1464" s="36">
        <f>YEAR(RESER3[[#This Row],[DATA]])</f>
        <v>1900</v>
      </c>
      <c r="K1464" s="36">
        <f t="shared" si="25"/>
        <v>1</v>
      </c>
      <c r="L1464" s="36">
        <f>DAY(RESER3[[#This Row],[DATA]])</f>
        <v>0</v>
      </c>
      <c r="M1464" s="36"/>
    </row>
    <row r="1465" spans="1:13" x14ac:dyDescent="0.25">
      <c r="A1465" s="36"/>
      <c r="B1465" s="129"/>
      <c r="C1465" s="28"/>
      <c r="D1465" s="36"/>
      <c r="E1465" s="36"/>
      <c r="F1465" s="36"/>
      <c r="G1465" s="36"/>
      <c r="H1465" s="36"/>
      <c r="I1465" s="36"/>
      <c r="J1465" s="36">
        <f>YEAR(RESER3[[#This Row],[DATA]])</f>
        <v>1900</v>
      </c>
      <c r="K1465" s="36">
        <f t="shared" si="25"/>
        <v>1</v>
      </c>
      <c r="L1465" s="36">
        <f>DAY(RESER3[[#This Row],[DATA]])</f>
        <v>0</v>
      </c>
      <c r="M1465" s="36"/>
    </row>
    <row r="1466" spans="1:13" x14ac:dyDescent="0.25">
      <c r="A1466" s="36"/>
      <c r="B1466" s="129"/>
      <c r="C1466" s="28"/>
      <c r="D1466" s="36"/>
      <c r="E1466" s="36"/>
      <c r="F1466" s="36"/>
      <c r="G1466" s="36"/>
      <c r="H1466" s="36"/>
      <c r="I1466" s="36"/>
      <c r="J1466" s="36">
        <f>YEAR(RESER3[[#This Row],[DATA]])</f>
        <v>1900</v>
      </c>
      <c r="K1466" s="36">
        <f t="shared" si="25"/>
        <v>1</v>
      </c>
      <c r="L1466" s="36">
        <f>DAY(RESER3[[#This Row],[DATA]])</f>
        <v>0</v>
      </c>
      <c r="M1466" s="36"/>
    </row>
    <row r="1467" spans="1:13" x14ac:dyDescent="0.25">
      <c r="A1467" s="36"/>
      <c r="B1467" s="129"/>
      <c r="C1467" s="28"/>
      <c r="D1467" s="36"/>
      <c r="E1467" s="36"/>
      <c r="F1467" s="36"/>
      <c r="G1467" s="36"/>
      <c r="H1467" s="36"/>
      <c r="I1467" s="36"/>
      <c r="J1467" s="36">
        <f>YEAR(RESER3[[#This Row],[DATA]])</f>
        <v>1900</v>
      </c>
      <c r="K1467" s="36">
        <f t="shared" si="25"/>
        <v>1</v>
      </c>
      <c r="L1467" s="36">
        <f>DAY(RESER3[[#This Row],[DATA]])</f>
        <v>0</v>
      </c>
      <c r="M1467" s="36"/>
    </row>
    <row r="1468" spans="1:13" x14ac:dyDescent="0.25">
      <c r="A1468" s="36"/>
      <c r="B1468" s="129"/>
      <c r="C1468" s="28"/>
      <c r="D1468" s="36"/>
      <c r="E1468" s="36"/>
      <c r="F1468" s="36"/>
      <c r="G1468" s="36"/>
      <c r="H1468" s="36"/>
      <c r="I1468" s="36"/>
      <c r="J1468" s="36">
        <f>YEAR(RESER3[[#This Row],[DATA]])</f>
        <v>1900</v>
      </c>
      <c r="K1468" s="36">
        <f t="shared" si="25"/>
        <v>1</v>
      </c>
      <c r="L1468" s="36">
        <f>DAY(RESER3[[#This Row],[DATA]])</f>
        <v>0</v>
      </c>
      <c r="M1468" s="36"/>
    </row>
    <row r="1469" spans="1:13" x14ac:dyDescent="0.25">
      <c r="A1469" s="36"/>
      <c r="B1469" s="129"/>
      <c r="C1469" s="28"/>
      <c r="D1469" s="36"/>
      <c r="E1469" s="36"/>
      <c r="F1469" s="36"/>
      <c r="G1469" s="36"/>
      <c r="H1469" s="36"/>
      <c r="I1469" s="36"/>
      <c r="J1469" s="36">
        <f>YEAR(RESER3[[#This Row],[DATA]])</f>
        <v>1900</v>
      </c>
      <c r="K1469" s="36">
        <f>MONTH(C1469)</f>
        <v>1</v>
      </c>
      <c r="L1469" s="36">
        <f>DAY(RESER3[[#This Row],[DATA]])</f>
        <v>0</v>
      </c>
      <c r="M1469" s="36"/>
    </row>
    <row r="1470" spans="1:13" x14ac:dyDescent="0.25">
      <c r="A1470" s="36"/>
      <c r="B1470" s="129"/>
      <c r="C1470" s="28"/>
      <c r="D1470" s="36"/>
      <c r="E1470" s="36"/>
      <c r="F1470" s="36"/>
      <c r="G1470" s="36"/>
      <c r="H1470" s="36"/>
      <c r="I1470" s="36"/>
      <c r="J1470" s="36">
        <f>YEAR(RESER3[[#This Row],[DATA]])</f>
        <v>1900</v>
      </c>
      <c r="K1470" s="36">
        <f>MONTH(C1470)</f>
        <v>1</v>
      </c>
      <c r="L1470" s="36">
        <f>DAY(RESER3[[#This Row],[DATA]])</f>
        <v>0</v>
      </c>
      <c r="M1470" s="36"/>
    </row>
    <row r="1471" spans="1:13" x14ac:dyDescent="0.25">
      <c r="A1471" s="36"/>
      <c r="B1471" s="129"/>
      <c r="C1471" s="28"/>
      <c r="D1471" s="36"/>
      <c r="E1471" s="36"/>
      <c r="F1471" s="36"/>
      <c r="G1471" s="36"/>
      <c r="H1471" s="36"/>
      <c r="I1471" s="36"/>
      <c r="J1471" s="36">
        <f>YEAR(RESER3[[#This Row],[DATA]])</f>
        <v>1900</v>
      </c>
      <c r="K1471" s="36">
        <f>MONTH(RESER3[[#This Row],[DATA]])</f>
        <v>1</v>
      </c>
      <c r="L1471" s="36">
        <f>DAY(RESER3[[#This Row],[DATA]])</f>
        <v>0</v>
      </c>
      <c r="M1471" s="36"/>
    </row>
    <row r="1472" spans="1:13" x14ac:dyDescent="0.25">
      <c r="A1472" s="36"/>
      <c r="B1472" s="129"/>
      <c r="C1472" s="28"/>
      <c r="D1472" s="36"/>
      <c r="E1472" s="36"/>
      <c r="F1472" s="36"/>
      <c r="G1472" s="36"/>
      <c r="H1472" s="36"/>
      <c r="I1472" s="36"/>
      <c r="J1472" s="36">
        <f>YEAR(RESER3[[#This Row],[DATA]])</f>
        <v>1900</v>
      </c>
      <c r="K1472" s="36">
        <f>MONTH(RESER3[[#This Row],[DATA]])</f>
        <v>1</v>
      </c>
      <c r="L1472" s="36">
        <f>DAY(RESER3[[#This Row],[DATA]])</f>
        <v>0</v>
      </c>
      <c r="M1472" s="36"/>
    </row>
    <row r="1473" spans="1:13" x14ac:dyDescent="0.25">
      <c r="A1473" s="36"/>
      <c r="B1473" s="129"/>
      <c r="C1473" s="28"/>
      <c r="D1473" s="36"/>
      <c r="E1473" s="36"/>
      <c r="F1473" s="36"/>
      <c r="G1473" s="36"/>
      <c r="H1473" s="36"/>
      <c r="I1473" s="36"/>
      <c r="J1473" s="36">
        <f>YEAR(RESER3[[#This Row],[DATA]])</f>
        <v>1900</v>
      </c>
      <c r="K1473" s="36">
        <f>MONTH(RESER3[[#This Row],[DATA]])</f>
        <v>1</v>
      </c>
      <c r="L1473" s="36">
        <f>DAY(RESER3[[#This Row],[DATA]])</f>
        <v>0</v>
      </c>
      <c r="M1473" s="36"/>
    </row>
    <row r="1474" spans="1:13" x14ac:dyDescent="0.25">
      <c r="A1474" s="36"/>
      <c r="B1474" s="129"/>
      <c r="C1474" s="28"/>
      <c r="D1474" s="36"/>
      <c r="E1474" s="36"/>
      <c r="F1474" s="36"/>
      <c r="G1474" s="36"/>
      <c r="H1474" s="36"/>
      <c r="I1474" s="36"/>
      <c r="J1474" s="36">
        <f>YEAR(RESER3[[#This Row],[DATA]])</f>
        <v>1900</v>
      </c>
      <c r="K1474" s="36">
        <f>MONTH(RESER3[[#This Row],[DATA]])</f>
        <v>1</v>
      </c>
      <c r="L1474" s="36">
        <f>DAY(RESER3[[#This Row],[DATA]])</f>
        <v>0</v>
      </c>
      <c r="M1474" s="36"/>
    </row>
    <row r="1475" spans="1:13" x14ac:dyDescent="0.25">
      <c r="A1475" s="36"/>
      <c r="B1475" s="129"/>
      <c r="C1475" s="28"/>
      <c r="D1475" s="36"/>
      <c r="E1475" s="36"/>
      <c r="F1475" s="36"/>
      <c r="G1475" s="36"/>
      <c r="H1475" s="36"/>
      <c r="I1475" s="36"/>
      <c r="J1475" s="36">
        <f>YEAR(RESER3[[#This Row],[DATA]])</f>
        <v>1900</v>
      </c>
      <c r="K1475" s="36">
        <f>MONTH(RESER3[[#This Row],[DATA]])</f>
        <v>1</v>
      </c>
      <c r="L1475" s="36">
        <f>DAY(RESER3[[#This Row],[DATA]])</f>
        <v>0</v>
      </c>
      <c r="M1475" s="36"/>
    </row>
    <row r="1476" spans="1:13" x14ac:dyDescent="0.25">
      <c r="A1476" s="36"/>
      <c r="B1476" s="129"/>
      <c r="C1476" s="28"/>
      <c r="D1476" s="36"/>
      <c r="E1476" s="36"/>
      <c r="F1476" s="36"/>
      <c r="G1476" s="36"/>
      <c r="H1476" s="36"/>
      <c r="I1476" s="36"/>
      <c r="J1476" s="36">
        <f>YEAR(RESER3[[#This Row],[DATA]])</f>
        <v>1900</v>
      </c>
      <c r="K1476" s="36">
        <f>MONTH(RESER3[[#This Row],[DATA]])</f>
        <v>1</v>
      </c>
      <c r="L1476" s="36">
        <f>DAY(RESER3[[#This Row],[DATA]])</f>
        <v>0</v>
      </c>
      <c r="M1476" s="36"/>
    </row>
    <row r="1477" spans="1:13" x14ac:dyDescent="0.25">
      <c r="A1477" s="36"/>
      <c r="B1477" s="129"/>
      <c r="C1477" s="28"/>
      <c r="D1477" s="36"/>
      <c r="E1477" s="36"/>
      <c r="F1477" s="36"/>
      <c r="G1477" s="36"/>
      <c r="H1477" s="36"/>
      <c r="I1477" s="36"/>
      <c r="J1477" s="36">
        <f>YEAR(RESER3[[#This Row],[DATA]])</f>
        <v>1900</v>
      </c>
      <c r="K1477" s="36">
        <f>MONTH(RESER3[[#This Row],[DATA]])</f>
        <v>1</v>
      </c>
      <c r="L1477" s="36">
        <f>DAY(RESER3[[#This Row],[DATA]])</f>
        <v>0</v>
      </c>
      <c r="M1477" s="36"/>
    </row>
    <row r="1478" spans="1:13" x14ac:dyDescent="0.25">
      <c r="A1478" s="36"/>
      <c r="B1478" s="129"/>
      <c r="C1478" s="28"/>
      <c r="D1478" s="36"/>
      <c r="E1478" s="36"/>
      <c r="F1478" s="36"/>
      <c r="G1478" s="36"/>
      <c r="H1478" s="36"/>
      <c r="I1478" s="36"/>
      <c r="J1478" s="36">
        <f>YEAR(RESER3[[#This Row],[DATA]])</f>
        <v>1900</v>
      </c>
      <c r="K1478" s="36">
        <f>MONTH(RESER3[[#This Row],[DATA]])</f>
        <v>1</v>
      </c>
      <c r="L1478" s="36">
        <f>DAY(RESER3[[#This Row],[DATA]])</f>
        <v>0</v>
      </c>
      <c r="M1478" s="36"/>
    </row>
    <row r="1479" spans="1:13" x14ac:dyDescent="0.25">
      <c r="A1479" s="36"/>
      <c r="B1479" s="129"/>
      <c r="C1479" s="28"/>
      <c r="D1479" s="36"/>
      <c r="E1479" s="36"/>
      <c r="F1479" s="36"/>
      <c r="G1479" s="36"/>
      <c r="H1479" s="36"/>
      <c r="I1479" s="36"/>
      <c r="J1479" s="36">
        <f>YEAR(RESER3[[#This Row],[DATA]])</f>
        <v>1900</v>
      </c>
      <c r="K1479" s="36">
        <f>MONTH(RESER3[[#This Row],[DATA]])</f>
        <v>1</v>
      </c>
      <c r="L1479" s="36">
        <f>DAY(RESER3[[#This Row],[DATA]])</f>
        <v>0</v>
      </c>
      <c r="M1479" s="36"/>
    </row>
    <row r="1480" spans="1:13" x14ac:dyDescent="0.25">
      <c r="A1480" s="36"/>
      <c r="B1480" s="129"/>
      <c r="C1480" s="28"/>
      <c r="D1480" s="36"/>
      <c r="E1480" s="36"/>
      <c r="F1480" s="36"/>
      <c r="G1480" s="36"/>
      <c r="H1480" s="36"/>
      <c r="I1480" s="36"/>
      <c r="J1480" s="36">
        <f>YEAR(RESER3[[#This Row],[DATA]])</f>
        <v>1900</v>
      </c>
      <c r="K1480" s="36">
        <f>MONTH(RESER3[[#This Row],[DATA]])</f>
        <v>1</v>
      </c>
      <c r="L1480" s="36">
        <f>DAY(RESER3[[#This Row],[DATA]])</f>
        <v>0</v>
      </c>
      <c r="M1480" s="36"/>
    </row>
    <row r="1481" spans="1:13" x14ac:dyDescent="0.25">
      <c r="A1481" s="36"/>
      <c r="B1481" s="129"/>
      <c r="C1481" s="28"/>
      <c r="D1481" s="36"/>
      <c r="E1481" s="36"/>
      <c r="F1481" s="36"/>
      <c r="G1481" s="36"/>
      <c r="H1481" s="36"/>
      <c r="I1481" s="36"/>
      <c r="J1481" s="36">
        <f>YEAR(RESER3[[#This Row],[DATA]])</f>
        <v>1900</v>
      </c>
      <c r="K1481" s="36">
        <f>MONTH(RESER3[[#This Row],[DATA]])</f>
        <v>1</v>
      </c>
      <c r="L1481" s="36">
        <f>DAY(RESER3[[#This Row],[DATA]])</f>
        <v>0</v>
      </c>
      <c r="M1481" s="36"/>
    </row>
    <row r="1482" spans="1:13" x14ac:dyDescent="0.25">
      <c r="A1482" s="36"/>
      <c r="B1482" s="129"/>
      <c r="C1482" s="28"/>
      <c r="D1482" s="36"/>
      <c r="E1482" s="36"/>
      <c r="F1482" s="36"/>
      <c r="G1482" s="36"/>
      <c r="H1482" s="36"/>
      <c r="I1482" s="36"/>
      <c r="J1482" s="36">
        <f>YEAR(RESER3[[#This Row],[DATA]])</f>
        <v>1900</v>
      </c>
      <c r="K1482" s="36">
        <f>MONTH(RESER3[[#This Row],[DATA]])</f>
        <v>1</v>
      </c>
      <c r="L1482" s="36">
        <f>DAY(RESER3[[#This Row],[DATA]])</f>
        <v>0</v>
      </c>
      <c r="M1482" s="36"/>
    </row>
    <row r="1483" spans="1:13" x14ac:dyDescent="0.25">
      <c r="A1483" s="36"/>
      <c r="B1483" s="129"/>
      <c r="C1483" s="28"/>
      <c r="D1483" s="36"/>
      <c r="E1483" s="36"/>
      <c r="F1483" s="36"/>
      <c r="G1483" s="36"/>
      <c r="H1483" s="36"/>
      <c r="I1483" s="36"/>
      <c r="J1483" s="36">
        <f>YEAR(RESER3[[#This Row],[DATA]])</f>
        <v>1900</v>
      </c>
      <c r="K1483" s="36">
        <f>MONTH(RESER3[[#This Row],[DATA]])</f>
        <v>1</v>
      </c>
      <c r="L1483" s="36">
        <f>DAY(RESER3[[#This Row],[DATA]])</f>
        <v>0</v>
      </c>
      <c r="M1483" s="36"/>
    </row>
    <row r="1484" spans="1:13" x14ac:dyDescent="0.25">
      <c r="A1484" s="36"/>
      <c r="B1484" s="129"/>
      <c r="C1484" s="28"/>
      <c r="D1484" s="36"/>
      <c r="E1484" s="36"/>
      <c r="F1484" s="36"/>
      <c r="G1484" s="36"/>
      <c r="H1484" s="36"/>
      <c r="I1484" s="36"/>
      <c r="J1484" s="36">
        <f>YEAR(RESER3[[#This Row],[DATA]])</f>
        <v>1900</v>
      </c>
      <c r="K1484" s="36">
        <f>MONTH(RESER3[[#This Row],[DATA]])</f>
        <v>1</v>
      </c>
      <c r="L1484" s="36">
        <f>DAY(RESER3[[#This Row],[DATA]])</f>
        <v>0</v>
      </c>
      <c r="M1484" s="36"/>
    </row>
    <row r="1485" spans="1:13" x14ac:dyDescent="0.25">
      <c r="A1485" s="36"/>
      <c r="B1485" s="129"/>
      <c r="C1485" s="28"/>
      <c r="D1485" s="36"/>
      <c r="E1485" s="36"/>
      <c r="F1485" s="36"/>
      <c r="G1485" s="36"/>
      <c r="H1485" s="36"/>
      <c r="I1485" s="36"/>
      <c r="J1485" s="36">
        <f>YEAR(RESER3[[#This Row],[DATA]])</f>
        <v>1900</v>
      </c>
      <c r="K1485" s="36">
        <f>MONTH(RESER3[[#This Row],[DATA]])</f>
        <v>1</v>
      </c>
      <c r="L1485" s="36">
        <f>DAY(RESER3[[#This Row],[DATA]])</f>
        <v>0</v>
      </c>
      <c r="M1485" s="36"/>
    </row>
    <row r="1486" spans="1:13" x14ac:dyDescent="0.25">
      <c r="A1486" s="36"/>
      <c r="B1486" s="129"/>
      <c r="C1486" s="28"/>
      <c r="D1486" s="36"/>
      <c r="E1486" s="36"/>
      <c r="F1486" s="36"/>
      <c r="G1486" s="36"/>
      <c r="H1486" s="36"/>
      <c r="I1486" s="36"/>
      <c r="J1486" s="36">
        <f>YEAR(RESER3[[#This Row],[DATA]])</f>
        <v>1900</v>
      </c>
      <c r="K1486" s="36">
        <f>MONTH(RESER3[[#This Row],[DATA]])</f>
        <v>1</v>
      </c>
      <c r="L1486" s="36">
        <f>DAY(RESER3[[#This Row],[DATA]])</f>
        <v>0</v>
      </c>
      <c r="M1486" s="36"/>
    </row>
    <row r="1487" spans="1:13" x14ac:dyDescent="0.25">
      <c r="A1487" s="36"/>
      <c r="B1487" s="129"/>
      <c r="C1487" s="28"/>
      <c r="D1487" s="36"/>
      <c r="E1487" s="36"/>
      <c r="F1487" s="36"/>
      <c r="G1487" s="36"/>
      <c r="H1487" s="36"/>
      <c r="I1487" s="36"/>
      <c r="J1487" s="36">
        <f>YEAR(RESER3[[#This Row],[DATA]])</f>
        <v>1900</v>
      </c>
      <c r="K1487" s="36">
        <f>MONTH(RESER3[[#This Row],[DATA]])</f>
        <v>1</v>
      </c>
      <c r="L1487" s="36">
        <f>DAY(RESER3[[#This Row],[DATA]])</f>
        <v>0</v>
      </c>
      <c r="M1487" s="36"/>
    </row>
    <row r="1488" spans="1:13" x14ac:dyDescent="0.25">
      <c r="A1488" s="36"/>
      <c r="B1488" s="129"/>
      <c r="C1488" s="28"/>
      <c r="D1488" s="36"/>
      <c r="E1488" s="36"/>
      <c r="F1488" s="36"/>
      <c r="G1488" s="36"/>
      <c r="H1488" s="36"/>
      <c r="I1488" s="36"/>
      <c r="J1488" s="36">
        <f>YEAR(RESER3[[#This Row],[DATA]])</f>
        <v>1900</v>
      </c>
      <c r="K1488" s="36">
        <f>MONTH(RESER3[[#This Row],[DATA]])</f>
        <v>1</v>
      </c>
      <c r="L1488" s="36">
        <f>DAY(RESER3[[#This Row],[DATA]])</f>
        <v>0</v>
      </c>
      <c r="M1488" s="36"/>
    </row>
    <row r="1489" spans="1:13" x14ac:dyDescent="0.25">
      <c r="A1489" s="36"/>
      <c r="B1489" s="129"/>
      <c r="C1489" s="28"/>
      <c r="D1489" s="36"/>
      <c r="E1489" s="36"/>
      <c r="F1489" s="36"/>
      <c r="G1489" s="36"/>
      <c r="H1489" s="36"/>
      <c r="I1489" s="36"/>
      <c r="J1489" s="36">
        <f>YEAR(RESER3[[#This Row],[DATA]])</f>
        <v>1900</v>
      </c>
      <c r="K1489" s="36">
        <f>MONTH(RESER3[[#This Row],[DATA]])</f>
        <v>1</v>
      </c>
      <c r="L1489" s="36">
        <f>DAY(RESER3[[#This Row],[DATA]])</f>
        <v>0</v>
      </c>
      <c r="M1489" s="36"/>
    </row>
    <row r="1490" spans="1:13" x14ac:dyDescent="0.25">
      <c r="A1490" s="36"/>
      <c r="B1490" s="129"/>
      <c r="C1490" s="28"/>
      <c r="D1490" s="36"/>
      <c r="E1490" s="36"/>
      <c r="F1490" s="36"/>
      <c r="G1490" s="36"/>
      <c r="H1490" s="36"/>
      <c r="I1490" s="36"/>
      <c r="J1490" s="36">
        <f>YEAR(RESER3[[#This Row],[DATA]])</f>
        <v>1900</v>
      </c>
      <c r="K1490" s="36">
        <f>MONTH(RESER3[[#This Row],[DATA]])</f>
        <v>1</v>
      </c>
      <c r="L1490" s="36">
        <f>DAY(RESER3[[#This Row],[DATA]])</f>
        <v>0</v>
      </c>
      <c r="M1490" s="36"/>
    </row>
    <row r="1491" spans="1:13" x14ac:dyDescent="0.25">
      <c r="A1491" s="36"/>
      <c r="B1491" s="129"/>
      <c r="C1491" s="28"/>
      <c r="D1491" s="36"/>
      <c r="E1491" s="36"/>
      <c r="F1491" s="36"/>
      <c r="G1491" s="36"/>
      <c r="H1491" s="36"/>
      <c r="I1491" s="36"/>
      <c r="J1491" s="36">
        <f>YEAR(RESER3[[#This Row],[DATA]])</f>
        <v>1900</v>
      </c>
      <c r="K1491" s="36">
        <f>MONTH(RESER3[[#This Row],[DATA]])</f>
        <v>1</v>
      </c>
      <c r="L1491" s="36">
        <f>DAY(RESER3[[#This Row],[DATA]])</f>
        <v>0</v>
      </c>
      <c r="M1491" s="36"/>
    </row>
    <row r="1492" spans="1:13" x14ac:dyDescent="0.25">
      <c r="A1492" s="36"/>
      <c r="B1492" s="129"/>
      <c r="C1492" s="28"/>
      <c r="D1492" s="36"/>
      <c r="E1492" s="36"/>
      <c r="F1492" s="36"/>
      <c r="G1492" s="36"/>
      <c r="H1492" s="36"/>
      <c r="I1492" s="36"/>
      <c r="J1492" s="36">
        <f>YEAR(RESER3[[#This Row],[DATA]])</f>
        <v>1900</v>
      </c>
      <c r="K1492" s="36">
        <f>MONTH(RESER3[[#This Row],[DATA]])</f>
        <v>1</v>
      </c>
      <c r="L1492" s="36">
        <f>DAY(RESER3[[#This Row],[DATA]])</f>
        <v>0</v>
      </c>
      <c r="M1492" s="36"/>
    </row>
    <row r="1493" spans="1:13" x14ac:dyDescent="0.25">
      <c r="A1493" s="36"/>
      <c r="B1493" s="129"/>
      <c r="C1493" s="28"/>
      <c r="D1493" s="36"/>
      <c r="E1493" s="36"/>
      <c r="F1493" s="36"/>
      <c r="G1493" s="36"/>
      <c r="H1493" s="36"/>
      <c r="I1493" s="36"/>
      <c r="J1493" s="36">
        <f>YEAR(RESER3[[#This Row],[DATA]])</f>
        <v>1900</v>
      </c>
      <c r="K1493" s="36">
        <f>MONTH(RESER3[[#This Row],[DATA]])</f>
        <v>1</v>
      </c>
      <c r="L1493" s="36">
        <f>DAY(RESER3[[#This Row],[DATA]])</f>
        <v>0</v>
      </c>
      <c r="M1493" s="36"/>
    </row>
    <row r="1494" spans="1:13" x14ac:dyDescent="0.25">
      <c r="A1494" s="36"/>
      <c r="B1494" s="129"/>
      <c r="C1494" s="28"/>
      <c r="D1494" s="36"/>
      <c r="E1494" s="36"/>
      <c r="F1494" s="36"/>
      <c r="G1494" s="36"/>
      <c r="H1494" s="36"/>
      <c r="I1494" s="36"/>
      <c r="J1494" s="36">
        <f>YEAR(RESER3[[#This Row],[DATA]])</f>
        <v>1900</v>
      </c>
      <c r="K1494" s="36">
        <f>MONTH(RESER3[[#This Row],[DATA]])</f>
        <v>1</v>
      </c>
      <c r="L1494" s="36">
        <f>DAY(RESER3[[#This Row],[DATA]])</f>
        <v>0</v>
      </c>
      <c r="M1494" s="36"/>
    </row>
    <row r="1495" spans="1:13" x14ac:dyDescent="0.25">
      <c r="A1495" s="36"/>
      <c r="B1495" s="129"/>
      <c r="C1495" s="28"/>
      <c r="D1495" s="36"/>
      <c r="E1495" s="36"/>
      <c r="F1495" s="36"/>
      <c r="G1495" s="36"/>
      <c r="H1495" s="36"/>
      <c r="I1495" s="36"/>
      <c r="J1495" s="36">
        <f>YEAR(RESER3[[#This Row],[DATA]])</f>
        <v>1900</v>
      </c>
      <c r="K1495" s="36">
        <f>MONTH(RESER3[[#This Row],[DATA]])</f>
        <v>1</v>
      </c>
      <c r="L1495" s="36">
        <f>DAY(RESER3[[#This Row],[DATA]])</f>
        <v>0</v>
      </c>
      <c r="M1495" s="36"/>
    </row>
    <row r="1496" spans="1:13" x14ac:dyDescent="0.25">
      <c r="A1496" s="36"/>
      <c r="B1496" s="129"/>
      <c r="C1496" s="28"/>
      <c r="D1496" s="36"/>
      <c r="E1496" s="36"/>
      <c r="F1496" s="36"/>
      <c r="G1496" s="36"/>
      <c r="H1496" s="36"/>
      <c r="I1496" s="36"/>
      <c r="J1496" s="36">
        <f>YEAR(RESER3[[#This Row],[DATA]])</f>
        <v>1900</v>
      </c>
      <c r="K1496" s="36">
        <f>MONTH(RESER3[[#This Row],[DATA]])</f>
        <v>1</v>
      </c>
      <c r="L1496" s="36">
        <f>DAY(RESER3[[#This Row],[DATA]])</f>
        <v>0</v>
      </c>
      <c r="M1496" s="36"/>
    </row>
    <row r="1497" spans="1:13" x14ac:dyDescent="0.25">
      <c r="A1497" s="36"/>
      <c r="B1497" s="129"/>
      <c r="C1497" s="28"/>
      <c r="D1497" s="36"/>
      <c r="E1497" s="36"/>
      <c r="F1497" s="36"/>
      <c r="G1497" s="36"/>
      <c r="H1497" s="36"/>
      <c r="I1497" s="36"/>
      <c r="J1497" s="36">
        <f>YEAR(RESER3[[#This Row],[DATA]])</f>
        <v>1900</v>
      </c>
      <c r="K1497" s="36">
        <f>MONTH(RESER3[[#This Row],[DATA]])</f>
        <v>1</v>
      </c>
      <c r="L1497" s="36">
        <f>DAY(RESER3[[#This Row],[DATA]])</f>
        <v>0</v>
      </c>
      <c r="M1497" s="36"/>
    </row>
    <row r="1498" spans="1:13" x14ac:dyDescent="0.25">
      <c r="A1498" s="36"/>
      <c r="B1498" s="129"/>
      <c r="C1498" s="28"/>
      <c r="D1498" s="36"/>
      <c r="E1498" s="36"/>
      <c r="F1498" s="36"/>
      <c r="G1498" s="36"/>
      <c r="H1498" s="36"/>
      <c r="I1498" s="36"/>
      <c r="J1498" s="36">
        <f>YEAR(RESER3[[#This Row],[DATA]])</f>
        <v>1900</v>
      </c>
      <c r="K1498" s="36">
        <f>MONTH(RESER3[[#This Row],[DATA]])</f>
        <v>1</v>
      </c>
      <c r="L1498" s="36">
        <f>DAY(RESER3[[#This Row],[DATA]])</f>
        <v>0</v>
      </c>
      <c r="M1498" s="36"/>
    </row>
    <row r="1499" spans="1:13" x14ac:dyDescent="0.25">
      <c r="A1499" s="36"/>
      <c r="B1499" s="129"/>
      <c r="C1499" s="28"/>
      <c r="D1499" s="36"/>
      <c r="E1499" s="36"/>
      <c r="F1499" s="36"/>
      <c r="G1499" s="36"/>
      <c r="H1499" s="36"/>
      <c r="I1499" s="36"/>
      <c r="J1499" s="36">
        <f>YEAR(RESER3[[#This Row],[DATA]])</f>
        <v>1900</v>
      </c>
      <c r="K1499" s="36">
        <f>MONTH(RESER3[[#This Row],[DATA]])</f>
        <v>1</v>
      </c>
      <c r="L1499" s="36">
        <f>DAY(RESER3[[#This Row],[DATA]])</f>
        <v>0</v>
      </c>
      <c r="M1499" s="36"/>
    </row>
    <row r="1500" spans="1:13" x14ac:dyDescent="0.25">
      <c r="A1500" s="36"/>
      <c r="B1500" s="129"/>
      <c r="C1500" s="28"/>
      <c r="D1500" s="36"/>
      <c r="E1500" s="36"/>
      <c r="F1500" s="36"/>
      <c r="G1500" s="36"/>
      <c r="H1500" s="36"/>
      <c r="I1500" s="36"/>
      <c r="J1500" s="36">
        <f>YEAR(RESER3[[#This Row],[DATA]])</f>
        <v>1900</v>
      </c>
      <c r="K1500" s="36">
        <f>MONTH(RESER3[[#This Row],[DATA]])</f>
        <v>1</v>
      </c>
      <c r="L1500" s="36">
        <f>DAY(RESER3[[#This Row],[DATA]])</f>
        <v>0</v>
      </c>
      <c r="M1500" s="36"/>
    </row>
    <row r="1501" spans="1:13" x14ac:dyDescent="0.25">
      <c r="A1501" s="36"/>
      <c r="B1501" s="129"/>
      <c r="C1501" s="28"/>
      <c r="D1501" s="36"/>
      <c r="E1501" s="36"/>
      <c r="F1501" s="36"/>
      <c r="G1501" s="36"/>
      <c r="H1501" s="36"/>
      <c r="I1501" s="36"/>
      <c r="J1501" s="36">
        <f>YEAR(RESER3[[#This Row],[DATA]])</f>
        <v>1900</v>
      </c>
      <c r="K1501" s="36">
        <f>MONTH(RESER3[[#This Row],[DATA]])</f>
        <v>1</v>
      </c>
      <c r="L1501" s="36">
        <f>DAY(RESER3[[#This Row],[DATA]])</f>
        <v>0</v>
      </c>
      <c r="M1501" s="36"/>
    </row>
    <row r="1502" spans="1:13" x14ac:dyDescent="0.25">
      <c r="A1502" s="36"/>
      <c r="B1502" s="129"/>
      <c r="C1502" s="28"/>
      <c r="D1502" s="36"/>
      <c r="E1502" s="36"/>
      <c r="F1502" s="36"/>
      <c r="G1502" s="36"/>
      <c r="H1502" s="36"/>
      <c r="I1502" s="36"/>
      <c r="J1502" s="36">
        <f>YEAR(RESER3[[#This Row],[DATA]])</f>
        <v>1900</v>
      </c>
      <c r="K1502" s="36">
        <f>MONTH(RESER3[[#This Row],[DATA]])</f>
        <v>1</v>
      </c>
      <c r="L1502" s="36">
        <f>DAY(RESER3[[#This Row],[DATA]])</f>
        <v>0</v>
      </c>
      <c r="M1502" s="36"/>
    </row>
    <row r="1503" spans="1:13" x14ac:dyDescent="0.25">
      <c r="A1503" s="36"/>
      <c r="B1503" s="129"/>
      <c r="C1503" s="28"/>
      <c r="D1503" s="36"/>
      <c r="E1503" s="36"/>
      <c r="F1503" s="36"/>
      <c r="G1503" s="36"/>
      <c r="H1503" s="36"/>
      <c r="I1503" s="36"/>
      <c r="J1503" s="36">
        <f>YEAR(RESER3[[#This Row],[DATA]])</f>
        <v>1900</v>
      </c>
      <c r="K1503" s="36">
        <f>MONTH(RESER3[[#This Row],[DATA]])</f>
        <v>1</v>
      </c>
      <c r="L1503" s="36">
        <f>DAY(RESER3[[#This Row],[DATA]])</f>
        <v>0</v>
      </c>
      <c r="M1503" s="36"/>
    </row>
    <row r="1504" spans="1:13" x14ac:dyDescent="0.25">
      <c r="A1504" s="36"/>
      <c r="B1504" s="129"/>
      <c r="C1504" s="28"/>
      <c r="D1504" s="36"/>
      <c r="E1504" s="36"/>
      <c r="F1504" s="36"/>
      <c r="G1504" s="36"/>
      <c r="H1504" s="36"/>
      <c r="I1504" s="36"/>
      <c r="J1504" s="36">
        <f>YEAR(RESER3[[#This Row],[DATA]])</f>
        <v>1900</v>
      </c>
      <c r="K1504" s="36">
        <f>MONTH(RESER3[[#This Row],[DATA]])</f>
        <v>1</v>
      </c>
      <c r="L1504" s="36">
        <f>DAY(RESER3[[#This Row],[DATA]])</f>
        <v>0</v>
      </c>
      <c r="M1504" s="36"/>
    </row>
    <row r="1505" spans="1:13" x14ac:dyDescent="0.25">
      <c r="A1505" s="36"/>
      <c r="B1505" s="129"/>
      <c r="C1505" s="28"/>
      <c r="D1505" s="36"/>
      <c r="E1505" s="36"/>
      <c r="F1505" s="36"/>
      <c r="G1505" s="36"/>
      <c r="H1505" s="36"/>
      <c r="I1505" s="36"/>
      <c r="J1505" s="36">
        <f>YEAR(RESER3[[#This Row],[DATA]])</f>
        <v>1900</v>
      </c>
      <c r="K1505" s="36">
        <f>MONTH(RESER3[[#This Row],[DATA]])</f>
        <v>1</v>
      </c>
      <c r="L1505" s="36">
        <f>DAY(RESER3[[#This Row],[DATA]])</f>
        <v>0</v>
      </c>
      <c r="M1505" s="36"/>
    </row>
    <row r="1506" spans="1:13" x14ac:dyDescent="0.25">
      <c r="A1506" s="36"/>
      <c r="B1506" s="129"/>
      <c r="C1506" s="28"/>
      <c r="D1506" s="36"/>
      <c r="E1506" s="36"/>
      <c r="F1506" s="36"/>
      <c r="G1506" s="36"/>
      <c r="H1506" s="36"/>
      <c r="I1506" s="36"/>
      <c r="J1506" s="36">
        <f>YEAR(RESER3[[#This Row],[DATA]])</f>
        <v>1900</v>
      </c>
      <c r="K1506" s="36">
        <f>MONTH(RESER3[[#This Row],[DATA]])</f>
        <v>1</v>
      </c>
      <c r="L1506" s="36">
        <f>DAY(RESER3[[#This Row],[DATA]])</f>
        <v>0</v>
      </c>
      <c r="M1506" s="36"/>
    </row>
    <row r="1507" spans="1:13" x14ac:dyDescent="0.25">
      <c r="A1507" s="36"/>
      <c r="B1507" s="129"/>
      <c r="C1507" s="28"/>
      <c r="D1507" s="36"/>
      <c r="E1507" s="36"/>
      <c r="F1507" s="36"/>
      <c r="G1507" s="36"/>
      <c r="H1507" s="36"/>
      <c r="I1507" s="36"/>
      <c r="J1507" s="36">
        <f>YEAR(RESER3[[#This Row],[DATA]])</f>
        <v>1900</v>
      </c>
      <c r="K1507" s="36">
        <f>MONTH(RESER3[[#This Row],[DATA]])</f>
        <v>1</v>
      </c>
      <c r="L1507" s="36">
        <f>DAY(RESER3[[#This Row],[DATA]])</f>
        <v>0</v>
      </c>
      <c r="M1507" s="36"/>
    </row>
    <row r="1508" spans="1:13" x14ac:dyDescent="0.25">
      <c r="A1508" s="36"/>
      <c r="B1508" s="129"/>
      <c r="C1508" s="28"/>
      <c r="D1508" s="36"/>
      <c r="E1508" s="36"/>
      <c r="F1508" s="36"/>
      <c r="G1508" s="36"/>
      <c r="H1508" s="36"/>
      <c r="I1508" s="36"/>
      <c r="J1508" s="36">
        <f>YEAR(RESER3[[#This Row],[DATA]])</f>
        <v>1900</v>
      </c>
      <c r="K1508" s="36">
        <f>MONTH(RESER3[[#This Row],[DATA]])</f>
        <v>1</v>
      </c>
      <c r="L1508" s="36">
        <f>DAY(RESER3[[#This Row],[DATA]])</f>
        <v>0</v>
      </c>
      <c r="M1508" s="36"/>
    </row>
    <row r="1509" spans="1:13" x14ac:dyDescent="0.25">
      <c r="A1509" s="36"/>
      <c r="B1509" s="129"/>
      <c r="C1509" s="28"/>
      <c r="D1509" s="36"/>
      <c r="E1509" s="36"/>
      <c r="F1509" s="36"/>
      <c r="G1509" s="36"/>
      <c r="H1509" s="36"/>
      <c r="I1509" s="36"/>
      <c r="J1509" s="36">
        <f>YEAR(RESER3[[#This Row],[DATA]])</f>
        <v>1900</v>
      </c>
      <c r="K1509" s="36">
        <f>MONTH(RESER3[[#This Row],[DATA]])</f>
        <v>1</v>
      </c>
      <c r="L1509" s="36">
        <f>DAY(RESER3[[#This Row],[DATA]])</f>
        <v>0</v>
      </c>
      <c r="M1509" s="36"/>
    </row>
    <row r="1510" spans="1:13" x14ac:dyDescent="0.25">
      <c r="A1510" s="36"/>
      <c r="B1510" s="129"/>
      <c r="C1510" s="28"/>
      <c r="D1510" s="36"/>
      <c r="E1510" s="36"/>
      <c r="F1510" s="36"/>
      <c r="G1510" s="36"/>
      <c r="H1510" s="36"/>
      <c r="I1510" s="36"/>
      <c r="J1510" s="36">
        <f>YEAR(RESER3[[#This Row],[DATA]])</f>
        <v>1900</v>
      </c>
      <c r="K1510" s="36">
        <f>MONTH(RESER3[[#This Row],[DATA]])</f>
        <v>1</v>
      </c>
      <c r="L1510" s="36">
        <f>DAY(RESER3[[#This Row],[DATA]])</f>
        <v>0</v>
      </c>
      <c r="M1510" s="36"/>
    </row>
    <row r="1511" spans="1:13" x14ac:dyDescent="0.25">
      <c r="A1511" s="36"/>
      <c r="B1511" s="129"/>
      <c r="C1511" s="28"/>
      <c r="D1511" s="36"/>
      <c r="E1511" s="36"/>
      <c r="F1511" s="36"/>
      <c r="G1511" s="36"/>
      <c r="H1511" s="36"/>
      <c r="I1511" s="36"/>
      <c r="J1511" s="36">
        <f>YEAR(RESER3[[#This Row],[DATA]])</f>
        <v>1900</v>
      </c>
      <c r="K1511" s="36">
        <f>MONTH(RESER3[[#This Row],[DATA]])</f>
        <v>1</v>
      </c>
      <c r="L1511" s="36">
        <f>DAY(RESER3[[#This Row],[DATA]])</f>
        <v>0</v>
      </c>
      <c r="M1511" s="36"/>
    </row>
    <row r="1512" spans="1:13" x14ac:dyDescent="0.25">
      <c r="A1512" s="36"/>
      <c r="B1512" s="129"/>
      <c r="C1512" s="28"/>
      <c r="D1512" s="36"/>
      <c r="E1512" s="36"/>
      <c r="F1512" s="36"/>
      <c r="G1512" s="36"/>
      <c r="H1512" s="36"/>
      <c r="I1512" s="36"/>
      <c r="J1512" s="36">
        <f>YEAR(RESER3[[#This Row],[DATA]])</f>
        <v>1900</v>
      </c>
      <c r="K1512" s="36">
        <f>MONTH(RESER3[[#This Row],[DATA]])</f>
        <v>1</v>
      </c>
      <c r="L1512" s="36">
        <f>DAY(RESER3[[#This Row],[DATA]])</f>
        <v>0</v>
      </c>
      <c r="M1512" s="36"/>
    </row>
    <row r="1513" spans="1:13" x14ac:dyDescent="0.25">
      <c r="A1513" s="36"/>
      <c r="B1513" s="129"/>
      <c r="C1513" s="28"/>
      <c r="D1513" s="36"/>
      <c r="E1513" s="36"/>
      <c r="F1513" s="36"/>
      <c r="G1513" s="36"/>
      <c r="H1513" s="36"/>
      <c r="I1513" s="36"/>
      <c r="J1513" s="36">
        <f>YEAR(RESER3[[#This Row],[DATA]])</f>
        <v>1900</v>
      </c>
      <c r="K1513" s="36">
        <f>MONTH(RESER3[[#This Row],[DATA]])</f>
        <v>1</v>
      </c>
      <c r="L1513" s="36">
        <f>DAY(RESER3[[#This Row],[DATA]])</f>
        <v>0</v>
      </c>
      <c r="M1513" s="36"/>
    </row>
    <row r="1514" spans="1:13" x14ac:dyDescent="0.25">
      <c r="A1514" s="36"/>
      <c r="B1514" s="129"/>
      <c r="C1514" s="28"/>
      <c r="D1514" s="36"/>
      <c r="E1514" s="36"/>
      <c r="F1514" s="36"/>
      <c r="G1514" s="36"/>
      <c r="H1514" s="36"/>
      <c r="I1514" s="36"/>
      <c r="J1514" s="36">
        <f>YEAR(RESER3[[#This Row],[DATA]])</f>
        <v>1900</v>
      </c>
      <c r="K1514" s="36">
        <f>MONTH(RESER3[[#This Row],[DATA]])</f>
        <v>1</v>
      </c>
      <c r="L1514" s="36">
        <f>DAY(RESER3[[#This Row],[DATA]])</f>
        <v>0</v>
      </c>
      <c r="M1514" s="36"/>
    </row>
    <row r="1515" spans="1:13" x14ac:dyDescent="0.25">
      <c r="A1515" s="36"/>
      <c r="B1515" s="129"/>
      <c r="C1515" s="28"/>
      <c r="D1515" s="36"/>
      <c r="E1515" s="36"/>
      <c r="F1515" s="36"/>
      <c r="G1515" s="36"/>
      <c r="H1515" s="36"/>
      <c r="I1515" s="36"/>
      <c r="J1515" s="36">
        <f>YEAR(RESER3[[#This Row],[DATA]])</f>
        <v>1900</v>
      </c>
      <c r="K1515" s="36">
        <f>MONTH(RESER3[[#This Row],[DATA]])</f>
        <v>1</v>
      </c>
      <c r="L1515" s="36">
        <f>DAY(RESER3[[#This Row],[DATA]])</f>
        <v>0</v>
      </c>
      <c r="M1515" s="36"/>
    </row>
    <row r="1516" spans="1:13" x14ac:dyDescent="0.25">
      <c r="A1516" s="36"/>
      <c r="B1516" s="129"/>
      <c r="C1516" s="28"/>
      <c r="D1516" s="36"/>
      <c r="E1516" s="36"/>
      <c r="F1516" s="36"/>
      <c r="G1516" s="36"/>
      <c r="H1516" s="36"/>
      <c r="I1516" s="36"/>
      <c r="J1516" s="36">
        <f>YEAR(RESER3[[#This Row],[DATA]])</f>
        <v>1900</v>
      </c>
      <c r="K1516" s="36">
        <f>MONTH(RESER3[[#This Row],[DATA]])</f>
        <v>1</v>
      </c>
      <c r="L1516" s="36">
        <f>DAY(RESER3[[#This Row],[DATA]])</f>
        <v>0</v>
      </c>
      <c r="M1516" s="36"/>
    </row>
    <row r="1517" spans="1:13" x14ac:dyDescent="0.25">
      <c r="A1517" s="36"/>
      <c r="B1517" s="129"/>
      <c r="C1517" s="28"/>
      <c r="D1517" s="36"/>
      <c r="E1517" s="36"/>
      <c r="F1517" s="36"/>
      <c r="G1517" s="36"/>
      <c r="H1517" s="36"/>
      <c r="I1517" s="36"/>
      <c r="J1517" s="36">
        <f>YEAR(RESER3[[#This Row],[DATA]])</f>
        <v>1900</v>
      </c>
      <c r="K1517" s="36">
        <f>MONTH(RESER3[[#This Row],[DATA]])</f>
        <v>1</v>
      </c>
      <c r="L1517" s="36">
        <f>DAY(RESER3[[#This Row],[DATA]])</f>
        <v>0</v>
      </c>
      <c r="M1517" s="36"/>
    </row>
    <row r="1518" spans="1:13" x14ac:dyDescent="0.25">
      <c r="A1518" s="36"/>
      <c r="B1518" s="129"/>
      <c r="C1518" s="28"/>
      <c r="D1518" s="36"/>
      <c r="E1518" s="36"/>
      <c r="F1518" s="36"/>
      <c r="G1518" s="36"/>
      <c r="H1518" s="36"/>
      <c r="I1518" s="36"/>
      <c r="J1518" s="36">
        <f>YEAR(RESER3[[#This Row],[DATA]])</f>
        <v>1900</v>
      </c>
      <c r="K1518" s="36">
        <f>MONTH(RESER3[[#This Row],[DATA]])</f>
        <v>1</v>
      </c>
      <c r="L1518" s="36">
        <f>DAY(RESER3[[#This Row],[DATA]])</f>
        <v>0</v>
      </c>
      <c r="M1518" s="36"/>
    </row>
    <row r="1519" spans="1:13" x14ac:dyDescent="0.25">
      <c r="A1519" s="36"/>
      <c r="B1519" s="129"/>
      <c r="C1519" s="28"/>
      <c r="D1519" s="36"/>
      <c r="E1519" s="36"/>
      <c r="F1519" s="36"/>
      <c r="G1519" s="36"/>
      <c r="H1519" s="36"/>
      <c r="I1519" s="36"/>
      <c r="J1519" s="36">
        <f>YEAR(RESER3[[#This Row],[DATA]])</f>
        <v>1900</v>
      </c>
      <c r="K1519" s="36">
        <f>MONTH(RESER3[[#This Row],[DATA]])</f>
        <v>1</v>
      </c>
      <c r="L1519" s="36">
        <f>DAY(RESER3[[#This Row],[DATA]])</f>
        <v>0</v>
      </c>
      <c r="M1519" s="36"/>
    </row>
    <row r="1520" spans="1:13" x14ac:dyDescent="0.25">
      <c r="B1520" s="129"/>
      <c r="C1520" s="28"/>
      <c r="D1520" s="36"/>
      <c r="E1520" s="36"/>
      <c r="F1520" s="36"/>
      <c r="G1520" s="36"/>
      <c r="H1520" s="36"/>
      <c r="I1520" s="36"/>
      <c r="J1520" s="36">
        <f>YEAR(RESER3[[#This Row],[DATA]])</f>
        <v>1900</v>
      </c>
      <c r="K1520" s="36">
        <f>MONTH(RESER3[[#This Row],[DATA]])</f>
        <v>1</v>
      </c>
      <c r="L1520" s="36">
        <f>DAY(RESER3[[#This Row],[DATA]])</f>
        <v>0</v>
      </c>
    </row>
    <row r="1521" spans="2:12" x14ac:dyDescent="0.25">
      <c r="B1521" s="129"/>
      <c r="C1521" s="28"/>
      <c r="D1521" s="36"/>
      <c r="E1521" s="36"/>
      <c r="F1521" s="36"/>
      <c r="G1521" s="36"/>
      <c r="H1521" s="36"/>
      <c r="I1521" s="36"/>
      <c r="J1521" s="36">
        <f>YEAR(RESER3[[#This Row],[DATA]])</f>
        <v>1900</v>
      </c>
      <c r="K1521" s="36">
        <f>MONTH(RESER3[[#This Row],[DATA]])</f>
        <v>1</v>
      </c>
      <c r="L1521" s="36">
        <f>DAY(RESER3[[#This Row],[DATA]])</f>
        <v>0</v>
      </c>
    </row>
    <row r="1522" spans="2:12" x14ac:dyDescent="0.25">
      <c r="B1522" s="129"/>
      <c r="C1522" s="28"/>
      <c r="D1522" s="36"/>
      <c r="E1522" s="36"/>
      <c r="F1522" s="36"/>
      <c r="G1522" s="36"/>
      <c r="H1522" s="36"/>
      <c r="I1522" s="36"/>
      <c r="J1522" s="36">
        <f>YEAR(RESER3[[#This Row],[DATA]])</f>
        <v>1900</v>
      </c>
      <c r="K1522" s="36">
        <f>MONTH(RESER3[[#This Row],[DATA]])</f>
        <v>1</v>
      </c>
      <c r="L1522" s="36">
        <f>DAY(RESER3[[#This Row],[DATA]])</f>
        <v>0</v>
      </c>
    </row>
    <row r="1523" spans="2:12" x14ac:dyDescent="0.25">
      <c r="B1523" s="129"/>
      <c r="C1523" s="28"/>
      <c r="D1523" s="36"/>
      <c r="E1523" s="36"/>
      <c r="F1523" s="36"/>
      <c r="G1523" s="36"/>
      <c r="H1523" s="36"/>
      <c r="I1523" s="36"/>
      <c r="J1523" s="36">
        <f>YEAR(RESER3[[#This Row],[DATA]])</f>
        <v>1900</v>
      </c>
      <c r="K1523" s="36">
        <f>MONTH(RESER3[[#This Row],[DATA]])</f>
        <v>1</v>
      </c>
      <c r="L1523" s="36">
        <f>DAY(RESER3[[#This Row],[DATA]])</f>
        <v>0</v>
      </c>
    </row>
    <row r="1524" spans="2:12" x14ac:dyDescent="0.25">
      <c r="B1524" s="129"/>
      <c r="C1524" s="28"/>
      <c r="D1524" s="36"/>
      <c r="E1524" s="36"/>
      <c r="F1524" s="36"/>
      <c r="G1524" s="36"/>
      <c r="H1524" s="36"/>
      <c r="I1524" s="36"/>
      <c r="J1524" s="36">
        <f>YEAR(RESER3[[#This Row],[DATA]])</f>
        <v>1900</v>
      </c>
      <c r="K1524" s="36">
        <f>MONTH(RESER3[[#This Row],[DATA]])</f>
        <v>1</v>
      </c>
      <c r="L1524" s="36">
        <f>DAY(RESER3[[#This Row],[DATA]])</f>
        <v>0</v>
      </c>
    </row>
    <row r="1525" spans="2:12" x14ac:dyDescent="0.25">
      <c r="B1525" s="129"/>
      <c r="C1525" s="28"/>
      <c r="D1525" s="36"/>
      <c r="E1525" s="36"/>
      <c r="F1525" s="36"/>
      <c r="G1525" s="36"/>
      <c r="H1525" s="36"/>
      <c r="I1525" s="36"/>
      <c r="J1525" s="36">
        <f>YEAR(RESER3[[#This Row],[DATA]])</f>
        <v>1900</v>
      </c>
      <c r="K1525" s="36">
        <f>MONTH(RESER3[[#This Row],[DATA]])</f>
        <v>1</v>
      </c>
      <c r="L1525" s="36">
        <f>DAY(RESER3[[#This Row],[DATA]])</f>
        <v>0</v>
      </c>
    </row>
    <row r="1526" spans="2:12" x14ac:dyDescent="0.25">
      <c r="B1526" s="129"/>
      <c r="C1526" s="28"/>
      <c r="D1526" s="36"/>
      <c r="E1526" s="36"/>
      <c r="F1526" s="36"/>
      <c r="G1526" s="36"/>
      <c r="H1526" s="36"/>
      <c r="I1526" s="36"/>
      <c r="J1526" s="36">
        <f>YEAR(RESER3[[#This Row],[DATA]])</f>
        <v>1900</v>
      </c>
      <c r="K1526" s="36">
        <f>MONTH(RESER3[[#This Row],[DATA]])</f>
        <v>1</v>
      </c>
      <c r="L1526" s="36">
        <f>DAY(RESER3[[#This Row],[DATA]])</f>
        <v>0</v>
      </c>
    </row>
    <row r="1527" spans="2:12" x14ac:dyDescent="0.25">
      <c r="B1527" s="129"/>
      <c r="C1527" s="28"/>
      <c r="D1527" s="36"/>
      <c r="E1527" s="36"/>
      <c r="F1527" s="36"/>
      <c r="G1527" s="36"/>
      <c r="H1527" s="36"/>
      <c r="I1527" s="36"/>
      <c r="J1527" s="36">
        <f>YEAR(RESER3[[#This Row],[DATA]])</f>
        <v>1900</v>
      </c>
      <c r="K1527" s="36">
        <f>MONTH(RESER3[[#This Row],[DATA]])</f>
        <v>1</v>
      </c>
      <c r="L1527" s="36">
        <f>DAY(RESER3[[#This Row],[DATA]])</f>
        <v>0</v>
      </c>
    </row>
    <row r="1528" spans="2:12" x14ac:dyDescent="0.25">
      <c r="B1528" s="129"/>
      <c r="C1528" s="28"/>
      <c r="D1528" s="36"/>
      <c r="E1528" s="36"/>
      <c r="F1528" s="36"/>
      <c r="G1528" s="36"/>
      <c r="H1528" s="36"/>
      <c r="I1528" s="36"/>
      <c r="J1528" s="36">
        <f>YEAR(RESER3[[#This Row],[DATA]])</f>
        <v>1900</v>
      </c>
      <c r="K1528" s="36">
        <f>MONTH(RESER3[[#This Row],[DATA]])</f>
        <v>1</v>
      </c>
      <c r="L1528" s="36">
        <f>DAY(RESER3[[#This Row],[DATA]])</f>
        <v>0</v>
      </c>
    </row>
    <row r="1529" spans="2:12" x14ac:dyDescent="0.25">
      <c r="B1529" s="129"/>
      <c r="C1529" s="28"/>
      <c r="D1529" s="36"/>
      <c r="E1529" s="36"/>
      <c r="F1529" s="36"/>
      <c r="G1529" s="36"/>
      <c r="H1529" s="36"/>
      <c r="I1529" s="36"/>
      <c r="J1529" s="36">
        <f>YEAR(RESER3[[#This Row],[DATA]])</f>
        <v>1900</v>
      </c>
      <c r="K1529" s="36">
        <f>MONTH(RESER3[[#This Row],[DATA]])</f>
        <v>1</v>
      </c>
      <c r="L1529" s="36">
        <f>DAY(RESER3[[#This Row],[DATA]])</f>
        <v>0</v>
      </c>
    </row>
    <row r="1530" spans="2:12" x14ac:dyDescent="0.25">
      <c r="B1530" s="129"/>
      <c r="C1530" s="28"/>
      <c r="D1530" s="36"/>
      <c r="E1530" s="36"/>
      <c r="F1530" s="36"/>
      <c r="G1530" s="36"/>
      <c r="H1530" s="36"/>
      <c r="I1530" s="36"/>
      <c r="J1530" s="36">
        <f>YEAR(RESER3[[#This Row],[DATA]])</f>
        <v>1900</v>
      </c>
      <c r="K1530" s="36">
        <f>MONTH(RESER3[[#This Row],[DATA]])</f>
        <v>1</v>
      </c>
      <c r="L1530" s="36">
        <f>DAY(RESER3[[#This Row],[DATA]])</f>
        <v>0</v>
      </c>
    </row>
    <row r="1531" spans="2:12" x14ac:dyDescent="0.25">
      <c r="B1531" s="129"/>
      <c r="C1531" s="28"/>
      <c r="D1531" s="36"/>
      <c r="E1531" s="36"/>
      <c r="F1531" s="36"/>
      <c r="G1531" s="36"/>
      <c r="H1531" s="36"/>
      <c r="I1531" s="36"/>
      <c r="J1531" s="36">
        <f>YEAR(RESER3[[#This Row],[DATA]])</f>
        <v>1900</v>
      </c>
      <c r="K1531" s="36">
        <f>MONTH(RESER3[[#This Row],[DATA]])</f>
        <v>1</v>
      </c>
      <c r="L1531" s="36">
        <f>DAY(RESER3[[#This Row],[DATA]])</f>
        <v>0</v>
      </c>
    </row>
    <row r="1532" spans="2:12" x14ac:dyDescent="0.25">
      <c r="B1532" s="129"/>
      <c r="C1532" s="28"/>
      <c r="D1532" s="36"/>
      <c r="E1532" s="36"/>
      <c r="F1532" s="36"/>
      <c r="G1532" s="36"/>
      <c r="H1532" s="36"/>
      <c r="I1532" s="36"/>
      <c r="J1532" s="36">
        <f>YEAR(RESER3[[#This Row],[DATA]])</f>
        <v>1900</v>
      </c>
      <c r="K1532" s="36">
        <f>MONTH(RESER3[[#This Row],[DATA]])</f>
        <v>1</v>
      </c>
      <c r="L1532" s="36">
        <f>DAY(RESER3[[#This Row],[DATA]])</f>
        <v>0</v>
      </c>
    </row>
    <row r="1533" spans="2:12" x14ac:dyDescent="0.25">
      <c r="B1533" s="129"/>
      <c r="C1533" s="28"/>
      <c r="D1533" s="36"/>
      <c r="E1533" s="36"/>
      <c r="F1533" s="36"/>
      <c r="G1533" s="36"/>
      <c r="H1533" s="36"/>
      <c r="I1533" s="36"/>
      <c r="J1533" s="36">
        <f>YEAR(RESER3[[#This Row],[DATA]])</f>
        <v>1900</v>
      </c>
      <c r="K1533" s="36">
        <f>MONTH(RESER3[[#This Row],[DATA]])</f>
        <v>1</v>
      </c>
      <c r="L1533" s="36">
        <f>DAY(RESER3[[#This Row],[DATA]])</f>
        <v>0</v>
      </c>
    </row>
    <row r="1534" spans="2:12" x14ac:dyDescent="0.25">
      <c r="B1534" s="129"/>
      <c r="C1534" s="128"/>
      <c r="D1534" s="36"/>
      <c r="E1534" s="36"/>
      <c r="F1534" s="36"/>
      <c r="G1534" s="36"/>
      <c r="H1534" s="36"/>
      <c r="I1534" s="36"/>
      <c r="J1534" s="36">
        <f>YEAR(RESER3[[#This Row],[DATA]])</f>
        <v>1900</v>
      </c>
      <c r="K1534" s="36">
        <f t="shared" ref="K1534:K1549" si="26">MONTH(C1534)</f>
        <v>1</v>
      </c>
      <c r="L1534" s="36">
        <f>DAY(RESER3[[#This Row],[DATA]])</f>
        <v>0</v>
      </c>
    </row>
    <row r="1535" spans="2:12" x14ac:dyDescent="0.25">
      <c r="B1535" s="129"/>
      <c r="C1535" s="128"/>
      <c r="D1535" s="36"/>
      <c r="E1535" s="36"/>
      <c r="F1535" s="36"/>
      <c r="G1535" s="36"/>
      <c r="H1535" s="36"/>
      <c r="I1535" s="36"/>
      <c r="J1535" s="36">
        <f>YEAR(RESER3[[#This Row],[DATA]])</f>
        <v>1900</v>
      </c>
      <c r="K1535" s="36">
        <f t="shared" si="26"/>
        <v>1</v>
      </c>
      <c r="L1535" s="36">
        <f>DAY(RESER3[[#This Row],[DATA]])</f>
        <v>0</v>
      </c>
    </row>
    <row r="1536" spans="2:12" x14ac:dyDescent="0.25">
      <c r="B1536" s="129"/>
      <c r="C1536" s="128"/>
      <c r="D1536" s="36"/>
      <c r="E1536" s="36"/>
      <c r="F1536" s="36"/>
      <c r="G1536" s="36"/>
      <c r="H1536" s="36"/>
      <c r="I1536" s="36"/>
      <c r="J1536" s="36">
        <f>YEAR(RESER3[[#This Row],[DATA]])</f>
        <v>1900</v>
      </c>
      <c r="K1536" s="36">
        <f t="shared" si="26"/>
        <v>1</v>
      </c>
      <c r="L1536" s="36">
        <f>DAY(RESER3[[#This Row],[DATA]])</f>
        <v>0</v>
      </c>
    </row>
    <row r="1537" spans="2:12" x14ac:dyDescent="0.25">
      <c r="B1537" s="129"/>
      <c r="C1537" s="128"/>
      <c r="D1537" s="36"/>
      <c r="E1537" s="36"/>
      <c r="F1537" s="36"/>
      <c r="G1537" s="36"/>
      <c r="H1537" s="36"/>
      <c r="I1537" s="36"/>
      <c r="J1537" s="36">
        <f>YEAR(RESER3[[#This Row],[DATA]])</f>
        <v>1900</v>
      </c>
      <c r="K1537" s="36">
        <f t="shared" si="26"/>
        <v>1</v>
      </c>
      <c r="L1537" s="36">
        <f>DAY(RESER3[[#This Row],[DATA]])</f>
        <v>0</v>
      </c>
    </row>
    <row r="1538" spans="2:12" x14ac:dyDescent="0.25">
      <c r="B1538" s="129"/>
      <c r="C1538" s="128"/>
      <c r="D1538" s="36"/>
      <c r="E1538" s="36"/>
      <c r="F1538" s="36"/>
      <c r="G1538" s="36"/>
      <c r="H1538" s="36"/>
      <c r="I1538" s="36"/>
      <c r="J1538" s="36">
        <f>YEAR(RESER3[[#This Row],[DATA]])</f>
        <v>1900</v>
      </c>
      <c r="K1538" s="36">
        <f t="shared" si="26"/>
        <v>1</v>
      </c>
      <c r="L1538" s="36">
        <f>DAY(RESER3[[#This Row],[DATA]])</f>
        <v>0</v>
      </c>
    </row>
    <row r="1539" spans="2:12" x14ac:dyDescent="0.25">
      <c r="B1539" s="129"/>
      <c r="C1539" s="128"/>
      <c r="D1539" s="36"/>
      <c r="E1539" s="36"/>
      <c r="F1539" s="36"/>
      <c r="G1539" s="36"/>
      <c r="H1539" s="36"/>
      <c r="I1539" s="36"/>
      <c r="J1539" s="36">
        <f>YEAR(RESER3[[#This Row],[DATA]])</f>
        <v>1900</v>
      </c>
      <c r="K1539" s="36">
        <f t="shared" si="26"/>
        <v>1</v>
      </c>
      <c r="L1539" s="36">
        <f>DAY(RESER3[[#This Row],[DATA]])</f>
        <v>0</v>
      </c>
    </row>
    <row r="1540" spans="2:12" x14ac:dyDescent="0.25">
      <c r="B1540" s="129"/>
      <c r="C1540" s="128"/>
      <c r="D1540" s="36"/>
      <c r="E1540" s="36"/>
      <c r="F1540" s="36"/>
      <c r="G1540" s="36"/>
      <c r="H1540" s="36"/>
      <c r="I1540" s="36"/>
      <c r="J1540" s="36">
        <f>YEAR(RESER3[[#This Row],[DATA]])</f>
        <v>1900</v>
      </c>
      <c r="K1540" s="36">
        <f t="shared" si="26"/>
        <v>1</v>
      </c>
      <c r="L1540" s="36">
        <f>DAY(RESER3[[#This Row],[DATA]])</f>
        <v>0</v>
      </c>
    </row>
    <row r="1541" spans="2:12" x14ac:dyDescent="0.25">
      <c r="B1541" s="129"/>
      <c r="C1541" s="128"/>
      <c r="D1541" s="36"/>
      <c r="E1541" s="36"/>
      <c r="F1541" s="36"/>
      <c r="G1541" s="36"/>
      <c r="H1541" s="36"/>
      <c r="I1541" s="36"/>
      <c r="J1541" s="36">
        <f>YEAR(RESER3[[#This Row],[DATA]])</f>
        <v>1900</v>
      </c>
      <c r="K1541" s="36">
        <f t="shared" si="26"/>
        <v>1</v>
      </c>
      <c r="L1541" s="36">
        <f>DAY(RESER3[[#This Row],[DATA]])</f>
        <v>0</v>
      </c>
    </row>
    <row r="1542" spans="2:12" x14ac:dyDescent="0.25">
      <c r="B1542" s="129"/>
      <c r="C1542" s="128"/>
      <c r="D1542" s="36"/>
      <c r="E1542" s="36"/>
      <c r="F1542" s="36"/>
      <c r="G1542" s="36"/>
      <c r="H1542" s="36"/>
      <c r="I1542" s="36"/>
      <c r="J1542" s="36">
        <f>YEAR(RESER3[[#This Row],[DATA]])</f>
        <v>1900</v>
      </c>
      <c r="K1542" s="36">
        <f t="shared" si="26"/>
        <v>1</v>
      </c>
      <c r="L1542" s="36">
        <f>DAY(RESER3[[#This Row],[DATA]])</f>
        <v>0</v>
      </c>
    </row>
    <row r="1543" spans="2:12" x14ac:dyDescent="0.25">
      <c r="B1543" s="129"/>
      <c r="C1543" s="128"/>
      <c r="D1543" s="36"/>
      <c r="E1543" s="36"/>
      <c r="F1543" s="36"/>
      <c r="G1543" s="36"/>
      <c r="H1543" s="36"/>
      <c r="I1543" s="36"/>
      <c r="J1543" s="36">
        <f>YEAR(RESER3[[#This Row],[DATA]])</f>
        <v>1900</v>
      </c>
      <c r="K1543" s="36">
        <f t="shared" si="26"/>
        <v>1</v>
      </c>
      <c r="L1543" s="36">
        <f>DAY(RESER3[[#This Row],[DATA]])</f>
        <v>0</v>
      </c>
    </row>
    <row r="1544" spans="2:12" x14ac:dyDescent="0.25">
      <c r="B1544" s="129"/>
      <c r="C1544" s="128"/>
      <c r="D1544" s="36"/>
      <c r="E1544" s="36"/>
      <c r="F1544" s="36"/>
      <c r="G1544" s="36"/>
      <c r="H1544" s="36"/>
      <c r="I1544" s="36"/>
      <c r="J1544" s="36">
        <f>YEAR(RESER3[[#This Row],[DATA]])</f>
        <v>1900</v>
      </c>
      <c r="K1544" s="36">
        <f t="shared" si="26"/>
        <v>1</v>
      </c>
      <c r="L1544" s="36">
        <f>DAY(RESER3[[#This Row],[DATA]])</f>
        <v>0</v>
      </c>
    </row>
    <row r="1545" spans="2:12" x14ac:dyDescent="0.25">
      <c r="B1545" s="129"/>
      <c r="C1545" s="128"/>
      <c r="D1545" s="36"/>
      <c r="E1545" s="36"/>
      <c r="F1545" s="36"/>
      <c r="G1545" s="36"/>
      <c r="H1545" s="36"/>
      <c r="I1545" s="36"/>
      <c r="J1545" s="36">
        <f>YEAR(RESER3[[#This Row],[DATA]])</f>
        <v>1900</v>
      </c>
      <c r="K1545" s="36">
        <f t="shared" si="26"/>
        <v>1</v>
      </c>
      <c r="L1545" s="36">
        <f>DAY(RESER3[[#This Row],[DATA]])</f>
        <v>0</v>
      </c>
    </row>
    <row r="1546" spans="2:12" x14ac:dyDescent="0.25">
      <c r="B1546" s="129"/>
      <c r="C1546" s="128"/>
      <c r="D1546" s="36"/>
      <c r="E1546" s="36"/>
      <c r="F1546" s="36"/>
      <c r="G1546" s="36"/>
      <c r="H1546" s="36"/>
      <c r="I1546" s="36"/>
      <c r="J1546" s="36">
        <f>YEAR(RESER3[[#This Row],[DATA]])</f>
        <v>1900</v>
      </c>
      <c r="K1546" s="36">
        <f t="shared" si="26"/>
        <v>1</v>
      </c>
      <c r="L1546" s="36">
        <f>DAY(RESER3[[#This Row],[DATA]])</f>
        <v>0</v>
      </c>
    </row>
    <row r="1547" spans="2:12" x14ac:dyDescent="0.25">
      <c r="B1547" s="129"/>
      <c r="C1547" s="128"/>
      <c r="D1547" s="36"/>
      <c r="E1547" s="36"/>
      <c r="F1547" s="36"/>
      <c r="G1547" s="36"/>
      <c r="H1547" s="36"/>
      <c r="I1547" s="36"/>
      <c r="J1547" s="36">
        <f>YEAR(RESER3[[#This Row],[DATA]])</f>
        <v>1900</v>
      </c>
      <c r="K1547" s="36">
        <f t="shared" si="26"/>
        <v>1</v>
      </c>
      <c r="L1547" s="36">
        <f>DAY(RESER3[[#This Row],[DATA]])</f>
        <v>0</v>
      </c>
    </row>
    <row r="1548" spans="2:12" x14ac:dyDescent="0.25">
      <c r="B1548" s="129"/>
      <c r="C1548" s="128"/>
      <c r="D1548" s="36"/>
      <c r="E1548" s="36"/>
      <c r="F1548" s="36"/>
      <c r="G1548" s="36"/>
      <c r="H1548" s="36"/>
      <c r="I1548" s="36"/>
      <c r="J1548" s="36">
        <f>YEAR(RESER3[[#This Row],[DATA]])</f>
        <v>1900</v>
      </c>
      <c r="K1548" s="36">
        <f t="shared" si="26"/>
        <v>1</v>
      </c>
      <c r="L1548" s="36">
        <f>DAY(RESER3[[#This Row],[DATA]])</f>
        <v>0</v>
      </c>
    </row>
    <row r="1549" spans="2:12" x14ac:dyDescent="0.25">
      <c r="B1549" s="129"/>
      <c r="C1549" s="128"/>
      <c r="D1549" s="36"/>
      <c r="E1549" s="36"/>
      <c r="F1549" s="36"/>
      <c r="G1549" s="36"/>
      <c r="H1549" s="36"/>
      <c r="I1549" s="36"/>
      <c r="J1549" s="36">
        <f>YEAR(RESER3[[#This Row],[DATA]])</f>
        <v>1900</v>
      </c>
      <c r="K1549" s="36">
        <f t="shared" si="26"/>
        <v>1</v>
      </c>
      <c r="L1549" s="36">
        <f>DAY(RESER3[[#This Row],[DATA]])</f>
        <v>0</v>
      </c>
    </row>
    <row r="1550" spans="2:12" x14ac:dyDescent="0.25">
      <c r="B1550" s="129"/>
      <c r="C1550" s="128"/>
      <c r="D1550" s="36"/>
      <c r="E1550" s="36"/>
      <c r="F1550" s="36"/>
      <c r="G1550" s="36"/>
      <c r="H1550" s="36"/>
      <c r="I1550" s="36"/>
      <c r="J1550" s="36">
        <f>YEAR(RESER3[[#This Row],[DATA]])</f>
        <v>1900</v>
      </c>
      <c r="K1550" s="36">
        <f t="shared" ref="K1550:K1565" si="27">MONTH(C1550)</f>
        <v>1</v>
      </c>
      <c r="L1550" s="36">
        <f>DAY(RESER3[[#This Row],[DATA]])</f>
        <v>0</v>
      </c>
    </row>
    <row r="1551" spans="2:12" x14ac:dyDescent="0.25">
      <c r="B1551" s="129"/>
      <c r="C1551" s="128"/>
      <c r="D1551" s="36"/>
      <c r="E1551" s="36"/>
      <c r="F1551" s="36"/>
      <c r="G1551" s="36"/>
      <c r="H1551" s="36"/>
      <c r="I1551" s="36"/>
      <c r="J1551" s="36">
        <f>YEAR(RESER3[[#This Row],[DATA]])</f>
        <v>1900</v>
      </c>
      <c r="K1551" s="36">
        <f t="shared" si="27"/>
        <v>1</v>
      </c>
      <c r="L1551" s="36">
        <f>DAY(RESER3[[#This Row],[DATA]])</f>
        <v>0</v>
      </c>
    </row>
    <row r="1552" spans="2:12" x14ac:dyDescent="0.25">
      <c r="B1552" s="129"/>
      <c r="C1552" s="128"/>
      <c r="D1552" s="36"/>
      <c r="E1552" s="36"/>
      <c r="F1552" s="36"/>
      <c r="G1552" s="36"/>
      <c r="H1552" s="36"/>
      <c r="I1552" s="36"/>
      <c r="J1552" s="36">
        <f>YEAR(RESER3[[#This Row],[DATA]])</f>
        <v>1900</v>
      </c>
      <c r="K1552" s="36">
        <f t="shared" si="27"/>
        <v>1</v>
      </c>
      <c r="L1552" s="36">
        <f>DAY(RESER3[[#This Row],[DATA]])</f>
        <v>0</v>
      </c>
    </row>
    <row r="1553" spans="2:12" x14ac:dyDescent="0.25">
      <c r="B1553" s="129"/>
      <c r="C1553" s="128"/>
      <c r="D1553" s="36"/>
      <c r="E1553" s="36"/>
      <c r="F1553" s="36"/>
      <c r="G1553" s="36"/>
      <c r="H1553" s="36"/>
      <c r="I1553" s="36"/>
      <c r="J1553" s="36">
        <f>YEAR(RESER3[[#This Row],[DATA]])</f>
        <v>1900</v>
      </c>
      <c r="K1553" s="36">
        <f t="shared" si="27"/>
        <v>1</v>
      </c>
      <c r="L1553" s="36">
        <f>DAY(RESER3[[#This Row],[DATA]])</f>
        <v>0</v>
      </c>
    </row>
    <row r="1554" spans="2:12" x14ac:dyDescent="0.25">
      <c r="B1554" s="129"/>
      <c r="C1554" s="128"/>
      <c r="D1554" s="36"/>
      <c r="E1554" s="36"/>
      <c r="F1554" s="36"/>
      <c r="G1554" s="36"/>
      <c r="H1554" s="36"/>
      <c r="I1554" s="36"/>
      <c r="J1554" s="36">
        <f>YEAR(RESER3[[#This Row],[DATA]])</f>
        <v>1900</v>
      </c>
      <c r="K1554" s="36">
        <f t="shared" si="27"/>
        <v>1</v>
      </c>
      <c r="L1554" s="36">
        <f>DAY(RESER3[[#This Row],[DATA]])</f>
        <v>0</v>
      </c>
    </row>
    <row r="1555" spans="2:12" x14ac:dyDescent="0.25">
      <c r="B1555" s="129"/>
      <c r="C1555" s="128"/>
      <c r="D1555" s="36"/>
      <c r="E1555" s="36"/>
      <c r="F1555" s="36"/>
      <c r="G1555" s="36"/>
      <c r="H1555" s="36"/>
      <c r="I1555" s="36"/>
      <c r="J1555" s="36">
        <f>YEAR(RESER3[[#This Row],[DATA]])</f>
        <v>1900</v>
      </c>
      <c r="K1555" s="36">
        <f t="shared" si="27"/>
        <v>1</v>
      </c>
      <c r="L1555" s="36">
        <f>DAY(RESER3[[#This Row],[DATA]])</f>
        <v>0</v>
      </c>
    </row>
    <row r="1556" spans="2:12" x14ac:dyDescent="0.25">
      <c r="B1556" s="129"/>
      <c r="C1556" s="128"/>
      <c r="D1556" s="36"/>
      <c r="E1556" s="36"/>
      <c r="F1556" s="36"/>
      <c r="G1556" s="36"/>
      <c r="H1556" s="36"/>
      <c r="I1556" s="36"/>
      <c r="J1556" s="36">
        <f>YEAR(RESER3[[#This Row],[DATA]])</f>
        <v>1900</v>
      </c>
      <c r="K1556" s="36">
        <f t="shared" si="27"/>
        <v>1</v>
      </c>
      <c r="L1556" s="36">
        <f>DAY(RESER3[[#This Row],[DATA]])</f>
        <v>0</v>
      </c>
    </row>
    <row r="1557" spans="2:12" x14ac:dyDescent="0.25">
      <c r="B1557" s="129"/>
      <c r="C1557" s="128"/>
      <c r="D1557" s="36"/>
      <c r="E1557" s="36"/>
      <c r="F1557" s="36"/>
      <c r="G1557" s="36"/>
      <c r="H1557" s="36"/>
      <c r="I1557" s="36"/>
      <c r="J1557" s="36">
        <f>YEAR(RESER3[[#This Row],[DATA]])</f>
        <v>1900</v>
      </c>
      <c r="K1557" s="36">
        <f t="shared" si="27"/>
        <v>1</v>
      </c>
      <c r="L1557" s="36">
        <f>DAY(RESER3[[#This Row],[DATA]])</f>
        <v>0</v>
      </c>
    </row>
    <row r="1558" spans="2:12" x14ac:dyDescent="0.25">
      <c r="B1558" s="129"/>
      <c r="C1558" s="128"/>
      <c r="D1558" s="36"/>
      <c r="E1558" s="36"/>
      <c r="F1558" s="36"/>
      <c r="G1558" s="36"/>
      <c r="H1558" s="36"/>
      <c r="I1558" s="36"/>
      <c r="J1558" s="36">
        <f>YEAR(RESER3[[#This Row],[DATA]])</f>
        <v>1900</v>
      </c>
      <c r="K1558" s="36">
        <f t="shared" si="27"/>
        <v>1</v>
      </c>
      <c r="L1558" s="36">
        <f>DAY(RESER3[[#This Row],[DATA]])</f>
        <v>0</v>
      </c>
    </row>
    <row r="1559" spans="2:12" x14ac:dyDescent="0.25">
      <c r="B1559" s="129"/>
      <c r="C1559" s="128"/>
      <c r="D1559" s="36"/>
      <c r="E1559" s="36"/>
      <c r="F1559" s="36"/>
      <c r="G1559" s="36"/>
      <c r="H1559" s="36"/>
      <c r="I1559" s="36"/>
      <c r="J1559" s="36">
        <f>YEAR(RESER3[[#This Row],[DATA]])</f>
        <v>1900</v>
      </c>
      <c r="K1559" s="36">
        <f t="shared" si="27"/>
        <v>1</v>
      </c>
      <c r="L1559" s="36">
        <f>DAY(RESER3[[#This Row],[DATA]])</f>
        <v>0</v>
      </c>
    </row>
    <row r="1560" spans="2:12" x14ac:dyDescent="0.25">
      <c r="B1560" s="129"/>
      <c r="C1560" s="128"/>
      <c r="D1560" s="36"/>
      <c r="E1560" s="36"/>
      <c r="F1560" s="36"/>
      <c r="G1560" s="36"/>
      <c r="H1560" s="36"/>
      <c r="I1560" s="36"/>
      <c r="J1560" s="36">
        <f>YEAR(RESER3[[#This Row],[DATA]])</f>
        <v>1900</v>
      </c>
      <c r="K1560" s="36">
        <f t="shared" si="27"/>
        <v>1</v>
      </c>
      <c r="L1560" s="36">
        <f>DAY(RESER3[[#This Row],[DATA]])</f>
        <v>0</v>
      </c>
    </row>
    <row r="1561" spans="2:12" x14ac:dyDescent="0.25">
      <c r="B1561" s="129"/>
      <c r="C1561" s="128"/>
      <c r="D1561" s="36"/>
      <c r="E1561" s="36"/>
      <c r="F1561" s="36"/>
      <c r="G1561" s="36"/>
      <c r="H1561" s="36"/>
      <c r="I1561" s="36"/>
      <c r="J1561" s="36">
        <f>YEAR(RESER3[[#This Row],[DATA]])</f>
        <v>1900</v>
      </c>
      <c r="K1561" s="36">
        <f t="shared" si="27"/>
        <v>1</v>
      </c>
      <c r="L1561" s="36">
        <f>DAY(RESER3[[#This Row],[DATA]])</f>
        <v>0</v>
      </c>
    </row>
    <row r="1562" spans="2:12" x14ac:dyDescent="0.25">
      <c r="B1562" s="129"/>
      <c r="C1562" s="128"/>
      <c r="D1562" s="36"/>
      <c r="E1562" s="36"/>
      <c r="F1562" s="36"/>
      <c r="G1562" s="36"/>
      <c r="H1562" s="36"/>
      <c r="I1562" s="36"/>
      <c r="J1562" s="36">
        <f>YEAR(RESER3[[#This Row],[DATA]])</f>
        <v>1900</v>
      </c>
      <c r="K1562" s="36">
        <f t="shared" si="27"/>
        <v>1</v>
      </c>
      <c r="L1562" s="36">
        <f>DAY(RESER3[[#This Row],[DATA]])</f>
        <v>0</v>
      </c>
    </row>
    <row r="1563" spans="2:12" x14ac:dyDescent="0.25">
      <c r="B1563" s="129"/>
      <c r="C1563" s="128"/>
      <c r="D1563" s="36"/>
      <c r="E1563" s="36"/>
      <c r="F1563" s="36"/>
      <c r="G1563" s="36"/>
      <c r="H1563" s="36"/>
      <c r="I1563" s="36"/>
      <c r="J1563" s="36">
        <f>YEAR(RESER3[[#This Row],[DATA]])</f>
        <v>1900</v>
      </c>
      <c r="K1563" s="36">
        <f t="shared" si="27"/>
        <v>1</v>
      </c>
      <c r="L1563" s="36">
        <f>DAY(RESER3[[#This Row],[DATA]])</f>
        <v>0</v>
      </c>
    </row>
    <row r="1564" spans="2:12" x14ac:dyDescent="0.25">
      <c r="B1564" s="129"/>
      <c r="C1564" s="128"/>
      <c r="D1564" s="36"/>
      <c r="E1564" s="36"/>
      <c r="F1564" s="36"/>
      <c r="G1564" s="36"/>
      <c r="H1564" s="36"/>
      <c r="I1564" s="36"/>
      <c r="J1564" s="36">
        <f>YEAR(RESER3[[#This Row],[DATA]])</f>
        <v>1900</v>
      </c>
      <c r="K1564" s="36">
        <f t="shared" si="27"/>
        <v>1</v>
      </c>
      <c r="L1564" s="36">
        <f>DAY(RESER3[[#This Row],[DATA]])</f>
        <v>0</v>
      </c>
    </row>
    <row r="1565" spans="2:12" x14ac:dyDescent="0.25">
      <c r="B1565" s="129"/>
      <c r="C1565" s="128"/>
      <c r="D1565" s="36"/>
      <c r="E1565" s="36"/>
      <c r="F1565" s="36"/>
      <c r="G1565" s="36"/>
      <c r="H1565" s="36"/>
      <c r="I1565" s="36"/>
      <c r="J1565" s="36">
        <f>YEAR(RESER3[[#This Row],[DATA]])</f>
        <v>1900</v>
      </c>
      <c r="K1565" s="36">
        <f t="shared" si="27"/>
        <v>1</v>
      </c>
      <c r="L1565" s="36">
        <f>DAY(RESER3[[#This Row],[DATA]])</f>
        <v>0</v>
      </c>
    </row>
    <row r="1566" spans="2:12" x14ac:dyDescent="0.25">
      <c r="B1566" s="129"/>
      <c r="C1566" s="28"/>
      <c r="D1566" s="36"/>
      <c r="E1566" s="36"/>
      <c r="F1566" s="36"/>
      <c r="G1566" s="36"/>
      <c r="H1566" s="36"/>
      <c r="I1566" s="36"/>
      <c r="J1566" s="36">
        <f>YEAR(RESER3[[#This Row],[DATA]])</f>
        <v>1900</v>
      </c>
      <c r="K1566" s="36">
        <f>MONTH(RESER3[[#This Row],[DATA]])</f>
        <v>1</v>
      </c>
      <c r="L1566" s="36">
        <f>DAY(RESER3[[#This Row],[DATA]])</f>
        <v>0</v>
      </c>
    </row>
    <row r="1567" spans="2:12" x14ac:dyDescent="0.25">
      <c r="B1567" s="129"/>
      <c r="C1567" s="28"/>
      <c r="D1567" s="36"/>
      <c r="E1567" s="36"/>
      <c r="F1567" s="36"/>
      <c r="G1567" s="36"/>
      <c r="H1567" s="36"/>
      <c r="I1567" s="36"/>
      <c r="J1567" s="36">
        <f>YEAR(RESER3[[#This Row],[DATA]])</f>
        <v>1900</v>
      </c>
      <c r="K1567" s="36">
        <f>MONTH(RESER3[[#This Row],[DATA]])</f>
        <v>1</v>
      </c>
      <c r="L1567" s="36">
        <f>DAY(RESER3[[#This Row],[DATA]])</f>
        <v>0</v>
      </c>
    </row>
    <row r="1568" spans="2:12" x14ac:dyDescent="0.25">
      <c r="B1568" s="129"/>
      <c r="C1568" s="28"/>
      <c r="D1568" s="36"/>
      <c r="E1568" s="36"/>
      <c r="F1568" s="36"/>
      <c r="G1568" s="36"/>
      <c r="H1568" s="36"/>
      <c r="I1568" s="36"/>
      <c r="J1568" s="36">
        <f>YEAR(RESER3[[#This Row],[DATA]])</f>
        <v>1900</v>
      </c>
      <c r="K1568" s="36">
        <f>MONTH(RESER3[[#This Row],[DATA]])</f>
        <v>1</v>
      </c>
      <c r="L1568" s="36">
        <f>DAY(RESER3[[#This Row],[DATA]])</f>
        <v>0</v>
      </c>
    </row>
    <row r="1569" spans="2:12" x14ac:dyDescent="0.25">
      <c r="B1569" s="129"/>
      <c r="C1569" s="28"/>
      <c r="D1569" s="36"/>
      <c r="E1569" s="36"/>
      <c r="F1569" s="36"/>
      <c r="G1569" s="36"/>
      <c r="H1569" s="36"/>
      <c r="I1569" s="36"/>
      <c r="J1569" s="36">
        <f>YEAR(RESER3[[#This Row],[DATA]])</f>
        <v>1900</v>
      </c>
      <c r="K1569" s="36">
        <f>MONTH(RESER3[[#This Row],[DATA]])</f>
        <v>1</v>
      </c>
      <c r="L1569" s="36">
        <f>DAY(RESER3[[#This Row],[DATA]])</f>
        <v>0</v>
      </c>
    </row>
    <row r="1570" spans="2:12" x14ac:dyDescent="0.25">
      <c r="B1570" s="129"/>
      <c r="C1570" s="28"/>
      <c r="D1570" s="36"/>
      <c r="E1570" s="36"/>
      <c r="F1570" s="36"/>
      <c r="G1570" s="36"/>
      <c r="H1570" s="36"/>
      <c r="I1570" s="36"/>
      <c r="J1570" s="36">
        <f>YEAR(RESER3[[#This Row],[DATA]])</f>
        <v>1900</v>
      </c>
      <c r="K1570" s="36">
        <f>MONTH(RESER3[[#This Row],[DATA]])</f>
        <v>1</v>
      </c>
      <c r="L1570" s="36">
        <f>DAY(RESER3[[#This Row],[DATA]])</f>
        <v>0</v>
      </c>
    </row>
    <row r="1571" spans="2:12" x14ac:dyDescent="0.25">
      <c r="B1571" s="129"/>
      <c r="C1571" s="28"/>
      <c r="D1571" s="36"/>
      <c r="E1571" s="36"/>
      <c r="F1571" s="36"/>
      <c r="G1571" s="36"/>
      <c r="H1571" s="36"/>
      <c r="I1571" s="36"/>
      <c r="J1571" s="36">
        <f>YEAR(RESER3[[#This Row],[DATA]])</f>
        <v>1900</v>
      </c>
      <c r="K1571" s="36">
        <f>MONTH(RESER3[[#This Row],[DATA]])</f>
        <v>1</v>
      </c>
      <c r="L1571" s="36">
        <f>DAY(RESER3[[#This Row],[DATA]])</f>
        <v>0</v>
      </c>
    </row>
    <row r="1572" spans="2:12" x14ac:dyDescent="0.25">
      <c r="B1572" s="129"/>
      <c r="C1572" s="28"/>
      <c r="D1572" s="36"/>
      <c r="E1572" s="36"/>
      <c r="F1572" s="36"/>
      <c r="G1572" s="36"/>
      <c r="H1572" s="36"/>
      <c r="I1572" s="36"/>
      <c r="J1572" s="36">
        <f>YEAR(RESER3[[#This Row],[DATA]])</f>
        <v>1900</v>
      </c>
      <c r="K1572" s="36">
        <f>MONTH(RESER3[[#This Row],[DATA]])</f>
        <v>1</v>
      </c>
      <c r="L1572" s="36">
        <f>DAY(RESER3[[#This Row],[DATA]])</f>
        <v>0</v>
      </c>
    </row>
    <row r="1573" spans="2:12" x14ac:dyDescent="0.25">
      <c r="B1573" s="129"/>
      <c r="C1573" s="28"/>
      <c r="D1573" s="36"/>
      <c r="E1573" s="36"/>
      <c r="F1573" s="36"/>
      <c r="G1573" s="36"/>
      <c r="H1573" s="36"/>
      <c r="I1573" s="36"/>
      <c r="J1573" s="36">
        <f>YEAR(RESER3[[#This Row],[DATA]])</f>
        <v>1900</v>
      </c>
      <c r="K1573" s="36">
        <f>MONTH(RESER3[[#This Row],[DATA]])</f>
        <v>1</v>
      </c>
      <c r="L1573" s="36">
        <f>DAY(RESER3[[#This Row],[DATA]])</f>
        <v>0</v>
      </c>
    </row>
    <row r="1574" spans="2:12" x14ac:dyDescent="0.25">
      <c r="B1574" s="129"/>
      <c r="C1574" s="28"/>
      <c r="D1574" s="36"/>
      <c r="E1574" s="36"/>
      <c r="F1574" s="36"/>
      <c r="G1574" s="36"/>
      <c r="H1574" s="36"/>
      <c r="I1574" s="36"/>
      <c r="J1574" s="36">
        <f>YEAR(RESER3[[#This Row],[DATA]])</f>
        <v>1900</v>
      </c>
      <c r="K1574" s="36">
        <f>MONTH(RESER3[[#This Row],[DATA]])</f>
        <v>1</v>
      </c>
      <c r="L1574" s="36">
        <f>DAY(RESER3[[#This Row],[DATA]])</f>
        <v>0</v>
      </c>
    </row>
    <row r="1575" spans="2:12" x14ac:dyDescent="0.25">
      <c r="B1575" s="129"/>
      <c r="C1575" s="28"/>
      <c r="D1575" s="36"/>
      <c r="E1575" s="36"/>
      <c r="F1575" s="36"/>
      <c r="G1575" s="36"/>
      <c r="H1575" s="36"/>
      <c r="I1575" s="36"/>
      <c r="J1575" s="36">
        <f>YEAR(RESER3[[#This Row],[DATA]])</f>
        <v>1900</v>
      </c>
      <c r="K1575" s="36">
        <f>MONTH(RESER3[[#This Row],[DATA]])</f>
        <v>1</v>
      </c>
      <c r="L1575" s="36">
        <f>DAY(RESER3[[#This Row],[DATA]])</f>
        <v>0</v>
      </c>
    </row>
    <row r="1576" spans="2:12" x14ac:dyDescent="0.25">
      <c r="B1576" s="129"/>
      <c r="C1576" s="28"/>
      <c r="D1576" s="36"/>
      <c r="E1576" s="36"/>
      <c r="F1576" s="36"/>
      <c r="G1576" s="36"/>
      <c r="H1576" s="36"/>
      <c r="I1576" s="36"/>
      <c r="J1576" s="36">
        <f>YEAR(RESER3[[#This Row],[DATA]])</f>
        <v>1900</v>
      </c>
      <c r="K1576" s="36">
        <f>MONTH(RESER3[[#This Row],[DATA]])</f>
        <v>1</v>
      </c>
      <c r="L1576" s="36">
        <f>DAY(RESER3[[#This Row],[DATA]])</f>
        <v>0</v>
      </c>
    </row>
    <row r="1577" spans="2:12" x14ac:dyDescent="0.25">
      <c r="B1577" s="129"/>
      <c r="C1577" s="28"/>
      <c r="D1577" s="36"/>
      <c r="E1577" s="36"/>
      <c r="F1577" s="36"/>
      <c r="G1577" s="36"/>
      <c r="H1577" s="36"/>
      <c r="I1577" s="36"/>
      <c r="J1577" s="36">
        <f>YEAR(RESER3[[#This Row],[DATA]])</f>
        <v>1900</v>
      </c>
      <c r="K1577" s="36">
        <f>MONTH(RESER3[[#This Row],[DATA]])</f>
        <v>1</v>
      </c>
      <c r="L1577" s="36">
        <f>DAY(RESER3[[#This Row],[DATA]])</f>
        <v>0</v>
      </c>
    </row>
    <row r="1578" spans="2:12" x14ac:dyDescent="0.25">
      <c r="B1578" s="129"/>
      <c r="C1578" s="28"/>
      <c r="D1578" s="36"/>
      <c r="E1578" s="36"/>
      <c r="F1578" s="36"/>
      <c r="G1578" s="36"/>
      <c r="H1578" s="36"/>
      <c r="I1578" s="36"/>
      <c r="J1578" s="36">
        <f>YEAR(RESER3[[#This Row],[DATA]])</f>
        <v>1900</v>
      </c>
      <c r="K1578" s="36">
        <f>MONTH(RESER3[[#This Row],[DATA]])</f>
        <v>1</v>
      </c>
      <c r="L1578" s="36">
        <f>DAY(RESER3[[#This Row],[DATA]])</f>
        <v>0</v>
      </c>
    </row>
    <row r="1579" spans="2:12" x14ac:dyDescent="0.25">
      <c r="B1579" s="129"/>
      <c r="C1579" s="28"/>
      <c r="D1579" s="36"/>
      <c r="E1579" s="36"/>
      <c r="F1579" s="36"/>
      <c r="G1579" s="36"/>
      <c r="H1579" s="36"/>
      <c r="I1579" s="36"/>
      <c r="J1579" s="36">
        <f>YEAR(RESER3[[#This Row],[DATA]])</f>
        <v>1900</v>
      </c>
      <c r="K1579" s="36">
        <f>MONTH(RESER3[[#This Row],[DATA]])</f>
        <v>1</v>
      </c>
      <c r="L1579" s="36">
        <f>DAY(RESER3[[#This Row],[DATA]])</f>
        <v>0</v>
      </c>
    </row>
    <row r="1580" spans="2:12" x14ac:dyDescent="0.25">
      <c r="B1580" s="129"/>
      <c r="C1580" s="28"/>
      <c r="D1580" s="36"/>
      <c r="E1580" s="36"/>
      <c r="F1580" s="36"/>
      <c r="G1580" s="36"/>
      <c r="H1580" s="36"/>
      <c r="I1580" s="36"/>
      <c r="J1580" s="36">
        <f>YEAR(RESER3[[#This Row],[DATA]])</f>
        <v>1900</v>
      </c>
      <c r="K1580" s="36">
        <f>MONTH(RESER3[[#This Row],[DATA]])</f>
        <v>1</v>
      </c>
      <c r="L1580" s="36">
        <f>DAY(RESER3[[#This Row],[DATA]])</f>
        <v>0</v>
      </c>
    </row>
    <row r="1581" spans="2:12" x14ac:dyDescent="0.25">
      <c r="B1581" s="129"/>
      <c r="C1581" s="28"/>
      <c r="D1581" s="36"/>
      <c r="E1581" s="36"/>
      <c r="F1581" s="36"/>
      <c r="G1581" s="36"/>
      <c r="H1581" s="36"/>
      <c r="I1581" s="36"/>
      <c r="J1581" s="36">
        <f>YEAR(RESER3[[#This Row],[DATA]])</f>
        <v>1900</v>
      </c>
      <c r="K1581" s="36">
        <f>MONTH(RESER3[[#This Row],[DATA]])</f>
        <v>1</v>
      </c>
      <c r="L1581" s="36">
        <f>DAY(RESER3[[#This Row],[DATA]])</f>
        <v>0</v>
      </c>
    </row>
    <row r="1582" spans="2:12" x14ac:dyDescent="0.25">
      <c r="B1582" s="129"/>
      <c r="C1582" s="28"/>
      <c r="D1582" s="36"/>
      <c r="E1582" s="36"/>
      <c r="F1582" s="36"/>
      <c r="G1582" s="36"/>
      <c r="H1582" s="36"/>
      <c r="I1582" s="36"/>
      <c r="J1582" s="36">
        <f>YEAR(RESER3[[#This Row],[DATA]])</f>
        <v>1900</v>
      </c>
      <c r="K1582" s="36">
        <f>MONTH(RESER3[[#This Row],[DATA]])</f>
        <v>1</v>
      </c>
      <c r="L1582" s="36">
        <f>DAY(RESER3[[#This Row],[DATA]])</f>
        <v>0</v>
      </c>
    </row>
    <row r="1583" spans="2:12" x14ac:dyDescent="0.25">
      <c r="B1583" s="129"/>
      <c r="C1583" s="28"/>
      <c r="D1583" s="36"/>
      <c r="E1583" s="36"/>
      <c r="F1583" s="36"/>
      <c r="G1583" s="36"/>
      <c r="H1583" s="36"/>
      <c r="I1583" s="36"/>
      <c r="J1583" s="36">
        <f>YEAR(RESER3[[#This Row],[DATA]])</f>
        <v>1900</v>
      </c>
      <c r="K1583" s="36">
        <f>MONTH(RESER3[[#This Row],[DATA]])</f>
        <v>1</v>
      </c>
      <c r="L1583" s="36">
        <f>DAY(RESER3[[#This Row],[DATA]])</f>
        <v>0</v>
      </c>
    </row>
    <row r="1584" spans="2:12" x14ac:dyDescent="0.25">
      <c r="B1584" s="129"/>
      <c r="C1584" s="28"/>
      <c r="D1584" s="36"/>
      <c r="E1584" s="36"/>
      <c r="F1584" s="36"/>
      <c r="G1584" s="36"/>
      <c r="H1584" s="36"/>
      <c r="I1584" s="36"/>
      <c r="J1584" s="36">
        <f>YEAR(RESER3[[#This Row],[DATA]])</f>
        <v>1900</v>
      </c>
      <c r="K1584" s="36">
        <f>MONTH(RESER3[[#This Row],[DATA]])</f>
        <v>1</v>
      </c>
      <c r="L1584" s="36">
        <f>DAY(RESER3[[#This Row],[DATA]])</f>
        <v>0</v>
      </c>
    </row>
    <row r="1585" spans="2:12" x14ac:dyDescent="0.25">
      <c r="B1585" s="129"/>
      <c r="C1585" s="28"/>
      <c r="D1585" s="36"/>
      <c r="E1585" s="36"/>
      <c r="F1585" s="36"/>
      <c r="G1585" s="36"/>
      <c r="H1585" s="36"/>
      <c r="I1585" s="36"/>
      <c r="J1585" s="36">
        <f>YEAR(RESER3[[#This Row],[DATA]])</f>
        <v>1900</v>
      </c>
      <c r="K1585" s="36">
        <f>MONTH(RESER3[[#This Row],[DATA]])</f>
        <v>1</v>
      </c>
      <c r="L1585" s="36">
        <f>DAY(RESER3[[#This Row],[DATA]])</f>
        <v>0</v>
      </c>
    </row>
    <row r="1586" spans="2:12" x14ac:dyDescent="0.25">
      <c r="B1586" s="129"/>
      <c r="C1586" s="28"/>
      <c r="D1586" s="36"/>
      <c r="E1586" s="36"/>
      <c r="F1586" s="36"/>
      <c r="G1586" s="36"/>
      <c r="H1586" s="36"/>
      <c r="I1586" s="36"/>
      <c r="J1586" s="36">
        <f>YEAR(RESER3[[#This Row],[DATA]])</f>
        <v>1900</v>
      </c>
      <c r="K1586" s="36">
        <f>MONTH(RESER3[[#This Row],[DATA]])</f>
        <v>1</v>
      </c>
      <c r="L1586" s="36">
        <f>DAY(RESER3[[#This Row],[DATA]])</f>
        <v>0</v>
      </c>
    </row>
    <row r="1587" spans="2:12" x14ac:dyDescent="0.25">
      <c r="B1587" s="129"/>
      <c r="C1587" s="28"/>
      <c r="D1587" s="36"/>
      <c r="E1587" s="36"/>
      <c r="F1587" s="36"/>
      <c r="G1587" s="36"/>
      <c r="H1587" s="36"/>
      <c r="I1587" s="36"/>
      <c r="J1587" s="36">
        <f>YEAR(RESER3[[#This Row],[DATA]])</f>
        <v>1900</v>
      </c>
      <c r="K1587" s="36">
        <f>MONTH(RESER3[[#This Row],[DATA]])</f>
        <v>1</v>
      </c>
      <c r="L1587" s="36">
        <f>DAY(RESER3[[#This Row],[DATA]])</f>
        <v>0</v>
      </c>
    </row>
    <row r="1588" spans="2:12" x14ac:dyDescent="0.25">
      <c r="B1588" s="129"/>
      <c r="C1588" s="28"/>
      <c r="D1588" s="36"/>
      <c r="E1588" s="36"/>
      <c r="F1588" s="36"/>
      <c r="G1588" s="36"/>
      <c r="H1588" s="36"/>
      <c r="I1588" s="36"/>
      <c r="J1588" s="36">
        <f>YEAR(RESER3[[#This Row],[DATA]])</f>
        <v>1900</v>
      </c>
      <c r="K1588" s="36">
        <f>MONTH(RESER3[[#This Row],[DATA]])</f>
        <v>1</v>
      </c>
      <c r="L1588" s="36">
        <f>DAY(RESER3[[#This Row],[DATA]])</f>
        <v>0</v>
      </c>
    </row>
    <row r="1589" spans="2:12" x14ac:dyDescent="0.25">
      <c r="B1589" s="129"/>
      <c r="C1589" s="28"/>
      <c r="D1589" s="36"/>
      <c r="E1589" s="36"/>
      <c r="F1589" s="36"/>
      <c r="G1589" s="36"/>
      <c r="H1589" s="36"/>
      <c r="I1589" s="36"/>
      <c r="J1589" s="36">
        <f>YEAR(RESER3[[#This Row],[DATA]])</f>
        <v>1900</v>
      </c>
      <c r="K1589" s="36">
        <f>MONTH(RESER3[[#This Row],[DATA]])</f>
        <v>1</v>
      </c>
      <c r="L1589" s="36">
        <f>DAY(RESER3[[#This Row],[DATA]])</f>
        <v>0</v>
      </c>
    </row>
    <row r="1590" spans="2:12" x14ac:dyDescent="0.25">
      <c r="B1590" s="129"/>
      <c r="C1590" s="28"/>
      <c r="D1590" s="36"/>
      <c r="E1590" s="36"/>
      <c r="F1590" s="36"/>
      <c r="G1590" s="36"/>
      <c r="H1590" s="36"/>
      <c r="I1590" s="36"/>
      <c r="J1590" s="36">
        <f>YEAR(RESER3[[#This Row],[DATA]])</f>
        <v>1900</v>
      </c>
      <c r="K1590" s="36">
        <f>MONTH(RESER3[[#This Row],[DATA]])</f>
        <v>1</v>
      </c>
      <c r="L1590" s="36">
        <f>DAY(RESER3[[#This Row],[DATA]])</f>
        <v>0</v>
      </c>
    </row>
    <row r="1591" spans="2:12" x14ac:dyDescent="0.25">
      <c r="B1591" s="129"/>
      <c r="C1591" s="28"/>
      <c r="D1591" s="36"/>
      <c r="E1591" s="36"/>
      <c r="F1591" s="36"/>
      <c r="G1591" s="36"/>
      <c r="H1591" s="36"/>
      <c r="I1591" s="36"/>
      <c r="J1591" s="36">
        <f>YEAR(RESER3[[#This Row],[DATA]])</f>
        <v>1900</v>
      </c>
      <c r="K1591" s="36">
        <f>MONTH(RESER3[[#This Row],[DATA]])</f>
        <v>1</v>
      </c>
      <c r="L1591" s="36">
        <f>DAY(RESER3[[#This Row],[DATA]])</f>
        <v>0</v>
      </c>
    </row>
    <row r="1592" spans="2:12" x14ac:dyDescent="0.25">
      <c r="B1592" s="129"/>
      <c r="C1592" s="28"/>
      <c r="D1592" s="36"/>
      <c r="E1592" s="36"/>
      <c r="F1592" s="36"/>
      <c r="G1592" s="36"/>
      <c r="H1592" s="36"/>
      <c r="I1592" s="36"/>
      <c r="J1592" s="36">
        <f>YEAR(RESER3[[#This Row],[DATA]])</f>
        <v>1900</v>
      </c>
      <c r="K1592" s="36">
        <f>MONTH(RESER3[[#This Row],[DATA]])</f>
        <v>1</v>
      </c>
      <c r="L1592" s="36">
        <f>DAY(RESER3[[#This Row],[DATA]])</f>
        <v>0</v>
      </c>
    </row>
    <row r="1593" spans="2:12" x14ac:dyDescent="0.25">
      <c r="B1593" s="129"/>
      <c r="C1593" s="28"/>
      <c r="D1593" s="36"/>
      <c r="E1593" s="36"/>
      <c r="F1593" s="36"/>
      <c r="G1593" s="36"/>
      <c r="H1593" s="36"/>
      <c r="I1593" s="36"/>
      <c r="J1593" s="36">
        <f>YEAR(RESER3[[#This Row],[DATA]])</f>
        <v>1900</v>
      </c>
      <c r="K1593" s="36">
        <f>MONTH(RESER3[[#This Row],[DATA]])</f>
        <v>1</v>
      </c>
      <c r="L1593" s="36">
        <f>DAY(RESER3[[#This Row],[DATA]])</f>
        <v>0</v>
      </c>
    </row>
    <row r="1594" spans="2:12" x14ac:dyDescent="0.25">
      <c r="B1594" s="129"/>
      <c r="C1594" s="28"/>
      <c r="D1594" s="36"/>
      <c r="E1594" s="36"/>
      <c r="F1594" s="36"/>
      <c r="G1594" s="36"/>
      <c r="H1594" s="36"/>
      <c r="I1594" s="36"/>
      <c r="J1594" s="36">
        <f>YEAR(RESER3[[#This Row],[DATA]])</f>
        <v>1900</v>
      </c>
      <c r="K1594" s="36">
        <f>MONTH(RESER3[[#This Row],[DATA]])</f>
        <v>1</v>
      </c>
      <c r="L1594" s="36">
        <f>DAY(RESER3[[#This Row],[DATA]])</f>
        <v>0</v>
      </c>
    </row>
    <row r="1595" spans="2:12" x14ac:dyDescent="0.25">
      <c r="B1595" s="129"/>
      <c r="C1595" s="28"/>
      <c r="D1595" s="36"/>
      <c r="E1595" s="36"/>
      <c r="F1595" s="36"/>
      <c r="G1595" s="36"/>
      <c r="H1595" s="36"/>
      <c r="I1595" s="36"/>
      <c r="J1595" s="36">
        <f>YEAR(RESER3[[#This Row],[DATA]])</f>
        <v>1900</v>
      </c>
      <c r="K1595" s="36">
        <f>MONTH(RESER3[[#This Row],[DATA]])</f>
        <v>1</v>
      </c>
      <c r="L1595" s="36">
        <f>DAY(RESER3[[#This Row],[DATA]])</f>
        <v>0</v>
      </c>
    </row>
    <row r="1596" spans="2:12" x14ac:dyDescent="0.25">
      <c r="B1596" s="129"/>
      <c r="C1596" s="28"/>
      <c r="D1596" s="36"/>
      <c r="E1596" s="36"/>
      <c r="F1596" s="36"/>
      <c r="G1596" s="36"/>
      <c r="H1596" s="36"/>
      <c r="I1596" s="36"/>
      <c r="J1596" s="36">
        <f>YEAR(RESER3[[#This Row],[DATA]])</f>
        <v>1900</v>
      </c>
      <c r="K1596" s="36">
        <f>MONTH(RESER3[[#This Row],[DATA]])</f>
        <v>1</v>
      </c>
      <c r="L1596" s="36">
        <f>DAY(RESER3[[#This Row],[DATA]])</f>
        <v>0</v>
      </c>
    </row>
    <row r="1597" spans="2:12" x14ac:dyDescent="0.25">
      <c r="B1597" s="129"/>
      <c r="C1597" s="28"/>
      <c r="D1597" s="36"/>
      <c r="E1597" s="36"/>
      <c r="F1597" s="36"/>
      <c r="G1597" s="36"/>
      <c r="H1597" s="36"/>
      <c r="I1597" s="36"/>
      <c r="J1597" s="36">
        <f>YEAR(RESER3[[#This Row],[DATA]])</f>
        <v>1900</v>
      </c>
      <c r="K1597" s="36">
        <f>MONTH(RESER3[[#This Row],[DATA]])</f>
        <v>1</v>
      </c>
      <c r="L1597" s="36">
        <f>DAY(RESER3[[#This Row],[DATA]])</f>
        <v>0</v>
      </c>
    </row>
    <row r="1598" spans="2:12" x14ac:dyDescent="0.25">
      <c r="B1598" s="129"/>
      <c r="C1598" s="28"/>
      <c r="D1598" s="36"/>
      <c r="E1598" s="36"/>
      <c r="F1598" s="36"/>
      <c r="G1598" s="36"/>
      <c r="H1598" s="36"/>
      <c r="I1598" s="36"/>
      <c r="J1598" s="36">
        <f>YEAR(RESER3[[#This Row],[DATA]])</f>
        <v>1900</v>
      </c>
      <c r="K1598" s="36">
        <f>MONTH(RESER3[[#This Row],[DATA]])</f>
        <v>1</v>
      </c>
      <c r="L1598" s="36">
        <f>DAY(RESER3[[#This Row],[DATA]])</f>
        <v>0</v>
      </c>
    </row>
    <row r="1599" spans="2:12" x14ac:dyDescent="0.25">
      <c r="B1599" s="129"/>
      <c r="C1599" s="28"/>
      <c r="D1599" s="36"/>
      <c r="E1599" s="36"/>
      <c r="F1599" s="36"/>
      <c r="G1599" s="36"/>
      <c r="H1599" s="36"/>
      <c r="I1599" s="36"/>
      <c r="J1599" s="36">
        <f>YEAR(RESER3[[#This Row],[DATA]])</f>
        <v>1900</v>
      </c>
      <c r="K1599" s="36">
        <f>MONTH(RESER3[[#This Row],[DATA]])</f>
        <v>1</v>
      </c>
      <c r="L1599" s="36">
        <f>DAY(RESER3[[#This Row],[DATA]])</f>
        <v>0</v>
      </c>
    </row>
    <row r="1600" spans="2:12" x14ac:dyDescent="0.25">
      <c r="B1600" s="129"/>
      <c r="C1600" s="28"/>
      <c r="D1600" s="36"/>
      <c r="E1600" s="36"/>
      <c r="F1600" s="36"/>
      <c r="G1600" s="36"/>
      <c r="H1600" s="36"/>
      <c r="I1600" s="36"/>
      <c r="J1600" s="36">
        <f>YEAR(RESER3[[#This Row],[DATA]])</f>
        <v>1900</v>
      </c>
      <c r="K1600" s="36">
        <f>MONTH(RESER3[[#This Row],[DATA]])</f>
        <v>1</v>
      </c>
      <c r="L1600" s="36">
        <f>DAY(RESER3[[#This Row],[DATA]])</f>
        <v>0</v>
      </c>
    </row>
    <row r="1601" spans="2:12" x14ac:dyDescent="0.25">
      <c r="B1601" s="129"/>
      <c r="C1601" s="28"/>
      <c r="D1601" s="36"/>
      <c r="E1601" s="36"/>
      <c r="F1601" s="36"/>
      <c r="G1601" s="36"/>
      <c r="H1601" s="36"/>
      <c r="I1601" s="36"/>
      <c r="J1601" s="36">
        <f>YEAR(RESER3[[#This Row],[DATA]])</f>
        <v>1900</v>
      </c>
      <c r="K1601" s="36">
        <f>MONTH(RESER3[[#This Row],[DATA]])</f>
        <v>1</v>
      </c>
      <c r="L1601" s="36">
        <f>DAY(RESER3[[#This Row],[DATA]])</f>
        <v>0</v>
      </c>
    </row>
    <row r="1602" spans="2:12" x14ac:dyDescent="0.25">
      <c r="B1602" s="129"/>
      <c r="C1602" s="28"/>
      <c r="D1602" s="36"/>
      <c r="E1602" s="36"/>
      <c r="F1602" s="36"/>
      <c r="G1602" s="36"/>
      <c r="H1602" s="36"/>
      <c r="I1602" s="36"/>
      <c r="J1602" s="36">
        <f>YEAR(RESER3[[#This Row],[DATA]])</f>
        <v>1900</v>
      </c>
      <c r="K1602" s="36">
        <f>MONTH(RESER3[[#This Row],[DATA]])</f>
        <v>1</v>
      </c>
      <c r="L1602" s="36">
        <f>DAY(RESER3[[#This Row],[DATA]])</f>
        <v>0</v>
      </c>
    </row>
    <row r="1603" spans="2:12" x14ac:dyDescent="0.25">
      <c r="B1603" s="129"/>
      <c r="C1603" s="28"/>
      <c r="D1603" s="36"/>
      <c r="E1603" s="36"/>
      <c r="F1603" s="36"/>
      <c r="G1603" s="36"/>
      <c r="H1603" s="36"/>
      <c r="I1603" s="36"/>
      <c r="J1603" s="36">
        <f>YEAR(RESER3[[#This Row],[DATA]])</f>
        <v>1900</v>
      </c>
      <c r="K1603" s="36">
        <f>MONTH(RESER3[[#This Row],[DATA]])</f>
        <v>1</v>
      </c>
      <c r="L1603" s="36">
        <f>DAY(RESER3[[#This Row],[DATA]])</f>
        <v>0</v>
      </c>
    </row>
    <row r="1604" spans="2:12" x14ac:dyDescent="0.25">
      <c r="B1604" s="129"/>
      <c r="C1604" s="28"/>
      <c r="D1604" s="36"/>
      <c r="E1604" s="36"/>
      <c r="F1604" s="36"/>
      <c r="G1604" s="36"/>
      <c r="H1604" s="36"/>
      <c r="I1604" s="36"/>
      <c r="J1604" s="36">
        <f>YEAR(RESER3[[#This Row],[DATA]])</f>
        <v>1900</v>
      </c>
      <c r="K1604" s="36">
        <f>MONTH(RESER3[[#This Row],[DATA]])</f>
        <v>1</v>
      </c>
      <c r="L1604" s="36">
        <f>DAY(RESER3[[#This Row],[DATA]])</f>
        <v>0</v>
      </c>
    </row>
    <row r="1605" spans="2:12" x14ac:dyDescent="0.25">
      <c r="B1605" s="129"/>
      <c r="C1605" s="28"/>
      <c r="D1605" s="36"/>
      <c r="E1605" s="36"/>
      <c r="F1605" s="36"/>
      <c r="G1605" s="36"/>
      <c r="H1605" s="36"/>
      <c r="I1605" s="36"/>
      <c r="J1605" s="36">
        <f>YEAR(RESER3[[#This Row],[DATA]])</f>
        <v>1900</v>
      </c>
      <c r="K1605" s="36">
        <f>MONTH(RESER3[[#This Row],[DATA]])</f>
        <v>1</v>
      </c>
      <c r="L1605" s="36">
        <f>DAY(RESER3[[#This Row],[DATA]])</f>
        <v>0</v>
      </c>
    </row>
    <row r="1606" spans="2:12" x14ac:dyDescent="0.25">
      <c r="B1606" s="129"/>
      <c r="C1606" s="28"/>
      <c r="D1606" s="36"/>
      <c r="E1606" s="36"/>
      <c r="F1606" s="36"/>
      <c r="G1606" s="36"/>
      <c r="H1606" s="36"/>
      <c r="I1606" s="36"/>
      <c r="J1606" s="36">
        <f>YEAR(RESER3[[#This Row],[DATA]])</f>
        <v>1900</v>
      </c>
      <c r="K1606" s="36">
        <f>MONTH(RESER3[[#This Row],[DATA]])</f>
        <v>1</v>
      </c>
      <c r="L1606" s="36">
        <f>DAY(RESER3[[#This Row],[DATA]])</f>
        <v>0</v>
      </c>
    </row>
    <row r="1607" spans="2:12" x14ac:dyDescent="0.25">
      <c r="B1607" s="129"/>
      <c r="C1607" s="28"/>
      <c r="D1607" s="36"/>
      <c r="E1607" s="36"/>
      <c r="F1607" s="36"/>
      <c r="G1607" s="36"/>
      <c r="H1607" s="36"/>
      <c r="I1607" s="36"/>
      <c r="J1607" s="36">
        <f>YEAR(RESER3[[#This Row],[DATA]])</f>
        <v>1900</v>
      </c>
      <c r="K1607" s="36">
        <f>MONTH(RESER3[[#This Row],[DATA]])</f>
        <v>1</v>
      </c>
      <c r="L1607" s="36">
        <f>DAY(RESER3[[#This Row],[DATA]])</f>
        <v>0</v>
      </c>
    </row>
    <row r="1608" spans="2:12" x14ac:dyDescent="0.25">
      <c r="B1608" s="129"/>
      <c r="C1608" s="28"/>
      <c r="D1608" s="36"/>
      <c r="E1608" s="36"/>
      <c r="F1608" s="36"/>
      <c r="G1608" s="36"/>
      <c r="H1608" s="36"/>
      <c r="I1608" s="36"/>
      <c r="J1608" s="36">
        <f>YEAR(RESER3[[#This Row],[DATA]])</f>
        <v>1900</v>
      </c>
      <c r="K1608" s="36">
        <f>MONTH(RESER3[[#This Row],[DATA]])</f>
        <v>1</v>
      </c>
      <c r="L1608" s="36">
        <f>DAY(RESER3[[#This Row],[DATA]])</f>
        <v>0</v>
      </c>
    </row>
    <row r="1609" spans="2:12" x14ac:dyDescent="0.25">
      <c r="B1609" s="129"/>
      <c r="C1609" s="28"/>
      <c r="D1609" s="36"/>
      <c r="E1609" s="36"/>
      <c r="F1609" s="36"/>
      <c r="G1609" s="36"/>
      <c r="H1609" s="36"/>
      <c r="I1609" s="36"/>
      <c r="J1609" s="36">
        <f>YEAR(RESER3[[#This Row],[DATA]])</f>
        <v>1900</v>
      </c>
      <c r="K1609" s="36">
        <f>MONTH(RESER3[[#This Row],[DATA]])</f>
        <v>1</v>
      </c>
      <c r="L1609" s="36">
        <f>DAY(RESER3[[#This Row],[DATA]])</f>
        <v>0</v>
      </c>
    </row>
    <row r="1610" spans="2:12" x14ac:dyDescent="0.25">
      <c r="B1610" s="129"/>
      <c r="C1610" s="28"/>
      <c r="D1610" s="36"/>
      <c r="E1610" s="36"/>
      <c r="F1610" s="36"/>
      <c r="G1610" s="36"/>
      <c r="H1610" s="36"/>
      <c r="I1610" s="36"/>
      <c r="J1610" s="36">
        <f>YEAR(RESER3[[#This Row],[DATA]])</f>
        <v>1900</v>
      </c>
      <c r="K1610" s="36">
        <f>MONTH(RESER3[[#This Row],[DATA]])</f>
        <v>1</v>
      </c>
      <c r="L1610" s="36">
        <f>DAY(RESER3[[#This Row],[DATA]])</f>
        <v>0</v>
      </c>
    </row>
    <row r="1611" spans="2:12" x14ac:dyDescent="0.25">
      <c r="B1611" s="129"/>
      <c r="C1611" s="28"/>
      <c r="D1611" s="36"/>
      <c r="E1611" s="36"/>
      <c r="F1611" s="36"/>
      <c r="G1611" s="36"/>
      <c r="H1611" s="36"/>
      <c r="I1611" s="36"/>
      <c r="J1611" s="36">
        <f>YEAR(RESER3[[#This Row],[DATA]])</f>
        <v>1900</v>
      </c>
      <c r="K1611" s="36">
        <f>MONTH(RESER3[[#This Row],[DATA]])</f>
        <v>1</v>
      </c>
      <c r="L1611" s="36">
        <f>DAY(RESER3[[#This Row],[DATA]])</f>
        <v>0</v>
      </c>
    </row>
    <row r="1612" spans="2:12" x14ac:dyDescent="0.25">
      <c r="B1612" s="129"/>
      <c r="C1612" s="28"/>
      <c r="D1612" s="36"/>
      <c r="E1612" s="36"/>
      <c r="F1612" s="36"/>
      <c r="G1612" s="36"/>
      <c r="H1612" s="36"/>
      <c r="I1612" s="36"/>
      <c r="J1612" s="36">
        <f>YEAR(RESER3[[#This Row],[DATA]])</f>
        <v>1900</v>
      </c>
      <c r="K1612" s="36">
        <f>MONTH(RESER3[[#This Row],[DATA]])</f>
        <v>1</v>
      </c>
      <c r="L1612" s="36">
        <f>DAY(RESER3[[#This Row],[DATA]])</f>
        <v>0</v>
      </c>
    </row>
    <row r="1613" spans="2:12" x14ac:dyDescent="0.25">
      <c r="B1613" s="129"/>
      <c r="C1613" s="28"/>
      <c r="D1613" s="36"/>
      <c r="E1613" s="36"/>
      <c r="F1613" s="36"/>
      <c r="G1613" s="36"/>
      <c r="H1613" s="36"/>
      <c r="I1613" s="36"/>
      <c r="J1613" s="36">
        <f>YEAR(RESER3[[#This Row],[DATA]])</f>
        <v>1900</v>
      </c>
      <c r="K1613" s="36">
        <f>MONTH(RESER3[[#This Row],[DATA]])</f>
        <v>1</v>
      </c>
      <c r="L1613" s="36">
        <f>DAY(RESER3[[#This Row],[DATA]])</f>
        <v>0</v>
      </c>
    </row>
    <row r="1614" spans="2:12" x14ac:dyDescent="0.25">
      <c r="B1614" s="129"/>
      <c r="C1614" s="28"/>
      <c r="D1614" s="36"/>
      <c r="E1614" s="36"/>
      <c r="F1614" s="36"/>
      <c r="G1614" s="36"/>
      <c r="H1614" s="36"/>
      <c r="I1614" s="36"/>
      <c r="J1614" s="36">
        <f>YEAR(RESER3[[#This Row],[DATA]])</f>
        <v>1900</v>
      </c>
      <c r="K1614" s="36">
        <f>MONTH(RESER3[[#This Row],[DATA]])</f>
        <v>1</v>
      </c>
      <c r="L1614" s="36">
        <f>DAY(RESER3[[#This Row],[DATA]])</f>
        <v>0</v>
      </c>
    </row>
    <row r="1615" spans="2:12" x14ac:dyDescent="0.25">
      <c r="B1615" s="129"/>
      <c r="C1615" s="28"/>
      <c r="D1615" s="36"/>
      <c r="E1615" s="36"/>
      <c r="F1615" s="36"/>
      <c r="G1615" s="36"/>
      <c r="H1615" s="36"/>
      <c r="I1615" s="36"/>
      <c r="J1615" s="36">
        <f>YEAR(RESER3[[#This Row],[DATA]])</f>
        <v>1900</v>
      </c>
      <c r="K1615" s="36">
        <f>MONTH(RESER3[[#This Row],[DATA]])</f>
        <v>1</v>
      </c>
      <c r="L1615" s="36">
        <f>DAY(RESER3[[#This Row],[DATA]])</f>
        <v>0</v>
      </c>
    </row>
    <row r="1616" spans="2:12" x14ac:dyDescent="0.25">
      <c r="B1616" s="129"/>
      <c r="C1616" s="28"/>
      <c r="D1616" s="36"/>
      <c r="E1616" s="36"/>
      <c r="F1616" s="36"/>
      <c r="G1616" s="36"/>
      <c r="H1616" s="36"/>
      <c r="I1616" s="36"/>
      <c r="J1616" s="36">
        <f>YEAR(RESER3[[#This Row],[DATA]])</f>
        <v>1900</v>
      </c>
      <c r="K1616" s="36">
        <f>MONTH(RESER3[[#This Row],[DATA]])</f>
        <v>1</v>
      </c>
      <c r="L1616" s="36">
        <f>DAY(RESER3[[#This Row],[DATA]])</f>
        <v>0</v>
      </c>
    </row>
    <row r="1617" spans="2:12" x14ac:dyDescent="0.25">
      <c r="B1617" s="129"/>
      <c r="C1617" s="28"/>
      <c r="D1617" s="36"/>
      <c r="E1617" s="36"/>
      <c r="F1617" s="36"/>
      <c r="G1617" s="36"/>
      <c r="H1617" s="36"/>
      <c r="I1617" s="36"/>
      <c r="J1617" s="36">
        <f>YEAR(RESER3[[#This Row],[DATA]])</f>
        <v>1900</v>
      </c>
      <c r="K1617" s="36">
        <f>MONTH(RESER3[[#This Row],[DATA]])</f>
        <v>1</v>
      </c>
      <c r="L1617" s="36">
        <f>DAY(RESER3[[#This Row],[DATA]])</f>
        <v>0</v>
      </c>
    </row>
    <row r="1618" spans="2:12" x14ac:dyDescent="0.25">
      <c r="B1618" s="129"/>
      <c r="C1618" s="28"/>
      <c r="D1618" s="36"/>
      <c r="E1618" s="36"/>
      <c r="F1618" s="36"/>
      <c r="G1618" s="36"/>
      <c r="H1618" s="36"/>
      <c r="I1618" s="36"/>
      <c r="J1618" s="36">
        <f>YEAR(RESER3[[#This Row],[DATA]])</f>
        <v>1900</v>
      </c>
      <c r="K1618" s="36">
        <f>MONTH(RESER3[[#This Row],[DATA]])</f>
        <v>1</v>
      </c>
      <c r="L1618" s="36">
        <f>DAY(RESER3[[#This Row],[DATA]])</f>
        <v>0</v>
      </c>
    </row>
    <row r="1619" spans="2:12" x14ac:dyDescent="0.25">
      <c r="B1619" s="129"/>
      <c r="C1619" s="28"/>
      <c r="D1619" s="36"/>
      <c r="E1619" s="36"/>
      <c r="F1619" s="36"/>
      <c r="G1619" s="36"/>
      <c r="H1619" s="36"/>
      <c r="I1619" s="36"/>
      <c r="J1619" s="36">
        <f>YEAR(RESER3[[#This Row],[DATA]])</f>
        <v>1900</v>
      </c>
      <c r="K1619" s="36">
        <f>MONTH(RESER3[[#This Row],[DATA]])</f>
        <v>1</v>
      </c>
      <c r="L1619" s="36">
        <f>DAY(RESER3[[#This Row],[DATA]])</f>
        <v>0</v>
      </c>
    </row>
    <row r="1620" spans="2:12" x14ac:dyDescent="0.25">
      <c r="B1620" s="129"/>
      <c r="C1620" s="28"/>
      <c r="D1620" s="36"/>
      <c r="E1620" s="36"/>
      <c r="F1620" s="36"/>
      <c r="G1620" s="36"/>
      <c r="H1620" s="36"/>
      <c r="I1620" s="36"/>
      <c r="J1620" s="36">
        <f>YEAR(RESER3[[#This Row],[DATA]])</f>
        <v>1900</v>
      </c>
      <c r="K1620" s="36">
        <f>MONTH(RESER3[[#This Row],[DATA]])</f>
        <v>1</v>
      </c>
      <c r="L1620" s="36">
        <f>DAY(RESER3[[#This Row],[DATA]])</f>
        <v>0</v>
      </c>
    </row>
    <row r="1621" spans="2:12" x14ac:dyDescent="0.25">
      <c r="B1621" s="129"/>
      <c r="C1621" s="28"/>
      <c r="D1621" s="36"/>
      <c r="E1621" s="36"/>
      <c r="F1621" s="36"/>
      <c r="G1621" s="36"/>
      <c r="H1621" s="36"/>
      <c r="I1621" s="36"/>
      <c r="J1621" s="36">
        <f>YEAR(RESER3[[#This Row],[DATA]])</f>
        <v>1900</v>
      </c>
      <c r="K1621" s="36">
        <f>MONTH(RESER3[[#This Row],[DATA]])</f>
        <v>1</v>
      </c>
      <c r="L1621" s="36">
        <f>DAY(RESER3[[#This Row],[DATA]])</f>
        <v>0</v>
      </c>
    </row>
    <row r="1622" spans="2:12" x14ac:dyDescent="0.25">
      <c r="B1622" s="129"/>
      <c r="C1622" s="28"/>
      <c r="D1622" s="36"/>
      <c r="E1622" s="36"/>
      <c r="F1622" s="36"/>
      <c r="G1622" s="36"/>
      <c r="H1622" s="36"/>
      <c r="I1622" s="36"/>
      <c r="J1622" s="36">
        <f>YEAR(RESER3[[#This Row],[DATA]])</f>
        <v>1900</v>
      </c>
      <c r="K1622" s="36">
        <f>MONTH(RESER3[[#This Row],[DATA]])</f>
        <v>1</v>
      </c>
      <c r="L1622" s="36">
        <f>DAY(RESER3[[#This Row],[DATA]])</f>
        <v>0</v>
      </c>
    </row>
    <row r="1623" spans="2:12" x14ac:dyDescent="0.25">
      <c r="B1623" s="129"/>
      <c r="C1623" s="28"/>
      <c r="D1623" s="36"/>
      <c r="E1623" s="36"/>
      <c r="F1623" s="36"/>
      <c r="G1623" s="36"/>
      <c r="H1623" s="36"/>
      <c r="I1623" s="36"/>
      <c r="J1623" s="36">
        <f>YEAR(RESER3[[#This Row],[DATA]])</f>
        <v>1900</v>
      </c>
      <c r="K1623" s="36">
        <f>MONTH(RESER3[[#This Row],[DATA]])</f>
        <v>1</v>
      </c>
      <c r="L1623" s="36">
        <f>DAY(RESER3[[#This Row],[DATA]])</f>
        <v>0</v>
      </c>
    </row>
    <row r="1624" spans="2:12" x14ac:dyDescent="0.25">
      <c r="B1624" s="129"/>
      <c r="C1624" s="28"/>
      <c r="D1624" s="36"/>
      <c r="E1624" s="36"/>
      <c r="F1624" s="36"/>
      <c r="G1624" s="36"/>
      <c r="H1624" s="36"/>
      <c r="I1624" s="36"/>
      <c r="J1624" s="36">
        <f>YEAR(RESER3[[#This Row],[DATA]])</f>
        <v>1900</v>
      </c>
      <c r="K1624" s="36">
        <f>MONTH(RESER3[[#This Row],[DATA]])</f>
        <v>1</v>
      </c>
      <c r="L1624" s="36">
        <f>DAY(RESER3[[#This Row],[DATA]])</f>
        <v>0</v>
      </c>
    </row>
    <row r="1625" spans="2:12" x14ac:dyDescent="0.25">
      <c r="B1625" s="129"/>
      <c r="C1625" s="28"/>
      <c r="D1625" s="36"/>
      <c r="E1625" s="36"/>
      <c r="F1625" s="36"/>
      <c r="G1625" s="36"/>
      <c r="H1625" s="36"/>
      <c r="I1625" s="36"/>
      <c r="J1625" s="36">
        <f>YEAR(RESER3[[#This Row],[DATA]])</f>
        <v>1900</v>
      </c>
      <c r="K1625" s="36">
        <f>MONTH(RESER3[[#This Row],[DATA]])</f>
        <v>1</v>
      </c>
      <c r="L1625" s="36">
        <f>DAY(RESER3[[#This Row],[DATA]])</f>
        <v>0</v>
      </c>
    </row>
    <row r="1626" spans="2:12" x14ac:dyDescent="0.25">
      <c r="B1626" s="129"/>
      <c r="C1626" s="28"/>
      <c r="D1626" s="36"/>
      <c r="E1626" s="36"/>
      <c r="F1626" s="36"/>
      <c r="G1626" s="36"/>
      <c r="H1626" s="36"/>
      <c r="I1626" s="36"/>
      <c r="J1626" s="36">
        <f>YEAR(RESER3[[#This Row],[DATA]])</f>
        <v>1900</v>
      </c>
      <c r="K1626" s="36">
        <f>MONTH(RESER3[[#This Row],[DATA]])</f>
        <v>1</v>
      </c>
      <c r="L1626" s="36">
        <f>DAY(RESER3[[#This Row],[DATA]])</f>
        <v>0</v>
      </c>
    </row>
    <row r="1627" spans="2:12" x14ac:dyDescent="0.25">
      <c r="B1627" s="129"/>
      <c r="C1627" s="28"/>
      <c r="D1627" s="36"/>
      <c r="E1627" s="36"/>
      <c r="F1627" s="36"/>
      <c r="G1627" s="36"/>
      <c r="H1627" s="36"/>
      <c r="I1627" s="36"/>
      <c r="J1627" s="36">
        <f>YEAR(RESER3[[#This Row],[DATA]])</f>
        <v>1900</v>
      </c>
      <c r="K1627" s="36">
        <f>MONTH(RESER3[[#This Row],[DATA]])</f>
        <v>1</v>
      </c>
      <c r="L1627" s="36">
        <f>DAY(RESER3[[#This Row],[DATA]])</f>
        <v>0</v>
      </c>
    </row>
    <row r="1628" spans="2:12" x14ac:dyDescent="0.25">
      <c r="B1628" s="129"/>
      <c r="C1628" s="28"/>
      <c r="D1628" s="36"/>
      <c r="E1628" s="36"/>
      <c r="F1628" s="36"/>
      <c r="G1628" s="36"/>
      <c r="H1628" s="36"/>
      <c r="I1628" s="36"/>
      <c r="J1628" s="36">
        <f>YEAR(RESER3[[#This Row],[DATA]])</f>
        <v>1900</v>
      </c>
      <c r="K1628" s="36">
        <f>MONTH(RESER3[[#This Row],[DATA]])</f>
        <v>1</v>
      </c>
      <c r="L1628" s="36">
        <f>DAY(RESER3[[#This Row],[DATA]])</f>
        <v>0</v>
      </c>
    </row>
    <row r="1629" spans="2:12" x14ac:dyDescent="0.25">
      <c r="B1629" s="129"/>
      <c r="C1629" s="28"/>
      <c r="D1629" s="36"/>
      <c r="E1629" s="36"/>
      <c r="F1629" s="36"/>
      <c r="G1629" s="36"/>
      <c r="H1629" s="36"/>
      <c r="I1629" s="36"/>
      <c r="J1629" s="36">
        <f>YEAR(RESER3[[#This Row],[DATA]])</f>
        <v>1900</v>
      </c>
      <c r="K1629" s="36">
        <f>MONTH(RESER3[[#This Row],[DATA]])</f>
        <v>1</v>
      </c>
      <c r="L1629" s="36">
        <f>DAY(RESER3[[#This Row],[DATA]])</f>
        <v>0</v>
      </c>
    </row>
    <row r="1630" spans="2:12" x14ac:dyDescent="0.25">
      <c r="B1630" s="129"/>
      <c r="C1630" s="28"/>
      <c r="D1630" s="36"/>
      <c r="E1630" s="36"/>
      <c r="F1630" s="36"/>
      <c r="G1630" s="36"/>
      <c r="H1630" s="36"/>
      <c r="I1630" s="36"/>
      <c r="J1630" s="36">
        <f>YEAR(RESER3[[#This Row],[DATA]])</f>
        <v>1900</v>
      </c>
      <c r="K1630" s="36">
        <f>MONTH(RESER3[[#This Row],[DATA]])</f>
        <v>1</v>
      </c>
      <c r="L1630" s="36">
        <f>DAY(RESER3[[#This Row],[DATA]])</f>
        <v>0</v>
      </c>
    </row>
    <row r="1631" spans="2:12" x14ac:dyDescent="0.25">
      <c r="B1631" s="129"/>
      <c r="C1631" s="28"/>
      <c r="D1631" s="36"/>
      <c r="E1631" s="36"/>
      <c r="F1631" s="36"/>
      <c r="G1631" s="36"/>
      <c r="H1631" s="36"/>
      <c r="I1631" s="36"/>
      <c r="J1631" s="36">
        <f>YEAR(RESER3[[#This Row],[DATA]])</f>
        <v>1900</v>
      </c>
      <c r="K1631" s="36">
        <f>MONTH(RESER3[[#This Row],[DATA]])</f>
        <v>1</v>
      </c>
      <c r="L1631" s="36">
        <f>DAY(RESER3[[#This Row],[DATA]])</f>
        <v>0</v>
      </c>
    </row>
    <row r="1632" spans="2:12" x14ac:dyDescent="0.25">
      <c r="B1632" s="129"/>
      <c r="C1632" s="28"/>
      <c r="D1632" s="36"/>
      <c r="E1632" s="36"/>
      <c r="F1632" s="36"/>
      <c r="G1632" s="36"/>
      <c r="H1632" s="36"/>
      <c r="I1632" s="36"/>
      <c r="J1632" s="36">
        <f>YEAR(RESER3[[#This Row],[DATA]])</f>
        <v>1900</v>
      </c>
      <c r="K1632" s="36">
        <f>MONTH(RESER3[[#This Row],[DATA]])</f>
        <v>1</v>
      </c>
      <c r="L1632" s="36">
        <f>DAY(RESER3[[#This Row],[DATA]])</f>
        <v>0</v>
      </c>
    </row>
    <row r="1633" spans="2:12" x14ac:dyDescent="0.25">
      <c r="B1633" s="129"/>
      <c r="C1633" s="28"/>
      <c r="D1633" s="36"/>
      <c r="E1633" s="36"/>
      <c r="F1633" s="36"/>
      <c r="G1633" s="36"/>
      <c r="H1633" s="36"/>
      <c r="I1633" s="36"/>
      <c r="J1633" s="36">
        <f>YEAR(RESER3[[#This Row],[DATA]])</f>
        <v>1900</v>
      </c>
      <c r="K1633" s="36">
        <f>MONTH(RESER3[[#This Row],[DATA]])</f>
        <v>1</v>
      </c>
      <c r="L1633" s="36">
        <f>DAY(RESER3[[#This Row],[DATA]])</f>
        <v>0</v>
      </c>
    </row>
    <row r="1634" spans="2:12" x14ac:dyDescent="0.25">
      <c r="B1634" s="129"/>
      <c r="C1634" s="28"/>
      <c r="D1634" s="36"/>
      <c r="E1634" s="36"/>
      <c r="F1634" s="36"/>
      <c r="G1634" s="36"/>
      <c r="H1634" s="36"/>
      <c r="I1634" s="36"/>
      <c r="J1634" s="36">
        <f>YEAR(RESER3[[#This Row],[DATA]])</f>
        <v>1900</v>
      </c>
      <c r="K1634" s="36">
        <f>MONTH(RESER3[[#This Row],[DATA]])</f>
        <v>1</v>
      </c>
      <c r="L1634" s="36">
        <f>DAY(RESER3[[#This Row],[DATA]])</f>
        <v>0</v>
      </c>
    </row>
    <row r="1635" spans="2:12" x14ac:dyDescent="0.25">
      <c r="B1635" s="129"/>
      <c r="C1635" s="28"/>
      <c r="D1635" s="36"/>
      <c r="E1635" s="36"/>
      <c r="F1635" s="36"/>
      <c r="G1635" s="36"/>
      <c r="H1635" s="36"/>
      <c r="I1635" s="36"/>
      <c r="J1635" s="36">
        <f>YEAR(RESER3[[#This Row],[DATA]])</f>
        <v>1900</v>
      </c>
      <c r="K1635" s="36">
        <f>MONTH(RESER3[[#This Row],[DATA]])</f>
        <v>1</v>
      </c>
      <c r="L1635" s="36">
        <f>DAY(RESER3[[#This Row],[DATA]])</f>
        <v>0</v>
      </c>
    </row>
    <row r="1636" spans="2:12" x14ac:dyDescent="0.25">
      <c r="B1636" s="129"/>
      <c r="C1636" s="28"/>
      <c r="D1636" s="36"/>
      <c r="E1636" s="36"/>
      <c r="F1636" s="36"/>
      <c r="G1636" s="36"/>
      <c r="H1636" s="36"/>
      <c r="I1636" s="36"/>
      <c r="J1636" s="36">
        <f>YEAR(RESER3[[#This Row],[DATA]])</f>
        <v>1900</v>
      </c>
      <c r="K1636" s="36">
        <f>MONTH(RESER3[[#This Row],[DATA]])</f>
        <v>1</v>
      </c>
      <c r="L1636" s="36">
        <f>DAY(RESER3[[#This Row],[DATA]])</f>
        <v>0</v>
      </c>
    </row>
    <row r="1637" spans="2:12" x14ac:dyDescent="0.25">
      <c r="B1637" s="129"/>
      <c r="C1637" s="28"/>
      <c r="D1637" s="36"/>
      <c r="E1637" s="36"/>
      <c r="F1637" s="36"/>
      <c r="G1637" s="36"/>
      <c r="H1637" s="36"/>
      <c r="I1637" s="36"/>
      <c r="J1637" s="36">
        <f>YEAR(RESER3[[#This Row],[DATA]])</f>
        <v>1900</v>
      </c>
      <c r="K1637" s="36">
        <f>MONTH(RESER3[[#This Row],[DATA]])</f>
        <v>1</v>
      </c>
      <c r="L1637" s="36">
        <f>DAY(RESER3[[#This Row],[DATA]])</f>
        <v>0</v>
      </c>
    </row>
    <row r="1638" spans="2:12" x14ac:dyDescent="0.25">
      <c r="B1638" s="129"/>
      <c r="C1638" s="28"/>
      <c r="D1638" s="36"/>
      <c r="E1638" s="36"/>
      <c r="F1638" s="36"/>
      <c r="G1638" s="36"/>
      <c r="H1638" s="36"/>
      <c r="I1638" s="36"/>
      <c r="J1638" s="36">
        <f>YEAR(RESER3[[#This Row],[DATA]])</f>
        <v>1900</v>
      </c>
      <c r="K1638" s="36">
        <f>MONTH(RESER3[[#This Row],[DATA]])</f>
        <v>1</v>
      </c>
      <c r="L1638" s="36">
        <f>DAY(RESER3[[#This Row],[DATA]])</f>
        <v>0</v>
      </c>
    </row>
    <row r="1639" spans="2:12" x14ac:dyDescent="0.25">
      <c r="B1639" s="129"/>
      <c r="C1639" s="28"/>
      <c r="D1639" s="36"/>
      <c r="E1639" s="36"/>
      <c r="F1639" s="36"/>
      <c r="G1639" s="36"/>
      <c r="H1639" s="36"/>
      <c r="I1639" s="36"/>
      <c r="J1639" s="36">
        <f>YEAR(RESER3[[#This Row],[DATA]])</f>
        <v>1900</v>
      </c>
      <c r="K1639" s="36">
        <f>MONTH(RESER3[[#This Row],[DATA]])</f>
        <v>1</v>
      </c>
      <c r="L1639" s="36">
        <f>DAY(RESER3[[#This Row],[DATA]])</f>
        <v>0</v>
      </c>
    </row>
    <row r="1640" spans="2:12" x14ac:dyDescent="0.25">
      <c r="B1640" s="129"/>
      <c r="C1640" s="28"/>
      <c r="D1640" s="36"/>
      <c r="E1640" s="36"/>
      <c r="F1640" s="36"/>
      <c r="G1640" s="36"/>
      <c r="H1640" s="36"/>
      <c r="I1640" s="36"/>
      <c r="J1640" s="36">
        <f>YEAR(RESER3[[#This Row],[DATA]])</f>
        <v>1900</v>
      </c>
      <c r="K1640" s="36">
        <f>MONTH(RESER3[[#This Row],[DATA]])</f>
        <v>1</v>
      </c>
      <c r="L1640" s="36">
        <f>DAY(RESER3[[#This Row],[DATA]])</f>
        <v>0</v>
      </c>
    </row>
    <row r="1641" spans="2:12" x14ac:dyDescent="0.25">
      <c r="B1641" s="129"/>
      <c r="C1641" s="28"/>
      <c r="D1641" s="36"/>
      <c r="E1641" s="36"/>
      <c r="F1641" s="36"/>
      <c r="G1641" s="36"/>
      <c r="H1641" s="36"/>
      <c r="I1641" s="36"/>
      <c r="J1641" s="36">
        <f>YEAR(RESER3[[#This Row],[DATA]])</f>
        <v>1900</v>
      </c>
      <c r="K1641" s="36">
        <f>MONTH(RESER3[[#This Row],[DATA]])</f>
        <v>1</v>
      </c>
      <c r="L1641" s="36">
        <f>DAY(RESER3[[#This Row],[DATA]])</f>
        <v>0</v>
      </c>
    </row>
    <row r="1642" spans="2:12" x14ac:dyDescent="0.25">
      <c r="B1642" s="129"/>
      <c r="C1642" s="28"/>
      <c r="D1642" s="36"/>
      <c r="E1642" s="36"/>
      <c r="F1642" s="36"/>
      <c r="G1642" s="36"/>
      <c r="H1642" s="36"/>
      <c r="I1642" s="36"/>
      <c r="J1642" s="36">
        <f>YEAR(RESER3[[#This Row],[DATA]])</f>
        <v>1900</v>
      </c>
      <c r="K1642" s="36">
        <f>MONTH(RESER3[[#This Row],[DATA]])</f>
        <v>1</v>
      </c>
      <c r="L1642" s="36">
        <f>DAY(RESER3[[#This Row],[DATA]])</f>
        <v>0</v>
      </c>
    </row>
    <row r="1643" spans="2:12" x14ac:dyDescent="0.25">
      <c r="B1643" s="129"/>
      <c r="C1643" s="28"/>
      <c r="D1643" s="36"/>
      <c r="E1643" s="36"/>
      <c r="F1643" s="36"/>
      <c r="G1643" s="36"/>
      <c r="H1643" s="36"/>
      <c r="I1643" s="36"/>
      <c r="J1643" s="36">
        <f>YEAR(RESER3[[#This Row],[DATA]])</f>
        <v>1900</v>
      </c>
      <c r="K1643" s="36">
        <f>MONTH(RESER3[[#This Row],[DATA]])</f>
        <v>1</v>
      </c>
      <c r="L1643" s="36">
        <f>DAY(RESER3[[#This Row],[DATA]])</f>
        <v>0</v>
      </c>
    </row>
    <row r="1644" spans="2:12" x14ac:dyDescent="0.25">
      <c r="B1644" s="129"/>
      <c r="C1644" s="28"/>
      <c r="D1644" s="36"/>
      <c r="E1644" s="36"/>
      <c r="F1644" s="36"/>
      <c r="G1644" s="36"/>
      <c r="H1644" s="36"/>
      <c r="I1644" s="36"/>
      <c r="J1644" s="36">
        <f>YEAR(RESER3[[#This Row],[DATA]])</f>
        <v>1900</v>
      </c>
      <c r="K1644" s="36">
        <f>MONTH(RESER3[[#This Row],[DATA]])</f>
        <v>1</v>
      </c>
      <c r="L1644" s="36">
        <f>DAY(RESER3[[#This Row],[DATA]])</f>
        <v>0</v>
      </c>
    </row>
    <row r="1645" spans="2:12" x14ac:dyDescent="0.25">
      <c r="B1645" s="129"/>
      <c r="C1645" s="28"/>
      <c r="D1645" s="36"/>
      <c r="E1645" s="36"/>
      <c r="F1645" s="36"/>
      <c r="G1645" s="36"/>
      <c r="H1645" s="36"/>
      <c r="I1645" s="36"/>
      <c r="J1645" s="36">
        <f>YEAR(RESER3[[#This Row],[DATA]])</f>
        <v>1900</v>
      </c>
      <c r="K1645" s="36">
        <f>MONTH(RESER3[[#This Row],[DATA]])</f>
        <v>1</v>
      </c>
      <c r="L1645" s="36">
        <f>DAY(RESER3[[#This Row],[DATA]])</f>
        <v>0</v>
      </c>
    </row>
    <row r="1646" spans="2:12" x14ac:dyDescent="0.25">
      <c r="B1646" s="129"/>
      <c r="C1646" s="28"/>
      <c r="D1646" s="36"/>
      <c r="E1646" s="36"/>
      <c r="F1646" s="36"/>
      <c r="G1646" s="36"/>
      <c r="H1646" s="36"/>
      <c r="I1646" s="36"/>
      <c r="J1646" s="36">
        <f>YEAR(RESER3[[#This Row],[DATA]])</f>
        <v>1900</v>
      </c>
      <c r="K1646" s="36">
        <f>MONTH(RESER3[[#This Row],[DATA]])</f>
        <v>1</v>
      </c>
      <c r="L1646" s="36">
        <f>DAY(RESER3[[#This Row],[DATA]])</f>
        <v>0</v>
      </c>
    </row>
    <row r="1647" spans="2:12" x14ac:dyDescent="0.25">
      <c r="B1647" s="129"/>
      <c r="C1647" s="28"/>
      <c r="D1647" s="36"/>
      <c r="E1647" s="36"/>
      <c r="F1647" s="36"/>
      <c r="G1647" s="36"/>
      <c r="H1647" s="36"/>
      <c r="I1647" s="36"/>
      <c r="J1647" s="36">
        <f>YEAR(RESER3[[#This Row],[DATA]])</f>
        <v>1900</v>
      </c>
      <c r="K1647" s="36">
        <f>MONTH(RESER3[[#This Row],[DATA]])</f>
        <v>1</v>
      </c>
      <c r="L1647" s="36">
        <f>DAY(RESER3[[#This Row],[DATA]])</f>
        <v>0</v>
      </c>
    </row>
    <row r="1648" spans="2:12" x14ac:dyDescent="0.25">
      <c r="B1648" s="129"/>
      <c r="C1648" s="28"/>
      <c r="D1648" s="36"/>
      <c r="E1648" s="36"/>
      <c r="F1648" s="36"/>
      <c r="G1648" s="36"/>
      <c r="H1648" s="36"/>
      <c r="I1648" s="36"/>
      <c r="J1648" s="36">
        <f>YEAR(RESER3[[#This Row],[DATA]])</f>
        <v>1900</v>
      </c>
      <c r="K1648" s="36">
        <f>MONTH(RESER3[[#This Row],[DATA]])</f>
        <v>1</v>
      </c>
      <c r="L1648" s="36">
        <f>DAY(RESER3[[#This Row],[DATA]])</f>
        <v>0</v>
      </c>
    </row>
    <row r="1649" spans="2:12" x14ac:dyDescent="0.25">
      <c r="B1649" s="129"/>
      <c r="C1649" s="28"/>
      <c r="D1649" s="36"/>
      <c r="E1649" s="36"/>
      <c r="F1649" s="36"/>
      <c r="G1649" s="36"/>
      <c r="H1649" s="36"/>
      <c r="I1649" s="36"/>
      <c r="J1649" s="36">
        <f>YEAR(RESER3[[#This Row],[DATA]])</f>
        <v>1900</v>
      </c>
      <c r="K1649" s="36">
        <f>MONTH(RESER3[[#This Row],[DATA]])</f>
        <v>1</v>
      </c>
      <c r="L1649" s="36">
        <f>DAY(RESER3[[#This Row],[DATA]])</f>
        <v>0</v>
      </c>
    </row>
    <row r="1650" spans="2:12" x14ac:dyDescent="0.25">
      <c r="B1650" s="129"/>
      <c r="C1650" s="28"/>
      <c r="D1650" s="36"/>
      <c r="E1650" s="36"/>
      <c r="F1650" s="36"/>
      <c r="G1650" s="36"/>
      <c r="H1650" s="36"/>
      <c r="I1650" s="36"/>
      <c r="J1650" s="36">
        <f>YEAR(RESER3[[#This Row],[DATA]])</f>
        <v>1900</v>
      </c>
      <c r="K1650" s="36">
        <f>MONTH(RESER3[[#This Row],[DATA]])</f>
        <v>1</v>
      </c>
      <c r="L1650" s="36">
        <f>DAY(RESER3[[#This Row],[DATA]])</f>
        <v>0</v>
      </c>
    </row>
    <row r="1651" spans="2:12" x14ac:dyDescent="0.25">
      <c r="B1651" s="129"/>
      <c r="C1651" s="28"/>
      <c r="D1651" s="36"/>
      <c r="E1651" s="36"/>
      <c r="F1651" s="36"/>
      <c r="G1651" s="36"/>
      <c r="H1651" s="36"/>
      <c r="I1651" s="36"/>
      <c r="J1651" s="36">
        <f>YEAR(RESER3[[#This Row],[DATA]])</f>
        <v>1900</v>
      </c>
      <c r="K1651" s="36">
        <f>MONTH(RESER3[[#This Row],[DATA]])</f>
        <v>1</v>
      </c>
      <c r="L1651" s="36">
        <f>DAY(RESER3[[#This Row],[DATA]])</f>
        <v>0</v>
      </c>
    </row>
    <row r="1652" spans="2:12" x14ac:dyDescent="0.25">
      <c r="B1652" s="129"/>
      <c r="C1652" s="28"/>
      <c r="D1652" s="36"/>
      <c r="E1652" s="36"/>
      <c r="F1652" s="36"/>
      <c r="G1652" s="36"/>
      <c r="H1652" s="36"/>
      <c r="I1652" s="36"/>
      <c r="J1652" s="36">
        <f>YEAR(RESER3[[#This Row],[DATA]])</f>
        <v>1900</v>
      </c>
      <c r="K1652" s="36">
        <f>MONTH(RESER3[[#This Row],[DATA]])</f>
        <v>1</v>
      </c>
      <c r="L1652" s="36">
        <f>DAY(RESER3[[#This Row],[DATA]])</f>
        <v>0</v>
      </c>
    </row>
    <row r="1653" spans="2:12" x14ac:dyDescent="0.25">
      <c r="B1653" s="129"/>
      <c r="C1653" s="28"/>
      <c r="D1653" s="36"/>
      <c r="E1653" s="36"/>
      <c r="F1653" s="36"/>
      <c r="G1653" s="36"/>
      <c r="H1653" s="36"/>
      <c r="I1653" s="36"/>
      <c r="J1653" s="36">
        <f>YEAR(RESER3[[#This Row],[DATA]])</f>
        <v>1900</v>
      </c>
      <c r="K1653" s="36">
        <f>MONTH(RESER3[[#This Row],[DATA]])</f>
        <v>1</v>
      </c>
      <c r="L1653" s="36">
        <f>DAY(RESER3[[#This Row],[DATA]])</f>
        <v>0</v>
      </c>
    </row>
    <row r="1654" spans="2:12" x14ac:dyDescent="0.25">
      <c r="B1654" s="129"/>
      <c r="C1654" s="28"/>
      <c r="D1654" s="36"/>
      <c r="E1654" s="36"/>
      <c r="F1654" s="36"/>
      <c r="G1654" s="36"/>
      <c r="H1654" s="36"/>
      <c r="I1654" s="36"/>
      <c r="J1654" s="36">
        <f>YEAR(RESER3[[#This Row],[DATA]])</f>
        <v>1900</v>
      </c>
      <c r="K1654" s="36">
        <f>MONTH(RESER3[[#This Row],[DATA]])</f>
        <v>1</v>
      </c>
      <c r="L1654" s="36">
        <f>DAY(RESER3[[#This Row],[DATA]])</f>
        <v>0</v>
      </c>
    </row>
    <row r="1655" spans="2:12" x14ac:dyDescent="0.25">
      <c r="B1655" s="129"/>
      <c r="C1655" s="28"/>
      <c r="D1655" s="36"/>
      <c r="E1655" s="36"/>
      <c r="F1655" s="36"/>
      <c r="G1655" s="36"/>
      <c r="H1655" s="36"/>
      <c r="I1655" s="36"/>
      <c r="J1655" s="36">
        <f>YEAR(RESER3[[#This Row],[DATA]])</f>
        <v>1900</v>
      </c>
      <c r="K1655" s="36">
        <f>MONTH(RESER3[[#This Row],[DATA]])</f>
        <v>1</v>
      </c>
      <c r="L1655" s="36">
        <f>DAY(RESER3[[#This Row],[DATA]])</f>
        <v>0</v>
      </c>
    </row>
    <row r="1656" spans="2:12" x14ac:dyDescent="0.25">
      <c r="B1656" s="129"/>
      <c r="C1656" s="28"/>
      <c r="D1656" s="36"/>
      <c r="E1656" s="36"/>
      <c r="F1656" s="36"/>
      <c r="G1656" s="36"/>
      <c r="H1656" s="36"/>
      <c r="I1656" s="36"/>
      <c r="J1656" s="36">
        <f>YEAR(RESER3[[#This Row],[DATA]])</f>
        <v>1900</v>
      </c>
      <c r="K1656" s="36">
        <f>MONTH(RESER3[[#This Row],[DATA]])</f>
        <v>1</v>
      </c>
      <c r="L1656" s="36">
        <f>DAY(RESER3[[#This Row],[DATA]])</f>
        <v>0</v>
      </c>
    </row>
    <row r="1657" spans="2:12" x14ac:dyDescent="0.25">
      <c r="B1657" s="129"/>
      <c r="C1657" s="28"/>
      <c r="D1657" s="36"/>
      <c r="E1657" s="36"/>
      <c r="F1657" s="36"/>
      <c r="G1657" s="36"/>
      <c r="H1657" s="36"/>
      <c r="I1657" s="36"/>
      <c r="J1657" s="36">
        <f>YEAR(RESER3[[#This Row],[DATA]])</f>
        <v>1900</v>
      </c>
      <c r="K1657" s="36">
        <f>MONTH(RESER3[[#This Row],[DATA]])</f>
        <v>1</v>
      </c>
      <c r="L1657" s="36">
        <f>DAY(RESER3[[#This Row],[DATA]])</f>
        <v>0</v>
      </c>
    </row>
    <row r="1658" spans="2:12" x14ac:dyDescent="0.25">
      <c r="B1658" s="129"/>
      <c r="C1658" s="28"/>
      <c r="D1658" s="36"/>
      <c r="E1658" s="36"/>
      <c r="F1658" s="36"/>
      <c r="G1658" s="36"/>
      <c r="H1658" s="36"/>
      <c r="I1658" s="36"/>
      <c r="J1658" s="36">
        <f>YEAR(RESER3[[#This Row],[DATA]])</f>
        <v>1900</v>
      </c>
      <c r="K1658" s="36">
        <f>MONTH(RESER3[[#This Row],[DATA]])</f>
        <v>1</v>
      </c>
      <c r="L1658" s="36">
        <f>DAY(RESER3[[#This Row],[DATA]])</f>
        <v>0</v>
      </c>
    </row>
    <row r="1659" spans="2:12" x14ac:dyDescent="0.25">
      <c r="B1659" s="129"/>
      <c r="C1659" s="28"/>
      <c r="D1659" s="36"/>
      <c r="E1659" s="36"/>
      <c r="F1659" s="36"/>
      <c r="G1659" s="36"/>
      <c r="H1659" s="36"/>
      <c r="I1659" s="36"/>
      <c r="J1659" s="36">
        <f>YEAR(RESER3[[#This Row],[DATA]])</f>
        <v>1900</v>
      </c>
      <c r="K1659" s="36">
        <f>MONTH(RESER3[[#This Row],[DATA]])</f>
        <v>1</v>
      </c>
      <c r="L1659" s="36">
        <f>DAY(RESER3[[#This Row],[DATA]])</f>
        <v>0</v>
      </c>
    </row>
    <row r="1660" spans="2:12" x14ac:dyDescent="0.25">
      <c r="B1660" s="129"/>
      <c r="C1660" s="28"/>
      <c r="D1660" s="36"/>
      <c r="E1660" s="36"/>
      <c r="F1660" s="36"/>
      <c r="G1660" s="36"/>
      <c r="H1660" s="36"/>
      <c r="I1660" s="36"/>
      <c r="J1660" s="36">
        <f>YEAR(RESER3[[#This Row],[DATA]])</f>
        <v>1900</v>
      </c>
      <c r="K1660" s="36">
        <f>MONTH(RESER3[[#This Row],[DATA]])</f>
        <v>1</v>
      </c>
      <c r="L1660" s="36">
        <f>DAY(RESER3[[#This Row],[DATA]])</f>
        <v>0</v>
      </c>
    </row>
    <row r="1661" spans="2:12" x14ac:dyDescent="0.25">
      <c r="B1661" s="129"/>
      <c r="C1661" s="28"/>
      <c r="D1661" s="36"/>
      <c r="E1661" s="36"/>
      <c r="F1661" s="36"/>
      <c r="G1661" s="36"/>
      <c r="H1661" s="36"/>
      <c r="I1661" s="36"/>
      <c r="J1661" s="36">
        <f>YEAR(RESER3[[#This Row],[DATA]])</f>
        <v>1900</v>
      </c>
      <c r="K1661" s="36">
        <f>MONTH(RESER3[[#This Row],[DATA]])</f>
        <v>1</v>
      </c>
      <c r="L1661" s="36">
        <f>DAY(RESER3[[#This Row],[DATA]])</f>
        <v>0</v>
      </c>
    </row>
    <row r="1662" spans="2:12" x14ac:dyDescent="0.25">
      <c r="B1662" s="129"/>
      <c r="C1662" s="28"/>
      <c r="D1662" s="36"/>
      <c r="E1662" s="36"/>
      <c r="F1662" s="36"/>
      <c r="G1662" s="36"/>
      <c r="H1662" s="36"/>
      <c r="I1662" s="36"/>
      <c r="J1662" s="36">
        <f>YEAR(RESER3[[#This Row],[DATA]])</f>
        <v>1900</v>
      </c>
      <c r="K1662" s="36">
        <f>MONTH(RESER3[[#This Row],[DATA]])</f>
        <v>1</v>
      </c>
      <c r="L1662" s="36">
        <f>DAY(RESER3[[#This Row],[DATA]])</f>
        <v>0</v>
      </c>
    </row>
    <row r="1663" spans="2:12" x14ac:dyDescent="0.25">
      <c r="B1663" s="129"/>
      <c r="C1663" s="28"/>
      <c r="D1663" s="36"/>
      <c r="E1663" s="36"/>
      <c r="F1663" s="36"/>
      <c r="G1663" s="36"/>
      <c r="H1663" s="36"/>
      <c r="I1663" s="36"/>
      <c r="J1663" s="36">
        <f>YEAR(RESER3[[#This Row],[DATA]])</f>
        <v>1900</v>
      </c>
      <c r="K1663" s="36">
        <f>MONTH(RESER3[[#This Row],[DATA]])</f>
        <v>1</v>
      </c>
      <c r="L1663" s="36">
        <f>DAY(RESER3[[#This Row],[DATA]])</f>
        <v>0</v>
      </c>
    </row>
    <row r="1664" spans="2:12" x14ac:dyDescent="0.25">
      <c r="B1664" s="129"/>
      <c r="C1664" s="28"/>
      <c r="D1664" s="36"/>
      <c r="E1664" s="36"/>
      <c r="F1664" s="36"/>
      <c r="G1664" s="36"/>
      <c r="H1664" s="36"/>
      <c r="I1664" s="36"/>
      <c r="J1664" s="36">
        <f>YEAR(RESER3[[#This Row],[DATA]])</f>
        <v>1900</v>
      </c>
      <c r="K1664" s="36">
        <f>MONTH(RESER3[[#This Row],[DATA]])</f>
        <v>1</v>
      </c>
      <c r="L1664" s="36">
        <f>DAY(RESER3[[#This Row],[DATA]])</f>
        <v>0</v>
      </c>
    </row>
    <row r="1665" spans="2:12" x14ac:dyDescent="0.25">
      <c r="B1665" s="129"/>
      <c r="C1665" s="28"/>
      <c r="D1665" s="36"/>
      <c r="E1665" s="36"/>
      <c r="F1665" s="36"/>
      <c r="G1665" s="36"/>
      <c r="H1665" s="36"/>
      <c r="I1665" s="36"/>
      <c r="J1665" s="36">
        <f>YEAR(RESER3[[#This Row],[DATA]])</f>
        <v>1900</v>
      </c>
      <c r="K1665" s="36">
        <f>MONTH(RESER3[[#This Row],[DATA]])</f>
        <v>1</v>
      </c>
      <c r="L1665" s="36">
        <f>DAY(RESER3[[#This Row],[DATA]])</f>
        <v>0</v>
      </c>
    </row>
    <row r="1666" spans="2:12" x14ac:dyDescent="0.25">
      <c r="B1666" s="129"/>
      <c r="C1666" s="28"/>
      <c r="D1666" s="36"/>
      <c r="E1666" s="36"/>
      <c r="F1666" s="36"/>
      <c r="G1666" s="36"/>
      <c r="H1666" s="36"/>
      <c r="I1666" s="36"/>
      <c r="J1666" s="36">
        <f>YEAR(RESER3[[#This Row],[DATA]])</f>
        <v>1900</v>
      </c>
      <c r="K1666" s="36">
        <f>MONTH(RESER3[[#This Row],[DATA]])</f>
        <v>1</v>
      </c>
      <c r="L1666" s="36">
        <f>DAY(RESER3[[#This Row],[DATA]])</f>
        <v>0</v>
      </c>
    </row>
    <row r="1667" spans="2:12" x14ac:dyDescent="0.25">
      <c r="B1667" s="129"/>
      <c r="C1667" s="28"/>
      <c r="D1667" s="36"/>
      <c r="E1667" s="36"/>
      <c r="F1667" s="36"/>
      <c r="G1667" s="36"/>
      <c r="H1667" s="36"/>
      <c r="I1667" s="36"/>
      <c r="J1667" s="36">
        <f>YEAR(RESER3[[#This Row],[DATA]])</f>
        <v>1900</v>
      </c>
      <c r="K1667" s="36">
        <f>MONTH(RESER3[[#This Row],[DATA]])</f>
        <v>1</v>
      </c>
      <c r="L1667" s="36">
        <f>DAY(RESER3[[#This Row],[DATA]])</f>
        <v>0</v>
      </c>
    </row>
    <row r="1668" spans="2:12" x14ac:dyDescent="0.25">
      <c r="B1668" s="129"/>
      <c r="C1668" s="28"/>
      <c r="D1668" s="36"/>
      <c r="E1668" s="36"/>
      <c r="F1668" s="36"/>
      <c r="G1668" s="36"/>
      <c r="H1668" s="36"/>
      <c r="I1668" s="36"/>
      <c r="J1668" s="36">
        <f>YEAR(RESER3[[#This Row],[DATA]])</f>
        <v>1900</v>
      </c>
      <c r="K1668" s="36">
        <f>MONTH(RESER3[[#This Row],[DATA]])</f>
        <v>1</v>
      </c>
      <c r="L1668" s="36">
        <f>DAY(RESER3[[#This Row],[DATA]])</f>
        <v>0</v>
      </c>
    </row>
    <row r="1669" spans="2:12" x14ac:dyDescent="0.25">
      <c r="B1669" s="129"/>
      <c r="C1669" s="28"/>
      <c r="D1669" s="36"/>
      <c r="E1669" s="36"/>
      <c r="F1669" s="36"/>
      <c r="G1669" s="36"/>
      <c r="H1669" s="36"/>
      <c r="I1669" s="36"/>
      <c r="J1669" s="36">
        <f>YEAR(RESER3[[#This Row],[DATA]])</f>
        <v>1900</v>
      </c>
      <c r="K1669" s="36">
        <f>MONTH(RESER3[[#This Row],[DATA]])</f>
        <v>1</v>
      </c>
      <c r="L1669" s="36">
        <f>DAY(RESER3[[#This Row],[DATA]])</f>
        <v>0</v>
      </c>
    </row>
    <row r="1670" spans="2:12" x14ac:dyDescent="0.25">
      <c r="B1670" s="129"/>
      <c r="C1670" s="28"/>
      <c r="D1670" s="36"/>
      <c r="E1670" s="36"/>
      <c r="F1670" s="36"/>
      <c r="G1670" s="36"/>
      <c r="H1670" s="36"/>
      <c r="I1670" s="36"/>
      <c r="J1670" s="36">
        <f>YEAR(RESER3[[#This Row],[DATA]])</f>
        <v>1900</v>
      </c>
      <c r="K1670" s="36">
        <f>MONTH(RESER3[[#This Row],[DATA]])</f>
        <v>1</v>
      </c>
      <c r="L1670" s="36">
        <f>DAY(RESER3[[#This Row],[DATA]])</f>
        <v>0</v>
      </c>
    </row>
    <row r="1671" spans="2:12" x14ac:dyDescent="0.25">
      <c r="B1671" s="129"/>
      <c r="C1671" s="28"/>
      <c r="D1671" s="36"/>
      <c r="E1671" s="36"/>
      <c r="F1671" s="36"/>
      <c r="G1671" s="36"/>
      <c r="H1671" s="36"/>
      <c r="I1671" s="36"/>
      <c r="J1671" s="36">
        <f>YEAR(RESER3[[#This Row],[DATA]])</f>
        <v>1900</v>
      </c>
      <c r="K1671" s="36">
        <f>MONTH(RESER3[[#This Row],[DATA]])</f>
        <v>1</v>
      </c>
      <c r="L1671" s="36">
        <f>DAY(RESER3[[#This Row],[DATA]])</f>
        <v>0</v>
      </c>
    </row>
    <row r="1672" spans="2:12" x14ac:dyDescent="0.25">
      <c r="B1672" s="129"/>
      <c r="C1672" s="28"/>
      <c r="D1672" s="36"/>
      <c r="E1672" s="36"/>
      <c r="F1672" s="36"/>
      <c r="G1672" s="36"/>
      <c r="H1672" s="36"/>
      <c r="I1672" s="36"/>
      <c r="J1672" s="36">
        <f>YEAR(RESER3[[#This Row],[DATA]])</f>
        <v>1900</v>
      </c>
      <c r="K1672" s="36">
        <f>MONTH(RESER3[[#This Row],[DATA]])</f>
        <v>1</v>
      </c>
      <c r="L1672" s="36">
        <f>DAY(RESER3[[#This Row],[DATA]])</f>
        <v>0</v>
      </c>
    </row>
    <row r="1673" spans="2:12" x14ac:dyDescent="0.25">
      <c r="B1673" s="129"/>
      <c r="C1673" s="28"/>
      <c r="D1673" s="36"/>
      <c r="E1673" s="36"/>
      <c r="F1673" s="36"/>
      <c r="G1673" s="36"/>
      <c r="H1673" s="36"/>
      <c r="I1673" s="36"/>
      <c r="J1673" s="36">
        <f>YEAR(RESER3[[#This Row],[DATA]])</f>
        <v>1900</v>
      </c>
      <c r="K1673" s="36">
        <f>MONTH(RESER3[[#This Row],[DATA]])</f>
        <v>1</v>
      </c>
      <c r="L1673" s="36">
        <f>DAY(RESER3[[#This Row],[DATA]])</f>
        <v>0</v>
      </c>
    </row>
    <row r="1674" spans="2:12" x14ac:dyDescent="0.25">
      <c r="B1674" s="129"/>
      <c r="C1674" s="28"/>
      <c r="D1674" s="36"/>
      <c r="E1674" s="36"/>
      <c r="F1674" s="36"/>
      <c r="G1674" s="36"/>
      <c r="H1674" s="36"/>
      <c r="I1674" s="36"/>
      <c r="J1674" s="36">
        <f>YEAR(RESER3[[#This Row],[DATA]])</f>
        <v>1900</v>
      </c>
      <c r="K1674" s="36">
        <f>MONTH(RESER3[[#This Row],[DATA]])</f>
        <v>1</v>
      </c>
      <c r="L1674" s="36">
        <f>DAY(RESER3[[#This Row],[DATA]])</f>
        <v>0</v>
      </c>
    </row>
    <row r="1675" spans="2:12" x14ac:dyDescent="0.25">
      <c r="B1675" s="129"/>
      <c r="C1675" s="28"/>
      <c r="D1675" s="36"/>
      <c r="E1675" s="36"/>
      <c r="F1675" s="36"/>
      <c r="G1675" s="36"/>
      <c r="H1675" s="36"/>
      <c r="I1675" s="36"/>
      <c r="J1675" s="36">
        <f>YEAR(RESER3[[#This Row],[DATA]])</f>
        <v>1900</v>
      </c>
      <c r="K1675" s="36">
        <f>MONTH(RESER3[[#This Row],[DATA]])</f>
        <v>1</v>
      </c>
      <c r="L1675" s="36">
        <f>DAY(RESER3[[#This Row],[DATA]])</f>
        <v>0</v>
      </c>
    </row>
    <row r="1676" spans="2:12" x14ac:dyDescent="0.25">
      <c r="B1676" s="129"/>
      <c r="C1676" s="28"/>
      <c r="D1676" s="36"/>
      <c r="E1676" s="36"/>
      <c r="F1676" s="36"/>
      <c r="G1676" s="36"/>
      <c r="H1676" s="36"/>
      <c r="I1676" s="36"/>
      <c r="J1676" s="36">
        <f>YEAR(RESER3[[#This Row],[DATA]])</f>
        <v>1900</v>
      </c>
      <c r="K1676" s="36">
        <f>MONTH(RESER3[[#This Row],[DATA]])</f>
        <v>1</v>
      </c>
      <c r="L1676" s="36">
        <f>DAY(RESER3[[#This Row],[DATA]])</f>
        <v>0</v>
      </c>
    </row>
    <row r="1677" spans="2:12" x14ac:dyDescent="0.25">
      <c r="B1677" s="129"/>
      <c r="C1677" s="28"/>
      <c r="D1677" s="36"/>
      <c r="E1677" s="36"/>
      <c r="F1677" s="36"/>
      <c r="G1677" s="36"/>
      <c r="H1677" s="36"/>
      <c r="I1677" s="36"/>
      <c r="J1677" s="36">
        <f>YEAR(RESER3[[#This Row],[DATA]])</f>
        <v>1900</v>
      </c>
      <c r="K1677" s="36">
        <f>MONTH(RESER3[[#This Row],[DATA]])</f>
        <v>1</v>
      </c>
      <c r="L1677" s="36">
        <f>DAY(RESER3[[#This Row],[DATA]])</f>
        <v>0</v>
      </c>
    </row>
    <row r="1678" spans="2:12" x14ac:dyDescent="0.25">
      <c r="B1678" s="129"/>
      <c r="C1678" s="28"/>
      <c r="D1678" s="36"/>
      <c r="E1678" s="36"/>
      <c r="F1678" s="36"/>
      <c r="G1678" s="36"/>
      <c r="H1678" s="36"/>
      <c r="I1678" s="36"/>
      <c r="J1678" s="36">
        <f>YEAR(RESER3[[#This Row],[DATA]])</f>
        <v>1900</v>
      </c>
      <c r="K1678" s="36">
        <f>MONTH(RESER3[[#This Row],[DATA]])</f>
        <v>1</v>
      </c>
      <c r="L1678" s="36">
        <f>DAY(RESER3[[#This Row],[DATA]])</f>
        <v>0</v>
      </c>
    </row>
    <row r="1679" spans="2:12" x14ac:dyDescent="0.25">
      <c r="B1679" s="129"/>
      <c r="C1679" s="28"/>
      <c r="D1679" s="36"/>
      <c r="E1679" s="36"/>
      <c r="F1679" s="36"/>
      <c r="G1679" s="36"/>
      <c r="H1679" s="36"/>
      <c r="I1679" s="36"/>
      <c r="J1679" s="36">
        <f>YEAR(RESER3[[#This Row],[DATA]])</f>
        <v>1900</v>
      </c>
      <c r="K1679" s="36">
        <f>MONTH(RESER3[[#This Row],[DATA]])</f>
        <v>1</v>
      </c>
      <c r="L1679" s="36">
        <f>DAY(RESER3[[#This Row],[DATA]])</f>
        <v>0</v>
      </c>
    </row>
    <row r="1680" spans="2:12" x14ac:dyDescent="0.25">
      <c r="B1680" s="129"/>
      <c r="C1680" s="28"/>
      <c r="D1680" s="36"/>
      <c r="E1680" s="36"/>
      <c r="F1680" s="36"/>
      <c r="G1680" s="36"/>
      <c r="H1680" s="36"/>
      <c r="I1680" s="36"/>
      <c r="J1680" s="36">
        <f>YEAR(RESER3[[#This Row],[DATA]])</f>
        <v>1900</v>
      </c>
      <c r="K1680" s="36">
        <f>MONTH(RESER3[[#This Row],[DATA]])</f>
        <v>1</v>
      </c>
      <c r="L1680" s="36">
        <f>DAY(RESER3[[#This Row],[DATA]])</f>
        <v>0</v>
      </c>
    </row>
    <row r="1681" spans="2:12" x14ac:dyDescent="0.25">
      <c r="B1681" s="129"/>
      <c r="C1681" s="28"/>
      <c r="D1681" s="36"/>
      <c r="E1681" s="36"/>
      <c r="F1681" s="36"/>
      <c r="G1681" s="36"/>
      <c r="H1681" s="36"/>
      <c r="I1681" s="36"/>
      <c r="J1681" s="36">
        <f>YEAR(RESER3[[#This Row],[DATA]])</f>
        <v>1900</v>
      </c>
      <c r="K1681" s="36">
        <f>MONTH(RESER3[[#This Row],[DATA]])</f>
        <v>1</v>
      </c>
      <c r="L1681" s="36">
        <f>DAY(RESER3[[#This Row],[DATA]])</f>
        <v>0</v>
      </c>
    </row>
    <row r="1682" spans="2:12" x14ac:dyDescent="0.25">
      <c r="B1682" s="129"/>
      <c r="C1682" s="28"/>
      <c r="D1682" s="36"/>
      <c r="E1682" s="36"/>
      <c r="F1682" s="36"/>
      <c r="G1682" s="36"/>
      <c r="H1682" s="36"/>
      <c r="I1682" s="36"/>
      <c r="J1682" s="36">
        <f>YEAR(RESER3[[#This Row],[DATA]])</f>
        <v>1900</v>
      </c>
      <c r="K1682" s="36">
        <f>MONTH(RESER3[[#This Row],[DATA]])</f>
        <v>1</v>
      </c>
      <c r="L1682" s="36">
        <f>DAY(RESER3[[#This Row],[DATA]])</f>
        <v>0</v>
      </c>
    </row>
    <row r="1683" spans="2:12" x14ac:dyDescent="0.25">
      <c r="B1683" s="129"/>
      <c r="C1683" s="28"/>
      <c r="D1683" s="36"/>
      <c r="E1683" s="36"/>
      <c r="F1683" s="36"/>
      <c r="G1683" s="36"/>
      <c r="H1683" s="36"/>
      <c r="I1683" s="36"/>
      <c r="J1683" s="36">
        <f>YEAR(RESER3[[#This Row],[DATA]])</f>
        <v>1900</v>
      </c>
      <c r="K1683" s="36">
        <f>MONTH(RESER3[[#This Row],[DATA]])</f>
        <v>1</v>
      </c>
      <c r="L1683" s="36">
        <f>DAY(RESER3[[#This Row],[DATA]])</f>
        <v>0</v>
      </c>
    </row>
    <row r="1684" spans="2:12" x14ac:dyDescent="0.25">
      <c r="B1684" s="129"/>
      <c r="C1684" s="28"/>
      <c r="D1684" s="36"/>
      <c r="E1684" s="36"/>
      <c r="F1684" s="36"/>
      <c r="G1684" s="36"/>
      <c r="H1684" s="36"/>
      <c r="I1684" s="36"/>
      <c r="J1684" s="36">
        <f>YEAR(RESER3[[#This Row],[DATA]])</f>
        <v>1900</v>
      </c>
      <c r="K1684" s="36">
        <f>MONTH(RESER3[[#This Row],[DATA]])</f>
        <v>1</v>
      </c>
      <c r="L1684" s="36">
        <f>DAY(RESER3[[#This Row],[DATA]])</f>
        <v>0</v>
      </c>
    </row>
    <row r="1685" spans="2:12" x14ac:dyDescent="0.25">
      <c r="B1685" s="129"/>
      <c r="C1685" s="28"/>
      <c r="D1685" s="36"/>
      <c r="E1685" s="36"/>
      <c r="F1685" s="36"/>
      <c r="G1685" s="36"/>
      <c r="H1685" s="36"/>
      <c r="I1685" s="36"/>
      <c r="J1685" s="36">
        <f>YEAR(RESER3[[#This Row],[DATA]])</f>
        <v>1900</v>
      </c>
      <c r="K1685" s="36">
        <f>MONTH(RESER3[[#This Row],[DATA]])</f>
        <v>1</v>
      </c>
      <c r="L1685" s="36">
        <f>DAY(RESER3[[#This Row],[DATA]])</f>
        <v>0</v>
      </c>
    </row>
    <row r="1686" spans="2:12" x14ac:dyDescent="0.25">
      <c r="B1686" s="129"/>
      <c r="C1686" s="28"/>
      <c r="D1686" s="36"/>
      <c r="E1686" s="36"/>
      <c r="F1686" s="36"/>
      <c r="G1686" s="36"/>
      <c r="H1686" s="36"/>
      <c r="I1686" s="36"/>
      <c r="J1686" s="36">
        <f>YEAR(RESER3[[#This Row],[DATA]])</f>
        <v>1900</v>
      </c>
      <c r="K1686" s="36">
        <f>MONTH(RESER3[[#This Row],[DATA]])</f>
        <v>1</v>
      </c>
      <c r="L1686" s="36">
        <f>DAY(RESER3[[#This Row],[DATA]])</f>
        <v>0</v>
      </c>
    </row>
    <row r="1687" spans="2:12" x14ac:dyDescent="0.25">
      <c r="B1687" s="129"/>
      <c r="C1687" s="28"/>
      <c r="D1687" s="36"/>
      <c r="E1687" s="36"/>
      <c r="F1687" s="36"/>
      <c r="G1687" s="36"/>
      <c r="H1687" s="36"/>
      <c r="I1687" s="36"/>
      <c r="J1687" s="36">
        <f>YEAR(RESER3[[#This Row],[DATA]])</f>
        <v>1900</v>
      </c>
      <c r="K1687" s="36">
        <f>MONTH(RESER3[[#This Row],[DATA]])</f>
        <v>1</v>
      </c>
      <c r="L1687" s="36">
        <f>DAY(RESER3[[#This Row],[DATA]])</f>
        <v>0</v>
      </c>
    </row>
    <row r="1688" spans="2:12" x14ac:dyDescent="0.25">
      <c r="B1688" s="129"/>
      <c r="C1688" s="28"/>
      <c r="D1688" s="36"/>
      <c r="E1688" s="36"/>
      <c r="F1688" s="36"/>
      <c r="G1688" s="36"/>
      <c r="H1688" s="36"/>
      <c r="I1688" s="36"/>
      <c r="J1688" s="36">
        <f>YEAR(RESER3[[#This Row],[DATA]])</f>
        <v>1900</v>
      </c>
      <c r="K1688" s="36">
        <f>MONTH(RESER3[[#This Row],[DATA]])</f>
        <v>1</v>
      </c>
      <c r="L1688" s="36">
        <f>DAY(RESER3[[#This Row],[DATA]])</f>
        <v>0</v>
      </c>
    </row>
    <row r="1689" spans="2:12" x14ac:dyDescent="0.25">
      <c r="B1689" s="129"/>
      <c r="C1689" s="28"/>
      <c r="D1689" s="36"/>
      <c r="E1689" s="36"/>
      <c r="F1689" s="36"/>
      <c r="G1689" s="36"/>
      <c r="H1689" s="36"/>
      <c r="I1689" s="36"/>
      <c r="J1689" s="36">
        <f>YEAR(RESER3[[#This Row],[DATA]])</f>
        <v>1900</v>
      </c>
      <c r="K1689" s="36">
        <f>MONTH(RESER3[[#This Row],[DATA]])</f>
        <v>1</v>
      </c>
      <c r="L1689" s="36">
        <f>DAY(RESER3[[#This Row],[DATA]])</f>
        <v>0</v>
      </c>
    </row>
    <row r="1690" spans="2:12" x14ac:dyDescent="0.25">
      <c r="B1690" s="129"/>
      <c r="C1690" s="28"/>
      <c r="D1690" s="36"/>
      <c r="E1690" s="36"/>
      <c r="F1690" s="36"/>
      <c r="G1690" s="36"/>
      <c r="H1690" s="36"/>
      <c r="I1690" s="36"/>
      <c r="J1690" s="36">
        <f>YEAR(RESER3[[#This Row],[DATA]])</f>
        <v>1900</v>
      </c>
      <c r="K1690" s="36">
        <f>MONTH(RESER3[[#This Row],[DATA]])</f>
        <v>1</v>
      </c>
      <c r="L1690" s="36">
        <f>DAY(RESER3[[#This Row],[DATA]])</f>
        <v>0</v>
      </c>
    </row>
    <row r="1691" spans="2:12" x14ac:dyDescent="0.25">
      <c r="B1691" s="129"/>
      <c r="C1691" s="28"/>
      <c r="D1691" s="36"/>
      <c r="E1691" s="36"/>
      <c r="F1691" s="36"/>
      <c r="G1691" s="36"/>
      <c r="H1691" s="36"/>
      <c r="I1691" s="36"/>
      <c r="J1691" s="36">
        <f>YEAR(RESER3[[#This Row],[DATA]])</f>
        <v>1900</v>
      </c>
      <c r="K1691" s="36">
        <f>MONTH(RESER3[[#This Row],[DATA]])</f>
        <v>1</v>
      </c>
      <c r="L1691" s="36">
        <f>DAY(RESER3[[#This Row],[DATA]])</f>
        <v>0</v>
      </c>
    </row>
    <row r="1692" spans="2:12" x14ac:dyDescent="0.25">
      <c r="B1692" s="129"/>
      <c r="C1692" s="28"/>
      <c r="D1692" s="36"/>
      <c r="E1692" s="36"/>
      <c r="F1692" s="36"/>
      <c r="G1692" s="36"/>
      <c r="H1692" s="36"/>
      <c r="I1692" s="36"/>
      <c r="J1692" s="36">
        <f>YEAR(RESER3[[#This Row],[DATA]])</f>
        <v>1900</v>
      </c>
      <c r="K1692" s="36">
        <f>MONTH(RESER3[[#This Row],[DATA]])</f>
        <v>1</v>
      </c>
      <c r="L1692" s="36">
        <f>DAY(RESER3[[#This Row],[DATA]])</f>
        <v>0</v>
      </c>
    </row>
    <row r="1693" spans="2:12" x14ac:dyDescent="0.25">
      <c r="B1693" s="129"/>
      <c r="C1693" s="28"/>
      <c r="D1693" s="36"/>
      <c r="E1693" s="36"/>
      <c r="F1693" s="36"/>
      <c r="G1693" s="36"/>
      <c r="H1693" s="36"/>
      <c r="I1693" s="36"/>
      <c r="J1693" s="36">
        <f>YEAR(RESER3[[#This Row],[DATA]])</f>
        <v>1900</v>
      </c>
      <c r="K1693" s="36">
        <f>MONTH(RESER3[[#This Row],[DATA]])</f>
        <v>1</v>
      </c>
      <c r="L1693" s="36">
        <f>DAY(RESER3[[#This Row],[DATA]])</f>
        <v>0</v>
      </c>
    </row>
    <row r="1694" spans="2:12" x14ac:dyDescent="0.25">
      <c r="B1694" s="129"/>
      <c r="C1694" s="28"/>
      <c r="D1694" s="36"/>
      <c r="E1694" s="36"/>
      <c r="F1694" s="36"/>
      <c r="G1694" s="36"/>
      <c r="H1694" s="36"/>
      <c r="I1694" s="36"/>
      <c r="J1694" s="36">
        <f>YEAR(RESER3[[#This Row],[DATA]])</f>
        <v>1900</v>
      </c>
      <c r="K1694" s="36">
        <f>MONTH(RESER3[[#This Row],[DATA]])</f>
        <v>1</v>
      </c>
      <c r="L1694" s="36">
        <f>DAY(RESER3[[#This Row],[DATA]])</f>
        <v>0</v>
      </c>
    </row>
    <row r="1695" spans="2:12" x14ac:dyDescent="0.25">
      <c r="B1695" s="129"/>
      <c r="C1695" s="28"/>
      <c r="D1695" s="36"/>
      <c r="E1695" s="36"/>
      <c r="F1695" s="36"/>
      <c r="G1695" s="36"/>
      <c r="H1695" s="36"/>
      <c r="I1695" s="36"/>
      <c r="J1695" s="36">
        <f>YEAR(RESER3[[#This Row],[DATA]])</f>
        <v>1900</v>
      </c>
      <c r="K1695" s="36">
        <f>MONTH(RESER3[[#This Row],[DATA]])</f>
        <v>1</v>
      </c>
      <c r="L1695" s="36">
        <f>DAY(RESER3[[#This Row],[DATA]])</f>
        <v>0</v>
      </c>
    </row>
    <row r="1696" spans="2:12" x14ac:dyDescent="0.25">
      <c r="B1696" s="129"/>
      <c r="C1696" s="28"/>
      <c r="D1696" s="36"/>
      <c r="E1696" s="36"/>
      <c r="F1696" s="36"/>
      <c r="G1696" s="36"/>
      <c r="H1696" s="36"/>
      <c r="I1696" s="36"/>
      <c r="J1696" s="36">
        <f>YEAR(RESER3[[#This Row],[DATA]])</f>
        <v>1900</v>
      </c>
      <c r="K1696" s="36">
        <f>MONTH(RESER3[[#This Row],[DATA]])</f>
        <v>1</v>
      </c>
      <c r="L1696" s="36">
        <f>DAY(RESER3[[#This Row],[DATA]])</f>
        <v>0</v>
      </c>
    </row>
    <row r="1697" spans="2:12" x14ac:dyDescent="0.25">
      <c r="B1697" s="129"/>
      <c r="C1697" s="28"/>
      <c r="D1697" s="36"/>
      <c r="E1697" s="36"/>
      <c r="F1697" s="36"/>
      <c r="G1697" s="36"/>
      <c r="H1697" s="36"/>
      <c r="I1697" s="36"/>
      <c r="J1697" s="36">
        <f>YEAR(RESER3[[#This Row],[DATA]])</f>
        <v>1900</v>
      </c>
      <c r="K1697" s="36">
        <f>MONTH(RESER3[[#This Row],[DATA]])</f>
        <v>1</v>
      </c>
      <c r="L1697" s="36">
        <f>DAY(RESER3[[#This Row],[DATA]])</f>
        <v>0</v>
      </c>
    </row>
    <row r="1698" spans="2:12" x14ac:dyDescent="0.25">
      <c r="B1698" s="129"/>
      <c r="C1698" s="28"/>
      <c r="D1698" s="36"/>
      <c r="E1698" s="36"/>
      <c r="F1698" s="36"/>
      <c r="G1698" s="36"/>
      <c r="H1698" s="36"/>
      <c r="I1698" s="36"/>
      <c r="J1698" s="36">
        <f>YEAR(RESER3[[#This Row],[DATA]])</f>
        <v>1900</v>
      </c>
      <c r="K1698" s="36">
        <f>MONTH(RESER3[[#This Row],[DATA]])</f>
        <v>1</v>
      </c>
      <c r="L1698" s="36">
        <f>DAY(RESER3[[#This Row],[DATA]])</f>
        <v>0</v>
      </c>
    </row>
    <row r="1699" spans="2:12" x14ac:dyDescent="0.25">
      <c r="B1699" s="129"/>
      <c r="C1699" s="28"/>
      <c r="D1699" s="36"/>
      <c r="E1699" s="36"/>
      <c r="F1699" s="36"/>
      <c r="G1699" s="36"/>
      <c r="H1699" s="36"/>
      <c r="I1699" s="36"/>
      <c r="J1699" s="36">
        <f>YEAR(RESER3[[#This Row],[DATA]])</f>
        <v>1900</v>
      </c>
      <c r="K1699" s="36">
        <f>MONTH(RESER3[[#This Row],[DATA]])</f>
        <v>1</v>
      </c>
      <c r="L1699" s="36">
        <f>DAY(RESER3[[#This Row],[DATA]])</f>
        <v>0</v>
      </c>
    </row>
    <row r="1700" spans="2:12" x14ac:dyDescent="0.25">
      <c r="B1700" s="129"/>
      <c r="C1700" s="28"/>
      <c r="D1700" s="36"/>
      <c r="E1700" s="36"/>
      <c r="F1700" s="36"/>
      <c r="G1700" s="36"/>
      <c r="H1700" s="36"/>
      <c r="I1700" s="36"/>
      <c r="J1700" s="36">
        <f>YEAR(RESER3[[#This Row],[DATA]])</f>
        <v>1900</v>
      </c>
      <c r="K1700" s="36">
        <f>MONTH(RESER3[[#This Row],[DATA]])</f>
        <v>1</v>
      </c>
      <c r="L1700" s="36">
        <f>DAY(RESER3[[#This Row],[DATA]])</f>
        <v>0</v>
      </c>
    </row>
    <row r="1701" spans="2:12" x14ac:dyDescent="0.25">
      <c r="B1701" s="129"/>
      <c r="C1701" s="28"/>
      <c r="D1701" s="36"/>
      <c r="E1701" s="36"/>
      <c r="F1701" s="36"/>
      <c r="G1701" s="36"/>
      <c r="H1701" s="36"/>
      <c r="I1701" s="36"/>
      <c r="J1701" s="36">
        <f>YEAR(RESER3[[#This Row],[DATA]])</f>
        <v>1900</v>
      </c>
      <c r="K1701" s="36">
        <f>MONTH(RESER3[[#This Row],[DATA]])</f>
        <v>1</v>
      </c>
      <c r="L1701" s="36">
        <f>DAY(RESER3[[#This Row],[DATA]])</f>
        <v>0</v>
      </c>
    </row>
    <row r="1702" spans="2:12" x14ac:dyDescent="0.25">
      <c r="B1702" s="129"/>
      <c r="C1702" s="28"/>
      <c r="D1702" s="36"/>
      <c r="E1702" s="36"/>
      <c r="F1702" s="36"/>
      <c r="G1702" s="36"/>
      <c r="H1702" s="36"/>
      <c r="I1702" s="36"/>
      <c r="J1702" s="36">
        <f>YEAR(RESER3[[#This Row],[DATA]])</f>
        <v>1900</v>
      </c>
      <c r="K1702" s="36">
        <f>MONTH(RESER3[[#This Row],[DATA]])</f>
        <v>1</v>
      </c>
      <c r="L1702" s="36">
        <f>DAY(RESER3[[#This Row],[DATA]])</f>
        <v>0</v>
      </c>
    </row>
    <row r="1703" spans="2:12" x14ac:dyDescent="0.25">
      <c r="B1703" s="129"/>
      <c r="C1703" s="28"/>
      <c r="D1703" s="36"/>
      <c r="E1703" s="36"/>
      <c r="F1703" s="36"/>
      <c r="G1703" s="36"/>
      <c r="H1703" s="36"/>
      <c r="I1703" s="36"/>
      <c r="J1703" s="36">
        <f>YEAR(RESER3[[#This Row],[DATA]])</f>
        <v>1900</v>
      </c>
      <c r="K1703" s="36">
        <f>MONTH(RESER3[[#This Row],[DATA]])</f>
        <v>1</v>
      </c>
      <c r="L1703" s="36">
        <f>DAY(RESER3[[#This Row],[DATA]])</f>
        <v>0</v>
      </c>
    </row>
    <row r="1704" spans="2:12" x14ac:dyDescent="0.25">
      <c r="B1704" s="129"/>
      <c r="C1704" s="28"/>
      <c r="D1704" s="36"/>
      <c r="E1704" s="36"/>
      <c r="F1704" s="36"/>
      <c r="G1704" s="36"/>
      <c r="H1704" s="36"/>
      <c r="I1704" s="36"/>
      <c r="J1704" s="36">
        <f>YEAR(RESER3[[#This Row],[DATA]])</f>
        <v>1900</v>
      </c>
      <c r="K1704" s="36">
        <f>MONTH(RESER3[[#This Row],[DATA]])</f>
        <v>1</v>
      </c>
      <c r="L1704" s="36">
        <f>DAY(RESER3[[#This Row],[DATA]])</f>
        <v>0</v>
      </c>
    </row>
    <row r="1705" spans="2:12" x14ac:dyDescent="0.25">
      <c r="B1705" s="129"/>
      <c r="C1705" s="28"/>
      <c r="D1705" s="36"/>
      <c r="E1705" s="36"/>
      <c r="F1705" s="36"/>
      <c r="G1705" s="36"/>
      <c r="H1705" s="36"/>
      <c r="I1705" s="36"/>
      <c r="J1705" s="36">
        <f>YEAR(RESER3[[#This Row],[DATA]])</f>
        <v>1900</v>
      </c>
      <c r="K1705" s="36">
        <f>MONTH(RESER3[[#This Row],[DATA]])</f>
        <v>1</v>
      </c>
      <c r="L1705" s="36">
        <f>DAY(RESER3[[#This Row],[DATA]])</f>
        <v>0</v>
      </c>
    </row>
    <row r="1706" spans="2:12" x14ac:dyDescent="0.25">
      <c r="B1706" s="129"/>
      <c r="C1706" s="28"/>
      <c r="D1706" s="36"/>
      <c r="E1706" s="36"/>
      <c r="F1706" s="36"/>
      <c r="G1706" s="36"/>
      <c r="H1706" s="36"/>
      <c r="I1706" s="36"/>
      <c r="J1706" s="36">
        <f>YEAR(RESER3[[#This Row],[DATA]])</f>
        <v>1900</v>
      </c>
      <c r="K1706" s="36">
        <f>MONTH(RESER3[[#This Row],[DATA]])</f>
        <v>1</v>
      </c>
      <c r="L1706" s="36">
        <f>DAY(RESER3[[#This Row],[DATA]])</f>
        <v>0</v>
      </c>
    </row>
    <row r="1707" spans="2:12" x14ac:dyDescent="0.25">
      <c r="B1707" s="129"/>
      <c r="C1707" s="28"/>
      <c r="D1707" s="36"/>
      <c r="E1707" s="36"/>
      <c r="F1707" s="36"/>
      <c r="G1707" s="36"/>
      <c r="H1707" s="36"/>
      <c r="I1707" s="36"/>
      <c r="J1707" s="36">
        <f>YEAR(RESER3[[#This Row],[DATA]])</f>
        <v>1900</v>
      </c>
      <c r="K1707" s="36">
        <f>MONTH(RESER3[[#This Row],[DATA]])</f>
        <v>1</v>
      </c>
      <c r="L1707" s="36">
        <f>DAY(RESER3[[#This Row],[DATA]])</f>
        <v>0</v>
      </c>
    </row>
    <row r="1708" spans="2:12" x14ac:dyDescent="0.25">
      <c r="B1708" s="129"/>
      <c r="C1708" s="28"/>
      <c r="D1708" s="36"/>
      <c r="E1708" s="36"/>
      <c r="F1708" s="36"/>
      <c r="G1708" s="36"/>
      <c r="H1708" s="36"/>
      <c r="I1708" s="36"/>
      <c r="J1708" s="36">
        <f>YEAR(RESER3[[#This Row],[DATA]])</f>
        <v>1900</v>
      </c>
      <c r="K1708" s="36">
        <f>MONTH(RESER3[[#This Row],[DATA]])</f>
        <v>1</v>
      </c>
      <c r="L1708" s="36">
        <f>DAY(RESER3[[#This Row],[DATA]])</f>
        <v>0</v>
      </c>
    </row>
    <row r="1709" spans="2:12" x14ac:dyDescent="0.25">
      <c r="B1709" s="129"/>
      <c r="C1709" s="28"/>
      <c r="D1709" s="36"/>
      <c r="E1709" s="36"/>
      <c r="F1709" s="36"/>
      <c r="G1709" s="36"/>
      <c r="H1709" s="36"/>
      <c r="I1709" s="36"/>
      <c r="J1709" s="36">
        <f>YEAR(RESER3[[#This Row],[DATA]])</f>
        <v>1900</v>
      </c>
      <c r="K1709" s="36">
        <f>MONTH(RESER3[[#This Row],[DATA]])</f>
        <v>1</v>
      </c>
      <c r="L1709" s="36">
        <f>DAY(RESER3[[#This Row],[DATA]])</f>
        <v>0</v>
      </c>
    </row>
    <row r="1710" spans="2:12" x14ac:dyDescent="0.25">
      <c r="B1710" s="129"/>
      <c r="C1710" s="28"/>
      <c r="D1710" s="36"/>
      <c r="E1710" s="36"/>
      <c r="F1710" s="36"/>
      <c r="G1710" s="36"/>
      <c r="H1710" s="36"/>
      <c r="I1710" s="36"/>
      <c r="J1710" s="36">
        <f>YEAR(RESER3[[#This Row],[DATA]])</f>
        <v>1900</v>
      </c>
      <c r="K1710" s="36">
        <f>MONTH(RESER3[[#This Row],[DATA]])</f>
        <v>1</v>
      </c>
      <c r="L1710" s="36">
        <f>DAY(RESER3[[#This Row],[DATA]])</f>
        <v>0</v>
      </c>
    </row>
    <row r="1711" spans="2:12" x14ac:dyDescent="0.25">
      <c r="B1711" s="129"/>
      <c r="C1711" s="28"/>
      <c r="D1711" s="36"/>
      <c r="E1711" s="36"/>
      <c r="F1711" s="36"/>
      <c r="G1711" s="36"/>
      <c r="H1711" s="36"/>
      <c r="I1711" s="36"/>
      <c r="J1711" s="36">
        <f>YEAR(RESER3[[#This Row],[DATA]])</f>
        <v>1900</v>
      </c>
      <c r="K1711" s="36">
        <f>MONTH(RESER3[[#This Row],[DATA]])</f>
        <v>1</v>
      </c>
      <c r="L1711" s="36">
        <f>DAY(RESER3[[#This Row],[DATA]])</f>
        <v>0</v>
      </c>
    </row>
    <row r="1712" spans="2:12" x14ac:dyDescent="0.25">
      <c r="B1712" s="129"/>
      <c r="C1712" s="28"/>
      <c r="D1712" s="36"/>
      <c r="E1712" s="36"/>
      <c r="F1712" s="36"/>
      <c r="G1712" s="36"/>
      <c r="H1712" s="36"/>
      <c r="I1712" s="36"/>
      <c r="J1712" s="36">
        <f>YEAR(RESER3[[#This Row],[DATA]])</f>
        <v>1900</v>
      </c>
      <c r="K1712" s="36">
        <f>MONTH(RESER3[[#This Row],[DATA]])</f>
        <v>1</v>
      </c>
      <c r="L1712" s="36">
        <f>DAY(RESER3[[#This Row],[DATA]])</f>
        <v>0</v>
      </c>
    </row>
    <row r="1713" spans="2:12" x14ac:dyDescent="0.25">
      <c r="B1713" s="129"/>
      <c r="C1713" s="28"/>
      <c r="D1713" s="36"/>
      <c r="E1713" s="36"/>
      <c r="F1713" s="36"/>
      <c r="G1713" s="36"/>
      <c r="H1713" s="36"/>
      <c r="I1713" s="36"/>
      <c r="J1713" s="36">
        <f>YEAR(RESER3[[#This Row],[DATA]])</f>
        <v>1900</v>
      </c>
      <c r="K1713" s="36">
        <f>MONTH(RESER3[[#This Row],[DATA]])</f>
        <v>1</v>
      </c>
      <c r="L1713" s="36">
        <f>DAY(RESER3[[#This Row],[DATA]])</f>
        <v>0</v>
      </c>
    </row>
    <row r="1714" spans="2:12" x14ac:dyDescent="0.25">
      <c r="B1714" s="129"/>
      <c r="C1714" s="28"/>
      <c r="D1714" s="36"/>
      <c r="E1714" s="36"/>
      <c r="F1714" s="36"/>
      <c r="G1714" s="36"/>
      <c r="H1714" s="36"/>
      <c r="I1714" s="36"/>
      <c r="J1714" s="36">
        <f>YEAR(RESER3[[#This Row],[DATA]])</f>
        <v>1900</v>
      </c>
      <c r="K1714" s="36">
        <f>MONTH(RESER3[[#This Row],[DATA]])</f>
        <v>1</v>
      </c>
      <c r="L1714" s="36">
        <f>DAY(RESER3[[#This Row],[DATA]])</f>
        <v>0</v>
      </c>
    </row>
    <row r="1715" spans="2:12" x14ac:dyDescent="0.25">
      <c r="B1715" s="129"/>
      <c r="C1715" s="28"/>
      <c r="D1715" s="36"/>
      <c r="E1715" s="36"/>
      <c r="F1715" s="36"/>
      <c r="G1715" s="36"/>
      <c r="H1715" s="36"/>
      <c r="I1715" s="36"/>
      <c r="J1715" s="36">
        <f>YEAR(RESER3[[#This Row],[DATA]])</f>
        <v>1900</v>
      </c>
      <c r="K1715" s="36">
        <f>MONTH(RESER3[[#This Row],[DATA]])</f>
        <v>1</v>
      </c>
      <c r="L1715" s="36">
        <f>DAY(RESER3[[#This Row],[DATA]])</f>
        <v>0</v>
      </c>
    </row>
    <row r="1716" spans="2:12" x14ac:dyDescent="0.25">
      <c r="B1716" s="129"/>
      <c r="C1716" s="28"/>
      <c r="D1716" s="36"/>
      <c r="E1716" s="36"/>
      <c r="F1716" s="36"/>
      <c r="G1716" s="36"/>
      <c r="H1716" s="36"/>
      <c r="I1716" s="36"/>
      <c r="J1716" s="36">
        <f>YEAR(RESER3[[#This Row],[DATA]])</f>
        <v>1900</v>
      </c>
      <c r="K1716" s="36">
        <f>MONTH(RESER3[[#This Row],[DATA]])</f>
        <v>1</v>
      </c>
      <c r="L1716" s="36">
        <f>DAY(RESER3[[#This Row],[DATA]])</f>
        <v>0</v>
      </c>
    </row>
    <row r="1717" spans="2:12" x14ac:dyDescent="0.25">
      <c r="B1717" s="129"/>
      <c r="C1717" s="28"/>
      <c r="D1717" s="36"/>
      <c r="E1717" s="36"/>
      <c r="F1717" s="36"/>
      <c r="G1717" s="36"/>
      <c r="H1717" s="36"/>
      <c r="I1717" s="36"/>
      <c r="J1717" s="36">
        <f>YEAR(RESER3[[#This Row],[DATA]])</f>
        <v>1900</v>
      </c>
      <c r="K1717" s="36">
        <f>MONTH(RESER3[[#This Row],[DATA]])</f>
        <v>1</v>
      </c>
      <c r="L1717" s="36">
        <f>DAY(RESER3[[#This Row],[DATA]])</f>
        <v>0</v>
      </c>
    </row>
    <row r="1718" spans="2:12" x14ac:dyDescent="0.25">
      <c r="B1718" s="129"/>
      <c r="C1718" s="28"/>
      <c r="D1718" s="36"/>
      <c r="E1718" s="36"/>
      <c r="F1718" s="36"/>
      <c r="G1718" s="36"/>
      <c r="H1718" s="36"/>
      <c r="I1718" s="36"/>
      <c r="J1718" s="36">
        <f>YEAR(RESER3[[#This Row],[DATA]])</f>
        <v>1900</v>
      </c>
      <c r="K1718" s="36">
        <f>MONTH(RESER3[[#This Row],[DATA]])</f>
        <v>1</v>
      </c>
      <c r="L1718" s="36">
        <f>DAY(RESER3[[#This Row],[DATA]])</f>
        <v>0</v>
      </c>
    </row>
    <row r="1719" spans="2:12" x14ac:dyDescent="0.25">
      <c r="B1719" s="129"/>
      <c r="C1719" s="28"/>
      <c r="D1719" s="36"/>
      <c r="E1719" s="36"/>
      <c r="F1719" s="36"/>
      <c r="G1719" s="36"/>
      <c r="H1719" s="36"/>
      <c r="I1719" s="36"/>
      <c r="J1719" s="36">
        <f>YEAR(RESER3[[#This Row],[DATA]])</f>
        <v>1900</v>
      </c>
      <c r="K1719" s="36">
        <f>MONTH(RESER3[[#This Row],[DATA]])</f>
        <v>1</v>
      </c>
      <c r="L1719" s="36">
        <f>DAY(RESER3[[#This Row],[DATA]])</f>
        <v>0</v>
      </c>
    </row>
    <row r="1720" spans="2:12" x14ac:dyDescent="0.25">
      <c r="B1720" s="129"/>
      <c r="C1720" s="28"/>
      <c r="D1720" s="36"/>
      <c r="E1720" s="36"/>
      <c r="F1720" s="36"/>
      <c r="G1720" s="36"/>
      <c r="H1720" s="36"/>
      <c r="I1720" s="36"/>
      <c r="J1720" s="36">
        <f>YEAR(RESER3[[#This Row],[DATA]])</f>
        <v>1900</v>
      </c>
      <c r="K1720" s="36">
        <f>MONTH(RESER3[[#This Row],[DATA]])</f>
        <v>1</v>
      </c>
      <c r="L1720" s="36">
        <f>DAY(RESER3[[#This Row],[DATA]])</f>
        <v>0</v>
      </c>
    </row>
    <row r="1721" spans="2:12" x14ac:dyDescent="0.25">
      <c r="B1721" s="129"/>
      <c r="C1721" s="28"/>
      <c r="D1721" s="36"/>
      <c r="E1721" s="36"/>
      <c r="F1721" s="36"/>
      <c r="G1721" s="36"/>
      <c r="H1721" s="36"/>
      <c r="I1721" s="36"/>
      <c r="J1721" s="36">
        <f>YEAR(RESER3[[#This Row],[DATA]])</f>
        <v>1900</v>
      </c>
      <c r="K1721" s="36">
        <f>MONTH(RESER3[[#This Row],[DATA]])</f>
        <v>1</v>
      </c>
      <c r="L1721" s="36">
        <f>DAY(RESER3[[#This Row],[DATA]])</f>
        <v>0</v>
      </c>
    </row>
    <row r="1722" spans="2:12" x14ac:dyDescent="0.25">
      <c r="B1722" s="129"/>
      <c r="C1722" s="28"/>
      <c r="D1722" s="36"/>
      <c r="E1722" s="36"/>
      <c r="F1722" s="36"/>
      <c r="G1722" s="36"/>
      <c r="H1722" s="36"/>
      <c r="I1722" s="36"/>
      <c r="J1722" s="36">
        <f>YEAR(RESER3[[#This Row],[DATA]])</f>
        <v>1900</v>
      </c>
      <c r="K1722" s="36">
        <f>MONTH(RESER3[[#This Row],[DATA]])</f>
        <v>1</v>
      </c>
      <c r="L1722" s="36">
        <f>DAY(RESER3[[#This Row],[DATA]])</f>
        <v>0</v>
      </c>
    </row>
    <row r="1723" spans="2:12" x14ac:dyDescent="0.25">
      <c r="B1723" s="129"/>
      <c r="C1723" s="28"/>
      <c r="D1723" s="36"/>
      <c r="E1723" s="36"/>
      <c r="F1723" s="36"/>
      <c r="G1723" s="36"/>
      <c r="H1723" s="36"/>
      <c r="I1723" s="36"/>
      <c r="J1723" s="36">
        <f>YEAR(RESER3[[#This Row],[DATA]])</f>
        <v>1900</v>
      </c>
      <c r="K1723" s="36">
        <f>MONTH(RESER3[[#This Row],[DATA]])</f>
        <v>1</v>
      </c>
      <c r="L1723" s="36">
        <f>DAY(RESER3[[#This Row],[DATA]])</f>
        <v>0</v>
      </c>
    </row>
    <row r="1724" spans="2:12" x14ac:dyDescent="0.25">
      <c r="B1724" s="129"/>
      <c r="C1724" s="28"/>
      <c r="D1724" s="36"/>
      <c r="E1724" s="36"/>
      <c r="F1724" s="36"/>
      <c r="G1724" s="36"/>
      <c r="H1724" s="36"/>
      <c r="I1724" s="36"/>
      <c r="J1724" s="36">
        <f>YEAR(RESER3[[#This Row],[DATA]])</f>
        <v>1900</v>
      </c>
      <c r="K1724" s="36">
        <f t="shared" ref="K1724:K1778" si="28">MONTH(C1724)</f>
        <v>1</v>
      </c>
      <c r="L1724" s="36">
        <f>DAY(RESER3[[#This Row],[DATA]])</f>
        <v>0</v>
      </c>
    </row>
    <row r="1725" spans="2:12" x14ac:dyDescent="0.25">
      <c r="B1725" s="129"/>
      <c r="C1725" s="28"/>
      <c r="D1725" s="36"/>
      <c r="E1725" s="36"/>
      <c r="F1725" s="36"/>
      <c r="G1725" s="36"/>
      <c r="H1725" s="36"/>
      <c r="I1725" s="36"/>
      <c r="J1725" s="36">
        <f>YEAR(RESER3[[#This Row],[DATA]])</f>
        <v>1900</v>
      </c>
      <c r="K1725" s="36">
        <f t="shared" si="28"/>
        <v>1</v>
      </c>
      <c r="L1725" s="36">
        <f>DAY(RESER3[[#This Row],[DATA]])</f>
        <v>0</v>
      </c>
    </row>
    <row r="1726" spans="2:12" x14ac:dyDescent="0.25">
      <c r="B1726" s="129"/>
      <c r="C1726" s="28"/>
      <c r="D1726" s="36"/>
      <c r="E1726" s="36"/>
      <c r="F1726" s="36"/>
      <c r="G1726" s="36"/>
      <c r="H1726" s="36"/>
      <c r="I1726" s="36"/>
      <c r="J1726" s="36">
        <f>YEAR(RESER3[[#This Row],[DATA]])</f>
        <v>1900</v>
      </c>
      <c r="K1726" s="36">
        <f t="shared" si="28"/>
        <v>1</v>
      </c>
      <c r="L1726" s="36">
        <f>DAY(RESER3[[#This Row],[DATA]])</f>
        <v>0</v>
      </c>
    </row>
    <row r="1727" spans="2:12" x14ac:dyDescent="0.25">
      <c r="B1727" s="129"/>
      <c r="C1727" s="28"/>
      <c r="D1727" s="36"/>
      <c r="E1727" s="36"/>
      <c r="F1727" s="36"/>
      <c r="G1727" s="36"/>
      <c r="H1727" s="36"/>
      <c r="I1727" s="36"/>
      <c r="J1727" s="36">
        <f>YEAR(RESER3[[#This Row],[DATA]])</f>
        <v>1900</v>
      </c>
      <c r="K1727" s="36">
        <f t="shared" si="28"/>
        <v>1</v>
      </c>
      <c r="L1727" s="36">
        <f>DAY(RESER3[[#This Row],[DATA]])</f>
        <v>0</v>
      </c>
    </row>
    <row r="1728" spans="2:12" x14ac:dyDescent="0.25">
      <c r="B1728" s="129"/>
      <c r="C1728" s="28"/>
      <c r="D1728" s="36"/>
      <c r="E1728" s="36"/>
      <c r="F1728" s="36"/>
      <c r="G1728" s="36"/>
      <c r="H1728" s="36"/>
      <c r="I1728" s="36"/>
      <c r="J1728" s="36">
        <f>YEAR(RESER3[[#This Row],[DATA]])</f>
        <v>1900</v>
      </c>
      <c r="K1728" s="36">
        <f t="shared" si="28"/>
        <v>1</v>
      </c>
      <c r="L1728" s="36">
        <f>DAY(RESER3[[#This Row],[DATA]])</f>
        <v>0</v>
      </c>
    </row>
    <row r="1729" spans="2:12" x14ac:dyDescent="0.25">
      <c r="B1729" s="129"/>
      <c r="C1729" s="28"/>
      <c r="D1729" s="36"/>
      <c r="E1729" s="36"/>
      <c r="F1729" s="36"/>
      <c r="G1729" s="36"/>
      <c r="H1729" s="36"/>
      <c r="I1729" s="36"/>
      <c r="J1729" s="36">
        <f>YEAR(RESER3[[#This Row],[DATA]])</f>
        <v>1900</v>
      </c>
      <c r="K1729" s="36">
        <f t="shared" si="28"/>
        <v>1</v>
      </c>
      <c r="L1729" s="36">
        <f>DAY(RESER3[[#This Row],[DATA]])</f>
        <v>0</v>
      </c>
    </row>
    <row r="1730" spans="2:12" x14ac:dyDescent="0.25">
      <c r="B1730" s="129"/>
      <c r="C1730" s="28"/>
      <c r="D1730" s="36"/>
      <c r="E1730" s="36"/>
      <c r="F1730" s="36"/>
      <c r="G1730" s="36"/>
      <c r="H1730" s="36"/>
      <c r="I1730" s="36"/>
      <c r="J1730" s="36">
        <f>YEAR(RESER3[[#This Row],[DATA]])</f>
        <v>1900</v>
      </c>
      <c r="K1730" s="36">
        <f t="shared" si="28"/>
        <v>1</v>
      </c>
      <c r="L1730" s="36">
        <f>DAY(RESER3[[#This Row],[DATA]])</f>
        <v>0</v>
      </c>
    </row>
    <row r="1731" spans="2:12" x14ac:dyDescent="0.25">
      <c r="B1731" s="129"/>
      <c r="C1731" s="28"/>
      <c r="D1731" s="36"/>
      <c r="E1731" s="36"/>
      <c r="F1731" s="36"/>
      <c r="G1731" s="36"/>
      <c r="H1731" s="36"/>
      <c r="I1731" s="36"/>
      <c r="J1731" s="36">
        <f>YEAR(RESER3[[#This Row],[DATA]])</f>
        <v>1900</v>
      </c>
      <c r="K1731" s="36">
        <f t="shared" si="28"/>
        <v>1</v>
      </c>
      <c r="L1731" s="36">
        <f>DAY(RESER3[[#This Row],[DATA]])</f>
        <v>0</v>
      </c>
    </row>
    <row r="1732" spans="2:12" x14ac:dyDescent="0.25">
      <c r="B1732" s="129"/>
      <c r="C1732" s="28"/>
      <c r="D1732" s="36"/>
      <c r="E1732" s="36"/>
      <c r="F1732" s="36"/>
      <c r="G1732" s="36"/>
      <c r="H1732" s="36"/>
      <c r="I1732" s="36"/>
      <c r="J1732" s="36">
        <f>YEAR(RESER3[[#This Row],[DATA]])</f>
        <v>1900</v>
      </c>
      <c r="K1732" s="36">
        <f t="shared" si="28"/>
        <v>1</v>
      </c>
      <c r="L1732" s="36">
        <f>DAY(RESER3[[#This Row],[DATA]])</f>
        <v>0</v>
      </c>
    </row>
    <row r="1733" spans="2:12" x14ac:dyDescent="0.25">
      <c r="B1733" s="129"/>
      <c r="C1733" s="28"/>
      <c r="D1733" s="36"/>
      <c r="E1733" s="36"/>
      <c r="F1733" s="36"/>
      <c r="G1733" s="36"/>
      <c r="H1733" s="36"/>
      <c r="I1733" s="36"/>
      <c r="J1733" s="36">
        <f>YEAR(RESER3[[#This Row],[DATA]])</f>
        <v>1900</v>
      </c>
      <c r="K1733" s="36">
        <f t="shared" si="28"/>
        <v>1</v>
      </c>
      <c r="L1733" s="36">
        <f>DAY(RESER3[[#This Row],[DATA]])</f>
        <v>0</v>
      </c>
    </row>
    <row r="1734" spans="2:12" x14ac:dyDescent="0.25">
      <c r="B1734" s="129"/>
      <c r="C1734" s="28"/>
      <c r="D1734" s="36"/>
      <c r="E1734" s="36"/>
      <c r="F1734" s="36"/>
      <c r="G1734" s="36"/>
      <c r="H1734" s="36"/>
      <c r="I1734" s="36"/>
      <c r="J1734" s="36">
        <f>YEAR(RESER3[[#This Row],[DATA]])</f>
        <v>1900</v>
      </c>
      <c r="K1734" s="36">
        <f t="shared" si="28"/>
        <v>1</v>
      </c>
      <c r="L1734" s="36">
        <f>DAY(RESER3[[#This Row],[DATA]])</f>
        <v>0</v>
      </c>
    </row>
    <row r="1735" spans="2:12" x14ac:dyDescent="0.25">
      <c r="B1735" s="129"/>
      <c r="C1735" s="28"/>
      <c r="D1735" s="36"/>
      <c r="E1735" s="36"/>
      <c r="F1735" s="36"/>
      <c r="G1735" s="36"/>
      <c r="H1735" s="36"/>
      <c r="I1735" s="36"/>
      <c r="J1735" s="36">
        <f>YEAR(RESER3[[#This Row],[DATA]])</f>
        <v>1900</v>
      </c>
      <c r="K1735" s="36">
        <f t="shared" si="28"/>
        <v>1</v>
      </c>
      <c r="L1735" s="36">
        <f>DAY(RESER3[[#This Row],[DATA]])</f>
        <v>0</v>
      </c>
    </row>
    <row r="1736" spans="2:12" x14ac:dyDescent="0.25">
      <c r="B1736" s="129"/>
      <c r="C1736" s="28"/>
      <c r="D1736" s="36"/>
      <c r="E1736" s="36"/>
      <c r="F1736" s="36"/>
      <c r="G1736" s="36"/>
      <c r="H1736" s="36"/>
      <c r="I1736" s="36"/>
      <c r="J1736" s="36">
        <f>YEAR(RESER3[[#This Row],[DATA]])</f>
        <v>1900</v>
      </c>
      <c r="K1736" s="36">
        <f t="shared" si="28"/>
        <v>1</v>
      </c>
      <c r="L1736" s="36">
        <f>DAY(RESER3[[#This Row],[DATA]])</f>
        <v>0</v>
      </c>
    </row>
    <row r="1737" spans="2:12" x14ac:dyDescent="0.25">
      <c r="B1737" s="129"/>
      <c r="C1737" s="28"/>
      <c r="D1737" s="36"/>
      <c r="E1737" s="36"/>
      <c r="F1737" s="36"/>
      <c r="G1737" s="36"/>
      <c r="H1737" s="36"/>
      <c r="I1737" s="36"/>
      <c r="J1737" s="36">
        <f>YEAR(RESER3[[#This Row],[DATA]])</f>
        <v>1900</v>
      </c>
      <c r="K1737" s="36">
        <f t="shared" si="28"/>
        <v>1</v>
      </c>
      <c r="L1737" s="36">
        <f>DAY(RESER3[[#This Row],[DATA]])</f>
        <v>0</v>
      </c>
    </row>
    <row r="1738" spans="2:12" x14ac:dyDescent="0.25">
      <c r="B1738" s="129"/>
      <c r="C1738" s="28"/>
      <c r="D1738" s="36"/>
      <c r="E1738" s="36"/>
      <c r="F1738" s="36"/>
      <c r="G1738" s="36"/>
      <c r="H1738" s="36"/>
      <c r="I1738" s="36"/>
      <c r="J1738" s="36">
        <f>YEAR(RESER3[[#This Row],[DATA]])</f>
        <v>1900</v>
      </c>
      <c r="K1738" s="36">
        <f t="shared" si="28"/>
        <v>1</v>
      </c>
      <c r="L1738" s="36">
        <f>DAY(RESER3[[#This Row],[DATA]])</f>
        <v>0</v>
      </c>
    </row>
    <row r="1739" spans="2:12" x14ac:dyDescent="0.25">
      <c r="B1739" s="129"/>
      <c r="C1739" s="28"/>
      <c r="D1739" s="36"/>
      <c r="E1739" s="36"/>
      <c r="F1739" s="36"/>
      <c r="G1739" s="36"/>
      <c r="H1739" s="36"/>
      <c r="I1739" s="36"/>
      <c r="J1739" s="36">
        <f>YEAR(RESER3[[#This Row],[DATA]])</f>
        <v>1900</v>
      </c>
      <c r="K1739" s="36">
        <f t="shared" si="28"/>
        <v>1</v>
      </c>
      <c r="L1739" s="36">
        <f>DAY(RESER3[[#This Row],[DATA]])</f>
        <v>0</v>
      </c>
    </row>
    <row r="1740" spans="2:12" x14ac:dyDescent="0.25">
      <c r="B1740" s="129"/>
      <c r="C1740" s="28"/>
      <c r="D1740" s="36"/>
      <c r="E1740" s="36"/>
      <c r="F1740" s="36"/>
      <c r="G1740" s="36"/>
      <c r="H1740" s="36"/>
      <c r="I1740" s="36"/>
      <c r="J1740" s="36">
        <f>YEAR(RESER3[[#This Row],[DATA]])</f>
        <v>1900</v>
      </c>
      <c r="K1740" s="36">
        <f t="shared" si="28"/>
        <v>1</v>
      </c>
      <c r="L1740" s="36">
        <f>DAY(RESER3[[#This Row],[DATA]])</f>
        <v>0</v>
      </c>
    </row>
    <row r="1741" spans="2:12" x14ac:dyDescent="0.25">
      <c r="B1741" s="129"/>
      <c r="C1741" s="28"/>
      <c r="D1741" s="36"/>
      <c r="E1741" s="36"/>
      <c r="F1741" s="36"/>
      <c r="G1741" s="36"/>
      <c r="H1741" s="36"/>
      <c r="I1741" s="36"/>
      <c r="J1741" s="36">
        <f>YEAR(RESER3[[#This Row],[DATA]])</f>
        <v>1900</v>
      </c>
      <c r="K1741" s="36">
        <f t="shared" si="28"/>
        <v>1</v>
      </c>
      <c r="L1741" s="36">
        <f>DAY(RESER3[[#This Row],[DATA]])</f>
        <v>0</v>
      </c>
    </row>
    <row r="1742" spans="2:12" x14ac:dyDescent="0.25">
      <c r="B1742" s="129"/>
      <c r="C1742" s="28"/>
      <c r="D1742" s="36"/>
      <c r="E1742" s="36"/>
      <c r="F1742" s="36"/>
      <c r="G1742" s="36"/>
      <c r="H1742" s="36"/>
      <c r="I1742" s="36"/>
      <c r="J1742" s="36">
        <f>YEAR(RESER3[[#This Row],[DATA]])</f>
        <v>1900</v>
      </c>
      <c r="K1742" s="36">
        <f t="shared" si="28"/>
        <v>1</v>
      </c>
      <c r="L1742" s="36">
        <f>DAY(RESER3[[#This Row],[DATA]])</f>
        <v>0</v>
      </c>
    </row>
    <row r="1743" spans="2:12" x14ac:dyDescent="0.25">
      <c r="B1743" s="129"/>
      <c r="C1743" s="28"/>
      <c r="D1743" s="36"/>
      <c r="E1743" s="36"/>
      <c r="F1743" s="36"/>
      <c r="G1743" s="36"/>
      <c r="H1743" s="36"/>
      <c r="I1743" s="36"/>
      <c r="J1743" s="36">
        <f>YEAR(RESER3[[#This Row],[DATA]])</f>
        <v>1900</v>
      </c>
      <c r="K1743" s="36">
        <f t="shared" si="28"/>
        <v>1</v>
      </c>
      <c r="L1743" s="36">
        <f>DAY(RESER3[[#This Row],[DATA]])</f>
        <v>0</v>
      </c>
    </row>
    <row r="1744" spans="2:12" x14ac:dyDescent="0.25">
      <c r="B1744" s="129"/>
      <c r="C1744" s="28"/>
      <c r="D1744" s="36"/>
      <c r="E1744" s="36"/>
      <c r="F1744" s="36"/>
      <c r="G1744" s="36"/>
      <c r="H1744" s="36"/>
      <c r="I1744" s="36"/>
      <c r="J1744" s="36">
        <f>YEAR(RESER3[[#This Row],[DATA]])</f>
        <v>1900</v>
      </c>
      <c r="K1744" s="36">
        <f t="shared" si="28"/>
        <v>1</v>
      </c>
      <c r="L1744" s="36">
        <f>DAY(RESER3[[#This Row],[DATA]])</f>
        <v>0</v>
      </c>
    </row>
    <row r="1745" spans="2:12" x14ac:dyDescent="0.25">
      <c r="B1745" s="129"/>
      <c r="C1745" s="28"/>
      <c r="D1745" s="36"/>
      <c r="E1745" s="36"/>
      <c r="F1745" s="36"/>
      <c r="G1745" s="36"/>
      <c r="H1745" s="36"/>
      <c r="I1745" s="36"/>
      <c r="J1745" s="36">
        <f>YEAR(RESER3[[#This Row],[DATA]])</f>
        <v>1900</v>
      </c>
      <c r="K1745" s="36">
        <f t="shared" si="28"/>
        <v>1</v>
      </c>
      <c r="L1745" s="36">
        <f>DAY(RESER3[[#This Row],[DATA]])</f>
        <v>0</v>
      </c>
    </row>
    <row r="1746" spans="2:12" x14ac:dyDescent="0.25">
      <c r="B1746" s="129"/>
      <c r="C1746" s="28"/>
      <c r="D1746" s="36"/>
      <c r="E1746" s="36"/>
      <c r="F1746" s="36"/>
      <c r="G1746" s="36"/>
      <c r="H1746" s="36"/>
      <c r="I1746" s="36"/>
      <c r="J1746" s="36">
        <f>YEAR(RESER3[[#This Row],[DATA]])</f>
        <v>1900</v>
      </c>
      <c r="K1746" s="36">
        <f t="shared" si="28"/>
        <v>1</v>
      </c>
      <c r="L1746" s="36">
        <f>DAY(RESER3[[#This Row],[DATA]])</f>
        <v>0</v>
      </c>
    </row>
    <row r="1747" spans="2:12" x14ac:dyDescent="0.25">
      <c r="B1747" s="129"/>
      <c r="C1747" s="28"/>
      <c r="D1747" s="36"/>
      <c r="E1747" s="36"/>
      <c r="F1747" s="36"/>
      <c r="G1747" s="36"/>
      <c r="H1747" s="36"/>
      <c r="I1747" s="36"/>
      <c r="J1747" s="36">
        <f>YEAR(RESER3[[#This Row],[DATA]])</f>
        <v>1900</v>
      </c>
      <c r="K1747" s="36">
        <f t="shared" si="28"/>
        <v>1</v>
      </c>
      <c r="L1747" s="36">
        <f>DAY(RESER3[[#This Row],[DATA]])</f>
        <v>0</v>
      </c>
    </row>
    <row r="1748" spans="2:12" x14ac:dyDescent="0.25">
      <c r="B1748" s="129"/>
      <c r="C1748" s="28"/>
      <c r="D1748" s="36"/>
      <c r="E1748" s="36"/>
      <c r="F1748" s="36"/>
      <c r="G1748" s="36"/>
      <c r="H1748" s="36"/>
      <c r="I1748" s="36"/>
      <c r="J1748" s="36">
        <f>YEAR(RESER3[[#This Row],[DATA]])</f>
        <v>1900</v>
      </c>
      <c r="K1748" s="36">
        <f t="shared" si="28"/>
        <v>1</v>
      </c>
      <c r="L1748" s="36">
        <f>DAY(RESER3[[#This Row],[DATA]])</f>
        <v>0</v>
      </c>
    </row>
    <row r="1749" spans="2:12" x14ac:dyDescent="0.25">
      <c r="B1749" s="129"/>
      <c r="C1749" s="28"/>
      <c r="D1749" s="36"/>
      <c r="E1749" s="36"/>
      <c r="F1749" s="36"/>
      <c r="G1749" s="36"/>
      <c r="H1749" s="36"/>
      <c r="I1749" s="36"/>
      <c r="J1749" s="36">
        <f>YEAR(RESER3[[#This Row],[DATA]])</f>
        <v>1900</v>
      </c>
      <c r="K1749" s="36">
        <f t="shared" si="28"/>
        <v>1</v>
      </c>
      <c r="L1749" s="36">
        <f>DAY(RESER3[[#This Row],[DATA]])</f>
        <v>0</v>
      </c>
    </row>
    <row r="1750" spans="2:12" x14ac:dyDescent="0.25">
      <c r="B1750" s="129"/>
      <c r="C1750" s="28"/>
      <c r="D1750" s="36"/>
      <c r="E1750" s="36"/>
      <c r="F1750" s="36"/>
      <c r="G1750" s="36"/>
      <c r="H1750" s="36"/>
      <c r="I1750" s="36"/>
      <c r="J1750" s="36">
        <f>YEAR(RESER3[[#This Row],[DATA]])</f>
        <v>1900</v>
      </c>
      <c r="K1750" s="36">
        <f t="shared" si="28"/>
        <v>1</v>
      </c>
      <c r="L1750" s="36">
        <f>DAY(RESER3[[#This Row],[DATA]])</f>
        <v>0</v>
      </c>
    </row>
    <row r="1751" spans="2:12" x14ac:dyDescent="0.25">
      <c r="B1751" s="129"/>
      <c r="C1751" s="28"/>
      <c r="D1751" s="36"/>
      <c r="E1751" s="36"/>
      <c r="F1751" s="36"/>
      <c r="G1751" s="36"/>
      <c r="H1751" s="36"/>
      <c r="I1751" s="36"/>
      <c r="J1751" s="36">
        <f>YEAR(RESER3[[#This Row],[DATA]])</f>
        <v>1900</v>
      </c>
      <c r="K1751" s="36">
        <f t="shared" si="28"/>
        <v>1</v>
      </c>
      <c r="L1751" s="36">
        <f>DAY(RESER3[[#This Row],[DATA]])</f>
        <v>0</v>
      </c>
    </row>
    <row r="1752" spans="2:12" x14ac:dyDescent="0.25">
      <c r="B1752" s="129"/>
      <c r="C1752" s="28"/>
      <c r="D1752" s="36"/>
      <c r="E1752" s="36"/>
      <c r="F1752" s="36"/>
      <c r="G1752" s="36"/>
      <c r="H1752" s="36"/>
      <c r="I1752" s="36"/>
      <c r="J1752" s="36">
        <f>YEAR(RESER3[[#This Row],[DATA]])</f>
        <v>1900</v>
      </c>
      <c r="K1752" s="36">
        <f t="shared" si="28"/>
        <v>1</v>
      </c>
      <c r="L1752" s="36">
        <f>DAY(RESER3[[#This Row],[DATA]])</f>
        <v>0</v>
      </c>
    </row>
    <row r="1753" spans="2:12" x14ac:dyDescent="0.25">
      <c r="B1753" s="129"/>
      <c r="C1753" s="28"/>
      <c r="D1753" s="36"/>
      <c r="E1753" s="36"/>
      <c r="F1753" s="36"/>
      <c r="G1753" s="36"/>
      <c r="H1753" s="36"/>
      <c r="I1753" s="36"/>
      <c r="J1753" s="36">
        <f>YEAR(RESER3[[#This Row],[DATA]])</f>
        <v>1900</v>
      </c>
      <c r="K1753" s="36">
        <f t="shared" si="28"/>
        <v>1</v>
      </c>
      <c r="L1753" s="36">
        <f>DAY(RESER3[[#This Row],[DATA]])</f>
        <v>0</v>
      </c>
    </row>
    <row r="1754" spans="2:12" x14ac:dyDescent="0.25">
      <c r="B1754" s="129"/>
      <c r="C1754" s="28"/>
      <c r="D1754" s="36"/>
      <c r="E1754" s="36"/>
      <c r="F1754" s="36"/>
      <c r="G1754" s="36"/>
      <c r="H1754" s="36"/>
      <c r="I1754" s="36"/>
      <c r="J1754" s="36">
        <f>YEAR(RESER3[[#This Row],[DATA]])</f>
        <v>1900</v>
      </c>
      <c r="K1754" s="36">
        <f t="shared" si="28"/>
        <v>1</v>
      </c>
      <c r="L1754" s="36">
        <f>DAY(RESER3[[#This Row],[DATA]])</f>
        <v>0</v>
      </c>
    </row>
    <row r="1755" spans="2:12" x14ac:dyDescent="0.25">
      <c r="B1755" s="129"/>
      <c r="C1755" s="28"/>
      <c r="D1755" s="36"/>
      <c r="E1755" s="36"/>
      <c r="F1755" s="36"/>
      <c r="G1755" s="36"/>
      <c r="H1755" s="36"/>
      <c r="I1755" s="36"/>
      <c r="J1755" s="36">
        <f>YEAR(RESER3[[#This Row],[DATA]])</f>
        <v>1900</v>
      </c>
      <c r="K1755" s="36">
        <f t="shared" si="28"/>
        <v>1</v>
      </c>
      <c r="L1755" s="36">
        <f>DAY(RESER3[[#This Row],[DATA]])</f>
        <v>0</v>
      </c>
    </row>
    <row r="1756" spans="2:12" x14ac:dyDescent="0.25">
      <c r="B1756" s="129"/>
      <c r="C1756" s="28"/>
      <c r="D1756" s="36"/>
      <c r="E1756" s="36"/>
      <c r="F1756" s="36"/>
      <c r="G1756" s="36"/>
      <c r="H1756" s="36"/>
      <c r="I1756" s="36"/>
      <c r="J1756" s="36">
        <f>YEAR(RESER3[[#This Row],[DATA]])</f>
        <v>1900</v>
      </c>
      <c r="K1756" s="36">
        <f>MONTH(C1756)</f>
        <v>1</v>
      </c>
      <c r="L1756" s="36">
        <f>DAY(RESER3[[#This Row],[DATA]])</f>
        <v>0</v>
      </c>
    </row>
    <row r="1757" spans="2:12" x14ac:dyDescent="0.25">
      <c r="B1757" s="129"/>
      <c r="C1757" s="28"/>
      <c r="D1757" s="36"/>
      <c r="E1757" s="36"/>
      <c r="F1757" s="36"/>
      <c r="G1757" s="36"/>
      <c r="H1757" s="36"/>
      <c r="I1757" s="36"/>
      <c r="J1757" s="36">
        <f>YEAR(RESER3[[#This Row],[DATA]])</f>
        <v>1900</v>
      </c>
      <c r="K1757" s="36">
        <f>MONTH(C1757)</f>
        <v>1</v>
      </c>
      <c r="L1757" s="36">
        <f>DAY(RESER3[[#This Row],[DATA]])</f>
        <v>0</v>
      </c>
    </row>
    <row r="1758" spans="2:12" x14ac:dyDescent="0.25">
      <c r="B1758" s="129"/>
      <c r="C1758" s="28"/>
      <c r="D1758" s="36"/>
      <c r="E1758" s="36"/>
      <c r="F1758" s="36"/>
      <c r="G1758" s="36"/>
      <c r="H1758" s="36"/>
      <c r="I1758" s="36"/>
      <c r="J1758" s="36">
        <f>YEAR(RESER3[[#This Row],[DATA]])</f>
        <v>1900</v>
      </c>
      <c r="K1758" s="36">
        <f t="shared" si="28"/>
        <v>1</v>
      </c>
      <c r="L1758" s="36">
        <f>DAY(RESER3[[#This Row],[DATA]])</f>
        <v>0</v>
      </c>
    </row>
    <row r="1759" spans="2:12" x14ac:dyDescent="0.25">
      <c r="B1759" s="129"/>
      <c r="C1759" s="28"/>
      <c r="D1759" s="36"/>
      <c r="E1759" s="36"/>
      <c r="F1759" s="36"/>
      <c r="G1759" s="36"/>
      <c r="H1759" s="36"/>
      <c r="I1759" s="36"/>
      <c r="J1759" s="36">
        <f>YEAR(RESER3[[#This Row],[DATA]])</f>
        <v>1900</v>
      </c>
      <c r="K1759" s="36">
        <f>MONTH(C1759)</f>
        <v>1</v>
      </c>
      <c r="L1759" s="36">
        <f>DAY(RESER3[[#This Row],[DATA]])</f>
        <v>0</v>
      </c>
    </row>
    <row r="1760" spans="2:12" x14ac:dyDescent="0.25">
      <c r="B1760" s="129"/>
      <c r="C1760" s="28"/>
      <c r="D1760" s="36"/>
      <c r="E1760" s="36"/>
      <c r="F1760" s="36"/>
      <c r="G1760" s="36"/>
      <c r="H1760" s="36"/>
      <c r="I1760" s="36"/>
      <c r="J1760" s="36">
        <f>YEAR(RESER3[[#This Row],[DATA]])</f>
        <v>1900</v>
      </c>
      <c r="K1760" s="36">
        <f>MONTH(C1760)</f>
        <v>1</v>
      </c>
      <c r="L1760" s="36">
        <f>DAY(RESER3[[#This Row],[DATA]])</f>
        <v>0</v>
      </c>
    </row>
    <row r="1761" spans="2:12" x14ac:dyDescent="0.25">
      <c r="B1761" s="129"/>
      <c r="C1761" s="28"/>
      <c r="D1761" s="36"/>
      <c r="E1761" s="36"/>
      <c r="F1761" s="36"/>
      <c r="G1761" s="36"/>
      <c r="H1761" s="36"/>
      <c r="I1761" s="36"/>
      <c r="J1761" s="36">
        <f>YEAR(RESER3[[#This Row],[DATA]])</f>
        <v>1900</v>
      </c>
      <c r="K1761" s="36">
        <f t="shared" si="28"/>
        <v>1</v>
      </c>
      <c r="L1761" s="36">
        <f>DAY(RESER3[[#This Row],[DATA]])</f>
        <v>0</v>
      </c>
    </row>
    <row r="1762" spans="2:12" x14ac:dyDescent="0.25">
      <c r="B1762" s="129"/>
      <c r="C1762" s="28"/>
      <c r="D1762" s="36"/>
      <c r="E1762" s="36"/>
      <c r="F1762" s="36"/>
      <c r="G1762" s="36"/>
      <c r="H1762" s="36"/>
      <c r="I1762" s="36"/>
      <c r="J1762" s="36">
        <f>YEAR(RESER3[[#This Row],[DATA]])</f>
        <v>1900</v>
      </c>
      <c r="K1762" s="36">
        <f t="shared" si="28"/>
        <v>1</v>
      </c>
      <c r="L1762" s="36">
        <f>DAY(RESER3[[#This Row],[DATA]])</f>
        <v>0</v>
      </c>
    </row>
    <row r="1763" spans="2:12" x14ac:dyDescent="0.25">
      <c r="B1763" s="129"/>
      <c r="C1763" s="28"/>
      <c r="D1763" s="36"/>
      <c r="E1763" s="36"/>
      <c r="F1763" s="36"/>
      <c r="G1763" s="36"/>
      <c r="H1763" s="36"/>
      <c r="I1763" s="36"/>
      <c r="J1763" s="36">
        <f>YEAR(RESER3[[#This Row],[DATA]])</f>
        <v>1900</v>
      </c>
      <c r="K1763" s="36">
        <f t="shared" si="28"/>
        <v>1</v>
      </c>
      <c r="L1763" s="36">
        <f>DAY(RESER3[[#This Row],[DATA]])</f>
        <v>0</v>
      </c>
    </row>
    <row r="1764" spans="2:12" x14ac:dyDescent="0.25">
      <c r="B1764" s="129"/>
      <c r="C1764" s="28"/>
      <c r="D1764" s="36"/>
      <c r="E1764" s="36"/>
      <c r="F1764" s="36"/>
      <c r="G1764" s="36"/>
      <c r="H1764" s="36"/>
      <c r="I1764" s="36"/>
      <c r="J1764" s="36">
        <f>YEAR(RESER3[[#This Row],[DATA]])</f>
        <v>1900</v>
      </c>
      <c r="K1764" s="36">
        <f t="shared" si="28"/>
        <v>1</v>
      </c>
      <c r="L1764" s="36">
        <f>DAY(RESER3[[#This Row],[DATA]])</f>
        <v>0</v>
      </c>
    </row>
    <row r="1765" spans="2:12" x14ac:dyDescent="0.25">
      <c r="B1765" s="129"/>
      <c r="C1765" s="28"/>
      <c r="D1765" s="36"/>
      <c r="E1765" s="36"/>
      <c r="F1765" s="36"/>
      <c r="G1765" s="36"/>
      <c r="H1765" s="36"/>
      <c r="I1765" s="36"/>
      <c r="J1765" s="36">
        <f>YEAR(RESER3[[#This Row],[DATA]])</f>
        <v>1900</v>
      </c>
      <c r="K1765" s="36">
        <f t="shared" si="28"/>
        <v>1</v>
      </c>
      <c r="L1765" s="36">
        <f>DAY(RESER3[[#This Row],[DATA]])</f>
        <v>0</v>
      </c>
    </row>
    <row r="1766" spans="2:12" x14ac:dyDescent="0.25">
      <c r="B1766" s="129"/>
      <c r="C1766" s="28"/>
      <c r="D1766" s="36"/>
      <c r="E1766" s="36"/>
      <c r="F1766" s="36"/>
      <c r="G1766" s="36"/>
      <c r="H1766" s="36"/>
      <c r="I1766" s="36"/>
      <c r="J1766" s="36">
        <f>YEAR(RESER3[[#This Row],[DATA]])</f>
        <v>1900</v>
      </c>
      <c r="K1766" s="36">
        <f t="shared" si="28"/>
        <v>1</v>
      </c>
      <c r="L1766" s="36">
        <f>DAY(RESER3[[#This Row],[DATA]])</f>
        <v>0</v>
      </c>
    </row>
    <row r="1767" spans="2:12" x14ac:dyDescent="0.25">
      <c r="B1767" s="129"/>
      <c r="C1767" s="28"/>
      <c r="D1767" s="36"/>
      <c r="E1767" s="36"/>
      <c r="F1767" s="36"/>
      <c r="G1767" s="36"/>
      <c r="H1767" s="36"/>
      <c r="I1767" s="36"/>
      <c r="J1767" s="36">
        <f>YEAR(RESER3[[#This Row],[DATA]])</f>
        <v>1900</v>
      </c>
      <c r="K1767" s="36">
        <f>MONTH(C1767)</f>
        <v>1</v>
      </c>
      <c r="L1767" s="36">
        <f>DAY(RESER3[[#This Row],[DATA]])</f>
        <v>0</v>
      </c>
    </row>
    <row r="1768" spans="2:12" x14ac:dyDescent="0.25">
      <c r="B1768" s="129"/>
      <c r="C1768" s="28"/>
      <c r="D1768" s="36"/>
      <c r="E1768" s="36"/>
      <c r="F1768" s="36"/>
      <c r="G1768" s="36"/>
      <c r="H1768" s="36"/>
      <c r="I1768" s="36"/>
      <c r="J1768" s="36">
        <f>YEAR(RESER3[[#This Row],[DATA]])</f>
        <v>1900</v>
      </c>
      <c r="K1768" s="36">
        <f>MONTH(C1768)</f>
        <v>1</v>
      </c>
      <c r="L1768" s="36">
        <f>DAY(RESER3[[#This Row],[DATA]])</f>
        <v>0</v>
      </c>
    </row>
    <row r="1769" spans="2:12" x14ac:dyDescent="0.25">
      <c r="B1769" s="129"/>
      <c r="C1769" s="28"/>
      <c r="D1769" s="36"/>
      <c r="E1769" s="36"/>
      <c r="F1769" s="36"/>
      <c r="G1769" s="36"/>
      <c r="H1769" s="36"/>
      <c r="I1769" s="36"/>
      <c r="J1769" s="36">
        <f>YEAR(RESER3[[#This Row],[DATA]])</f>
        <v>1900</v>
      </c>
      <c r="K1769" s="36">
        <f>MONTH(C1769)</f>
        <v>1</v>
      </c>
      <c r="L1769" s="36">
        <f>DAY(RESER3[[#This Row],[DATA]])</f>
        <v>0</v>
      </c>
    </row>
    <row r="1770" spans="2:12" x14ac:dyDescent="0.25">
      <c r="B1770" s="129"/>
      <c r="C1770" s="28"/>
      <c r="D1770" s="36"/>
      <c r="E1770" s="36"/>
      <c r="F1770" s="36"/>
      <c r="G1770" s="36"/>
      <c r="H1770" s="36"/>
      <c r="I1770" s="36"/>
      <c r="J1770" s="36">
        <f>YEAR(RESER3[[#This Row],[DATA]])</f>
        <v>1900</v>
      </c>
      <c r="K1770" s="36">
        <f>MONTH(C1770)</f>
        <v>1</v>
      </c>
      <c r="L1770" s="36">
        <f>DAY(RESER3[[#This Row],[DATA]])</f>
        <v>0</v>
      </c>
    </row>
    <row r="1771" spans="2:12" x14ac:dyDescent="0.25">
      <c r="B1771" s="129"/>
      <c r="C1771" s="28"/>
      <c r="D1771" s="36"/>
      <c r="E1771" s="36"/>
      <c r="F1771" s="36"/>
      <c r="G1771" s="36"/>
      <c r="H1771" s="36"/>
      <c r="I1771" s="36"/>
      <c r="J1771" s="36">
        <f>YEAR(RESER3[[#This Row],[DATA]])</f>
        <v>1900</v>
      </c>
      <c r="K1771" s="36">
        <f t="shared" si="28"/>
        <v>1</v>
      </c>
      <c r="L1771" s="36">
        <f>DAY(RESER3[[#This Row],[DATA]])</f>
        <v>0</v>
      </c>
    </row>
    <row r="1772" spans="2:12" x14ac:dyDescent="0.25">
      <c r="B1772" s="129"/>
      <c r="C1772" s="28"/>
      <c r="D1772" s="36"/>
      <c r="E1772" s="36"/>
      <c r="F1772" s="36"/>
      <c r="G1772" s="36"/>
      <c r="H1772" s="36"/>
      <c r="I1772" s="36"/>
      <c r="J1772" s="36">
        <f>YEAR(RESER3[[#This Row],[DATA]])</f>
        <v>1900</v>
      </c>
      <c r="K1772" s="36">
        <f t="shared" si="28"/>
        <v>1</v>
      </c>
      <c r="L1772" s="36">
        <f>DAY(RESER3[[#This Row],[DATA]])</f>
        <v>0</v>
      </c>
    </row>
    <row r="1773" spans="2:12" x14ac:dyDescent="0.25">
      <c r="B1773" s="129"/>
      <c r="C1773" s="28"/>
      <c r="D1773" s="36"/>
      <c r="E1773" s="36"/>
      <c r="F1773" s="36"/>
      <c r="G1773" s="36"/>
      <c r="H1773" s="36"/>
      <c r="I1773" s="36"/>
      <c r="J1773" s="36">
        <f>YEAR(RESER3[[#This Row],[DATA]])</f>
        <v>1900</v>
      </c>
      <c r="K1773" s="36">
        <f t="shared" si="28"/>
        <v>1</v>
      </c>
      <c r="L1773" s="36">
        <f>DAY(RESER3[[#This Row],[DATA]])</f>
        <v>0</v>
      </c>
    </row>
    <row r="1774" spans="2:12" x14ac:dyDescent="0.25">
      <c r="B1774" s="129"/>
      <c r="C1774" s="28"/>
      <c r="D1774" s="36"/>
      <c r="E1774" s="36"/>
      <c r="F1774" s="36"/>
      <c r="G1774" s="36"/>
      <c r="H1774" s="36"/>
      <c r="I1774" s="36"/>
      <c r="J1774" s="36">
        <f>YEAR(RESER3[[#This Row],[DATA]])</f>
        <v>1900</v>
      </c>
      <c r="K1774" s="36">
        <f t="shared" si="28"/>
        <v>1</v>
      </c>
      <c r="L1774" s="36">
        <f>DAY(RESER3[[#This Row],[DATA]])</f>
        <v>0</v>
      </c>
    </row>
    <row r="1775" spans="2:12" x14ac:dyDescent="0.25">
      <c r="B1775" s="129"/>
      <c r="C1775" s="28"/>
      <c r="D1775" s="36"/>
      <c r="E1775" s="36"/>
      <c r="F1775" s="36"/>
      <c r="G1775" s="36"/>
      <c r="H1775" s="36"/>
      <c r="I1775" s="36"/>
      <c r="J1775" s="36">
        <f>YEAR(RESER3[[#This Row],[DATA]])</f>
        <v>1900</v>
      </c>
      <c r="K1775" s="36">
        <f t="shared" si="28"/>
        <v>1</v>
      </c>
      <c r="L1775" s="36">
        <f>DAY(RESER3[[#This Row],[DATA]])</f>
        <v>0</v>
      </c>
    </row>
    <row r="1776" spans="2:12" x14ac:dyDescent="0.25">
      <c r="B1776" s="129"/>
      <c r="C1776" s="28"/>
      <c r="D1776" s="36"/>
      <c r="E1776" s="36"/>
      <c r="F1776" s="36"/>
      <c r="G1776" s="36"/>
      <c r="H1776" s="36"/>
      <c r="I1776" s="36"/>
      <c r="J1776" s="36">
        <f>YEAR(RESER3[[#This Row],[DATA]])</f>
        <v>1900</v>
      </c>
      <c r="K1776" s="36">
        <f t="shared" si="28"/>
        <v>1</v>
      </c>
      <c r="L1776" s="36">
        <f>DAY(RESER3[[#This Row],[DATA]])</f>
        <v>0</v>
      </c>
    </row>
    <row r="1777" spans="2:12" x14ac:dyDescent="0.25">
      <c r="B1777" s="129"/>
      <c r="C1777" s="128"/>
      <c r="D1777" s="36"/>
      <c r="E1777" s="36"/>
      <c r="F1777" s="36"/>
      <c r="G1777" s="36"/>
      <c r="H1777" s="36"/>
      <c r="I1777" s="36"/>
      <c r="J1777" s="36">
        <f>YEAR(RESER3[[#This Row],[DATA]])</f>
        <v>1900</v>
      </c>
      <c r="K1777" s="36">
        <f>MONTH(C1777)</f>
        <v>1</v>
      </c>
      <c r="L1777" s="36">
        <f>DAY(RESER3[[#This Row],[DATA]])</f>
        <v>0</v>
      </c>
    </row>
    <row r="1778" spans="2:12" x14ac:dyDescent="0.25">
      <c r="B1778" s="129"/>
      <c r="C1778" s="28"/>
      <c r="D1778" s="36"/>
      <c r="E1778" s="36"/>
      <c r="F1778" s="36"/>
      <c r="G1778" s="36"/>
      <c r="H1778" s="36"/>
      <c r="I1778" s="36"/>
      <c r="J1778" s="36">
        <f>YEAR(RESER3[[#This Row],[DATA]])</f>
        <v>1900</v>
      </c>
      <c r="K1778" s="36">
        <f t="shared" si="28"/>
        <v>1</v>
      </c>
      <c r="L1778" s="36">
        <f>DAY(RESER3[[#This Row],[DATA]])</f>
        <v>0</v>
      </c>
    </row>
  </sheetData>
  <mergeCells count="1">
    <mergeCell ref="A2:L2"/>
  </mergeCells>
  <phoneticPr fontId="5" type="noConversion"/>
  <pageMargins left="0.511811024" right="0.511811024" top="0.78740157499999996" bottom="0.78740157499999996" header="0.31496062000000002" footer="0.31496062000000002"/>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C1C2D-79ED-42DB-B0E4-E2AE22AAC2D8}">
  <sheetPr>
    <tabColor rgb="FFF26419"/>
  </sheetPr>
  <dimension ref="A1:L33"/>
  <sheetViews>
    <sheetView workbookViewId="0">
      <selection activeCell="G22" sqref="G22"/>
    </sheetView>
  </sheetViews>
  <sheetFormatPr defaultRowHeight="15" x14ac:dyDescent="0.25"/>
  <cols>
    <col min="1" max="1" width="13.7109375" customWidth="1"/>
    <col min="2" max="2" width="10.85546875" customWidth="1"/>
    <col min="3" max="3" width="17.5703125" customWidth="1"/>
    <col min="4" max="4" width="17.140625" customWidth="1"/>
    <col min="5" max="5" width="78.42578125" customWidth="1"/>
    <col min="6" max="6" width="22.5703125" customWidth="1"/>
    <col min="7" max="7" width="10.85546875" customWidth="1"/>
  </cols>
  <sheetData>
    <row r="1" spans="1:12" ht="23.25" x14ac:dyDescent="0.25">
      <c r="A1" s="189" t="s">
        <v>735</v>
      </c>
      <c r="B1" s="189"/>
      <c r="C1" s="189"/>
      <c r="D1" s="189"/>
      <c r="E1" s="189"/>
      <c r="F1" s="189"/>
      <c r="G1" s="189"/>
      <c r="H1" s="189"/>
      <c r="I1" s="189"/>
      <c r="J1" s="189"/>
      <c r="K1" s="189"/>
      <c r="L1" s="189"/>
    </row>
    <row r="3" spans="1:12" x14ac:dyDescent="0.25">
      <c r="A3" s="36" t="s">
        <v>694</v>
      </c>
      <c r="B3" s="36" t="s">
        <v>698</v>
      </c>
      <c r="C3" s="36" t="s">
        <v>734</v>
      </c>
      <c r="D3" s="36" t="s">
        <v>695</v>
      </c>
      <c r="E3" s="36" t="s">
        <v>696</v>
      </c>
      <c r="F3" s="36" t="s">
        <v>730</v>
      </c>
      <c r="G3" s="36" t="s">
        <v>731</v>
      </c>
    </row>
    <row r="4" spans="1:12" x14ac:dyDescent="0.25">
      <c r="A4" s="30">
        <v>44439</v>
      </c>
      <c r="B4" s="30" t="s">
        <v>699</v>
      </c>
      <c r="C4" s="36" t="s">
        <v>712</v>
      </c>
      <c r="D4" s="36" t="s">
        <v>700</v>
      </c>
      <c r="E4" s="36" t="s">
        <v>701</v>
      </c>
      <c r="F4" s="36">
        <v>1</v>
      </c>
    </row>
    <row r="5" spans="1:12" x14ac:dyDescent="0.25">
      <c r="A5" s="30">
        <v>44449</v>
      </c>
      <c r="B5" s="36" t="s">
        <v>702</v>
      </c>
      <c r="C5" s="36" t="s">
        <v>712</v>
      </c>
      <c r="D5" s="36" t="s">
        <v>703</v>
      </c>
      <c r="E5" s="36" t="s">
        <v>704</v>
      </c>
      <c r="F5" s="36">
        <v>1</v>
      </c>
    </row>
    <row r="6" spans="1:12" x14ac:dyDescent="0.25">
      <c r="A6" s="30">
        <v>44441</v>
      </c>
      <c r="B6" s="36" t="s">
        <v>705</v>
      </c>
      <c r="C6" s="36" t="s">
        <v>697</v>
      </c>
      <c r="D6" s="36" t="s">
        <v>708</v>
      </c>
      <c r="E6" s="36" t="s">
        <v>709</v>
      </c>
      <c r="F6" s="36">
        <v>1</v>
      </c>
    </row>
    <row r="7" spans="1:12" x14ac:dyDescent="0.25">
      <c r="A7" s="30">
        <v>44448</v>
      </c>
      <c r="B7" s="36" t="s">
        <v>705</v>
      </c>
      <c r="C7" s="36" t="s">
        <v>706</v>
      </c>
      <c r="D7" s="36" t="s">
        <v>707</v>
      </c>
      <c r="E7" s="36" t="s">
        <v>729</v>
      </c>
      <c r="F7" s="36">
        <v>1</v>
      </c>
    </row>
    <row r="8" spans="1:12" x14ac:dyDescent="0.25">
      <c r="A8" s="30">
        <v>44453</v>
      </c>
      <c r="B8" s="36" t="s">
        <v>710</v>
      </c>
      <c r="C8" s="36" t="s">
        <v>712</v>
      </c>
      <c r="D8" s="36" t="s">
        <v>703</v>
      </c>
      <c r="E8" s="36" t="s">
        <v>711</v>
      </c>
      <c r="F8" s="36">
        <v>1</v>
      </c>
    </row>
    <row r="9" spans="1:12" x14ac:dyDescent="0.25">
      <c r="A9" s="30">
        <v>44454</v>
      </c>
      <c r="B9" s="36" t="s">
        <v>710</v>
      </c>
      <c r="C9" s="36" t="s">
        <v>712</v>
      </c>
      <c r="D9" s="36" t="s">
        <v>700</v>
      </c>
      <c r="E9" s="36" t="s">
        <v>711</v>
      </c>
      <c r="F9" s="36">
        <v>1</v>
      </c>
    </row>
    <row r="10" spans="1:12" x14ac:dyDescent="0.25">
      <c r="A10" s="30">
        <v>44460</v>
      </c>
      <c r="B10" s="36" t="s">
        <v>713</v>
      </c>
      <c r="C10" s="36" t="s">
        <v>714</v>
      </c>
      <c r="D10" s="36" t="s">
        <v>718</v>
      </c>
      <c r="E10" s="36" t="s">
        <v>715</v>
      </c>
      <c r="F10" s="36">
        <v>1</v>
      </c>
    </row>
    <row r="11" spans="1:12" x14ac:dyDescent="0.25">
      <c r="A11" s="30">
        <v>44463</v>
      </c>
      <c r="B11" s="36" t="s">
        <v>716</v>
      </c>
      <c r="C11" s="36" t="s">
        <v>714</v>
      </c>
      <c r="D11" s="36" t="s">
        <v>717</v>
      </c>
      <c r="E11" s="36" t="s">
        <v>715</v>
      </c>
      <c r="F11" s="36">
        <v>1</v>
      </c>
    </row>
    <row r="12" spans="1:12" x14ac:dyDescent="0.25">
      <c r="A12" s="30">
        <v>44474</v>
      </c>
      <c r="B12" s="36" t="s">
        <v>719</v>
      </c>
      <c r="C12" s="36" t="s">
        <v>706</v>
      </c>
      <c r="D12" s="36" t="s">
        <v>720</v>
      </c>
      <c r="E12" s="36" t="s">
        <v>721</v>
      </c>
      <c r="F12" s="36">
        <v>1</v>
      </c>
    </row>
    <row r="13" spans="1:12" x14ac:dyDescent="0.25">
      <c r="A13" s="30">
        <v>44490</v>
      </c>
      <c r="B13" s="36" t="s">
        <v>722</v>
      </c>
      <c r="C13" s="36" t="s">
        <v>697</v>
      </c>
      <c r="D13" s="36" t="s">
        <v>724</v>
      </c>
      <c r="E13" s="36" t="s">
        <v>725</v>
      </c>
      <c r="F13" s="36">
        <v>1</v>
      </c>
    </row>
    <row r="14" spans="1:12" x14ac:dyDescent="0.25">
      <c r="A14" s="30">
        <v>44490</v>
      </c>
      <c r="B14" s="36" t="s">
        <v>723</v>
      </c>
      <c r="C14" s="36" t="s">
        <v>697</v>
      </c>
      <c r="D14" s="36" t="s">
        <v>708</v>
      </c>
      <c r="E14" s="36" t="s">
        <v>726</v>
      </c>
      <c r="F14" s="36">
        <v>1</v>
      </c>
    </row>
    <row r="15" spans="1:12" x14ac:dyDescent="0.25">
      <c r="A15" s="30">
        <v>44498</v>
      </c>
      <c r="B15" s="36" t="s">
        <v>727</v>
      </c>
      <c r="C15" s="36" t="s">
        <v>712</v>
      </c>
      <c r="D15" s="36" t="s">
        <v>703</v>
      </c>
      <c r="E15" s="36" t="s">
        <v>728</v>
      </c>
      <c r="F15" s="36">
        <v>1</v>
      </c>
    </row>
    <row r="16" spans="1:12" x14ac:dyDescent="0.25">
      <c r="A16" s="30"/>
      <c r="B16" s="36"/>
      <c r="C16" s="36"/>
      <c r="D16" s="36"/>
      <c r="E16" s="36"/>
      <c r="F16" s="36"/>
    </row>
    <row r="17" spans="1:6" x14ac:dyDescent="0.25">
      <c r="A17" s="30"/>
      <c r="B17" s="36"/>
      <c r="C17" s="36"/>
      <c r="D17" s="36"/>
      <c r="E17" s="36"/>
      <c r="F17" s="36"/>
    </row>
    <row r="18" spans="1:6" x14ac:dyDescent="0.25">
      <c r="A18" s="30">
        <v>44498</v>
      </c>
      <c r="B18" s="36" t="s">
        <v>719</v>
      </c>
      <c r="C18" s="36" t="s">
        <v>712</v>
      </c>
      <c r="D18" s="36" t="s">
        <v>700</v>
      </c>
      <c r="E18" s="36" t="s">
        <v>728</v>
      </c>
      <c r="F18" s="36">
        <v>1</v>
      </c>
    </row>
    <row r="19" spans="1:6" x14ac:dyDescent="0.25">
      <c r="A19" s="30"/>
      <c r="B19" s="36"/>
      <c r="C19" s="36"/>
      <c r="D19" s="36"/>
      <c r="E19" s="36"/>
      <c r="F19" s="36"/>
    </row>
    <row r="20" spans="1:6" x14ac:dyDescent="0.25">
      <c r="A20" s="30"/>
      <c r="B20" s="36"/>
      <c r="C20" s="36"/>
      <c r="D20" s="36"/>
      <c r="E20" s="36"/>
      <c r="F20" s="36"/>
    </row>
    <row r="21" spans="1:6" x14ac:dyDescent="0.25">
      <c r="A21" s="30"/>
      <c r="B21" s="36"/>
      <c r="C21" s="36"/>
      <c r="D21" s="36"/>
      <c r="E21" s="36"/>
    </row>
    <row r="22" spans="1:6" x14ac:dyDescent="0.25">
      <c r="A22" s="36"/>
      <c r="B22" s="36"/>
      <c r="C22" s="36"/>
      <c r="D22" s="36"/>
      <c r="E22" s="36"/>
    </row>
    <row r="23" spans="1:6" x14ac:dyDescent="0.25">
      <c r="A23" s="36"/>
      <c r="B23" s="36"/>
      <c r="C23" s="36"/>
      <c r="D23" s="36"/>
      <c r="E23" s="36"/>
    </row>
    <row r="24" spans="1:6" x14ac:dyDescent="0.25">
      <c r="A24" s="36"/>
      <c r="B24" s="36"/>
      <c r="C24" s="36"/>
      <c r="D24" s="36"/>
      <c r="E24" s="36"/>
    </row>
    <row r="25" spans="1:6" x14ac:dyDescent="0.25">
      <c r="A25" s="36"/>
      <c r="B25" s="36"/>
      <c r="C25" s="36"/>
      <c r="D25" s="36"/>
      <c r="E25" s="36"/>
    </row>
    <row r="26" spans="1:6" x14ac:dyDescent="0.25">
      <c r="A26" s="36"/>
      <c r="B26" s="36"/>
      <c r="C26" s="36"/>
      <c r="D26" s="36"/>
      <c r="E26" s="36"/>
    </row>
    <row r="27" spans="1:6" x14ac:dyDescent="0.25">
      <c r="A27" s="36"/>
      <c r="B27" s="36"/>
      <c r="C27" s="36"/>
      <c r="D27" s="36"/>
      <c r="E27" s="36"/>
    </row>
    <row r="28" spans="1:6" x14ac:dyDescent="0.25">
      <c r="A28" s="36"/>
      <c r="B28" s="36"/>
      <c r="C28" s="36"/>
      <c r="D28" s="36"/>
      <c r="E28" s="36"/>
    </row>
    <row r="29" spans="1:6" x14ac:dyDescent="0.25">
      <c r="A29" s="36"/>
      <c r="B29" s="36"/>
      <c r="C29" s="36"/>
      <c r="D29" s="36"/>
      <c r="E29" s="36"/>
    </row>
    <row r="30" spans="1:6" x14ac:dyDescent="0.25">
      <c r="A30" s="36"/>
      <c r="B30" s="36"/>
      <c r="C30" s="36"/>
      <c r="D30" s="36"/>
      <c r="E30" s="36"/>
    </row>
    <row r="31" spans="1:6" x14ac:dyDescent="0.25">
      <c r="A31" s="36"/>
      <c r="B31" s="36"/>
      <c r="C31" s="36"/>
      <c r="D31" s="36"/>
      <c r="E31" s="36"/>
    </row>
    <row r="32" spans="1:6" x14ac:dyDescent="0.25">
      <c r="A32" s="36"/>
      <c r="B32" s="36"/>
      <c r="C32" s="36"/>
      <c r="D32" s="36"/>
      <c r="E32" s="36"/>
    </row>
    <row r="33" spans="1:5" x14ac:dyDescent="0.25">
      <c r="A33" s="36"/>
      <c r="B33" s="36"/>
      <c r="C33" s="36"/>
      <c r="D33" s="36"/>
      <c r="E33" s="36"/>
    </row>
  </sheetData>
  <mergeCells count="1">
    <mergeCell ref="A1:L1"/>
  </mergeCells>
  <phoneticPr fontId="5" type="noConversion"/>
  <pageMargins left="0.511811024" right="0.511811024" top="0.78740157499999996" bottom="0.78740157499999996" header="0.31496062000000002" footer="0.31496062000000002"/>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B28A-1CC3-4901-9586-B5AFB11358E4}">
  <dimension ref="A2:L561"/>
  <sheetViews>
    <sheetView topLeftCell="A391" workbookViewId="0">
      <selection activeCell="E404" sqref="E404"/>
    </sheetView>
  </sheetViews>
  <sheetFormatPr defaultRowHeight="15" x14ac:dyDescent="0.25"/>
  <cols>
    <col min="2" max="2" width="21.85546875" customWidth="1"/>
    <col min="3" max="3" width="21.7109375" customWidth="1"/>
    <col min="4" max="4" width="21.140625" customWidth="1"/>
    <col min="5" max="5" width="24.5703125" customWidth="1"/>
    <col min="6" max="6" width="29.85546875" customWidth="1"/>
    <col min="7" max="7" width="30.28515625" customWidth="1"/>
    <col min="8" max="8" width="20.140625" customWidth="1"/>
    <col min="9" max="9" width="13.28515625" customWidth="1"/>
    <col min="10" max="10" width="12.5703125" customWidth="1"/>
    <col min="11" max="11" width="10.85546875" customWidth="1"/>
  </cols>
  <sheetData>
    <row r="2" spans="1:12" x14ac:dyDescent="0.25">
      <c r="A2" s="36" t="s">
        <v>182</v>
      </c>
      <c r="B2" s="36" t="s">
        <v>183</v>
      </c>
      <c r="C2" s="36" t="s">
        <v>184</v>
      </c>
      <c r="D2" s="36" t="s">
        <v>185</v>
      </c>
      <c r="E2" s="36" t="s">
        <v>186</v>
      </c>
      <c r="F2" s="36" t="s">
        <v>187</v>
      </c>
      <c r="G2" s="36" t="s">
        <v>188</v>
      </c>
      <c r="H2" s="36" t="s">
        <v>798</v>
      </c>
      <c r="I2" s="36" t="s">
        <v>389</v>
      </c>
      <c r="J2" s="36" t="s">
        <v>799</v>
      </c>
      <c r="K2" s="36" t="s">
        <v>800</v>
      </c>
      <c r="L2" s="36" t="s">
        <v>801</v>
      </c>
    </row>
    <row r="3" spans="1:12" x14ac:dyDescent="0.25">
      <c r="B3" s="36" t="s">
        <v>4</v>
      </c>
      <c r="C3" s="30">
        <v>44285</v>
      </c>
      <c r="D3" s="36" t="s">
        <v>189</v>
      </c>
      <c r="E3" s="36" t="s">
        <v>190</v>
      </c>
      <c r="F3" s="36" t="s">
        <v>191</v>
      </c>
      <c r="G3" s="36" t="s">
        <v>191</v>
      </c>
      <c r="H3" s="36">
        <v>1</v>
      </c>
      <c r="I3" t="s">
        <v>179</v>
      </c>
      <c r="J3">
        <f>YEAR(CONTROLE_PILHAS[[#This Row],[DATA]])</f>
        <v>2021</v>
      </c>
      <c r="K3">
        <f>MONTH(CONTROLE_PILHAS[[#This Row],[DATA]])</f>
        <v>3</v>
      </c>
      <c r="L3">
        <f>DAY(CONTROLE_PILHAS[[#This Row],[DATA]])</f>
        <v>30</v>
      </c>
    </row>
    <row r="4" spans="1:12" x14ac:dyDescent="0.25">
      <c r="B4" s="36" t="s">
        <v>6</v>
      </c>
      <c r="C4" s="30">
        <v>44281</v>
      </c>
      <c r="D4" s="36" t="s">
        <v>189</v>
      </c>
      <c r="E4" s="36" t="s">
        <v>190</v>
      </c>
      <c r="F4" s="36" t="s">
        <v>191</v>
      </c>
      <c r="G4" s="36" t="s">
        <v>191</v>
      </c>
      <c r="H4" s="36">
        <v>1</v>
      </c>
      <c r="I4" t="s">
        <v>179</v>
      </c>
      <c r="J4">
        <f>YEAR(CONTROLE_PILHAS[[#This Row],[DATA]])</f>
        <v>2021</v>
      </c>
      <c r="K4">
        <f>MONTH(CONTROLE_PILHAS[[#This Row],[DATA]])</f>
        <v>3</v>
      </c>
      <c r="L4">
        <f>DAY(CONTROLE_PILHAS[[#This Row],[DATA]])</f>
        <v>26</v>
      </c>
    </row>
    <row r="5" spans="1:12" x14ac:dyDescent="0.25">
      <c r="B5" s="36" t="s">
        <v>6</v>
      </c>
      <c r="C5" s="30">
        <v>44287</v>
      </c>
      <c r="D5" s="36" t="s">
        <v>189</v>
      </c>
      <c r="E5" s="36" t="s">
        <v>190</v>
      </c>
      <c r="F5" s="36" t="s">
        <v>191</v>
      </c>
      <c r="G5" s="36" t="s">
        <v>191</v>
      </c>
      <c r="H5" s="36">
        <v>1</v>
      </c>
      <c r="I5" t="s">
        <v>179</v>
      </c>
      <c r="J5">
        <f>YEAR(CONTROLE_PILHAS[[#This Row],[DATA]])</f>
        <v>2021</v>
      </c>
      <c r="K5">
        <f>MONTH(CONTROLE_PILHAS[[#This Row],[DATA]])</f>
        <v>4</v>
      </c>
      <c r="L5">
        <f>DAY(CONTROLE_PILHAS[[#This Row],[DATA]])</f>
        <v>1</v>
      </c>
    </row>
    <row r="6" spans="1:12" x14ac:dyDescent="0.25">
      <c r="B6" s="36" t="s">
        <v>6</v>
      </c>
      <c r="C6" s="30">
        <v>44320</v>
      </c>
      <c r="D6" s="36" t="s">
        <v>189</v>
      </c>
      <c r="E6" s="36" t="s">
        <v>190</v>
      </c>
      <c r="F6" s="36" t="s">
        <v>191</v>
      </c>
      <c r="G6" s="36" t="s">
        <v>191</v>
      </c>
      <c r="H6" s="36">
        <v>1</v>
      </c>
      <c r="I6" t="s">
        <v>179</v>
      </c>
      <c r="J6">
        <f>YEAR(CONTROLE_PILHAS[[#This Row],[DATA]])</f>
        <v>2021</v>
      </c>
      <c r="K6">
        <f>MONTH(CONTROLE_PILHAS[[#This Row],[DATA]])</f>
        <v>5</v>
      </c>
      <c r="L6">
        <f>DAY(CONTROLE_PILHAS[[#This Row],[DATA]])</f>
        <v>4</v>
      </c>
    </row>
    <row r="7" spans="1:12" x14ac:dyDescent="0.25">
      <c r="B7" s="36" t="s">
        <v>6</v>
      </c>
      <c r="C7" s="30">
        <v>44354</v>
      </c>
      <c r="D7" s="36" t="s">
        <v>223</v>
      </c>
      <c r="E7" s="36" t="s">
        <v>190</v>
      </c>
      <c r="F7" s="36" t="s">
        <v>191</v>
      </c>
      <c r="G7" s="36" t="s">
        <v>191</v>
      </c>
      <c r="H7" s="36">
        <v>1</v>
      </c>
      <c r="I7" t="s">
        <v>179</v>
      </c>
      <c r="J7">
        <f>YEAR(CONTROLE_PILHAS[[#This Row],[DATA]])</f>
        <v>2021</v>
      </c>
      <c r="K7">
        <f>MONTH(CONTROLE_PILHAS[[#This Row],[DATA]])</f>
        <v>6</v>
      </c>
      <c r="L7">
        <f>DAY(CONTROLE_PILHAS[[#This Row],[DATA]])</f>
        <v>7</v>
      </c>
    </row>
    <row r="8" spans="1:12" x14ac:dyDescent="0.25">
      <c r="B8" s="36" t="s">
        <v>13</v>
      </c>
      <c r="C8" s="30">
        <v>44379</v>
      </c>
      <c r="D8" s="36" t="s">
        <v>189</v>
      </c>
      <c r="E8" s="36" t="s">
        <v>190</v>
      </c>
      <c r="F8" s="36" t="s">
        <v>191</v>
      </c>
      <c r="G8" s="36" t="s">
        <v>458</v>
      </c>
      <c r="H8" s="36">
        <v>1</v>
      </c>
      <c r="I8" t="s">
        <v>179</v>
      </c>
      <c r="J8">
        <f>YEAR(CONTROLE_PILHAS[[#This Row],[DATA]])</f>
        <v>2021</v>
      </c>
      <c r="K8">
        <f>MONTH(CONTROLE_PILHAS[[#This Row],[DATA]])</f>
        <v>7</v>
      </c>
      <c r="L8">
        <f>DAY(CONTROLE_PILHAS[[#This Row],[DATA]])</f>
        <v>2</v>
      </c>
    </row>
    <row r="9" spans="1:12" x14ac:dyDescent="0.25">
      <c r="B9" s="36" t="s">
        <v>6</v>
      </c>
      <c r="C9" s="30">
        <v>44385</v>
      </c>
      <c r="D9" s="36" t="s">
        <v>189</v>
      </c>
      <c r="E9" s="36" t="s">
        <v>190</v>
      </c>
      <c r="F9" s="36" t="s">
        <v>191</v>
      </c>
      <c r="G9" s="36" t="s">
        <v>458</v>
      </c>
      <c r="H9" s="36">
        <v>1</v>
      </c>
      <c r="I9" t="s">
        <v>179</v>
      </c>
      <c r="J9">
        <f>YEAR(CONTROLE_PILHAS[[#This Row],[DATA]])</f>
        <v>2021</v>
      </c>
      <c r="K9">
        <f>MONTH(CONTROLE_PILHAS[[#This Row],[DATA]])</f>
        <v>7</v>
      </c>
      <c r="L9">
        <f>DAY(CONTROLE_PILHAS[[#This Row],[DATA]])</f>
        <v>8</v>
      </c>
    </row>
    <row r="10" spans="1:12" x14ac:dyDescent="0.25">
      <c r="B10" s="36" t="s">
        <v>18</v>
      </c>
      <c r="C10" s="30">
        <v>44403</v>
      </c>
      <c r="D10" s="36" t="s">
        <v>189</v>
      </c>
      <c r="E10" s="36" t="s">
        <v>190</v>
      </c>
      <c r="F10" s="36" t="s">
        <v>191</v>
      </c>
      <c r="G10" s="36" t="s">
        <v>458</v>
      </c>
      <c r="H10" s="36">
        <v>1</v>
      </c>
      <c r="I10" t="s">
        <v>179</v>
      </c>
      <c r="J10">
        <f>YEAR(CONTROLE_PILHAS[[#This Row],[DATA]])</f>
        <v>2021</v>
      </c>
      <c r="K10">
        <f>MONTH(CONTROLE_PILHAS[[#This Row],[DATA]])</f>
        <v>7</v>
      </c>
      <c r="L10">
        <f>DAY(CONTROLE_PILHAS[[#This Row],[DATA]])</f>
        <v>26</v>
      </c>
    </row>
    <row r="11" spans="1:12" x14ac:dyDescent="0.25">
      <c r="B11" s="36" t="s">
        <v>7</v>
      </c>
      <c r="C11" s="30">
        <v>44285</v>
      </c>
      <c r="D11" s="36" t="s">
        <v>189</v>
      </c>
      <c r="E11" s="36" t="s">
        <v>190</v>
      </c>
      <c r="F11" s="36" t="s">
        <v>191</v>
      </c>
      <c r="G11" s="36" t="s">
        <v>191</v>
      </c>
      <c r="H11" s="36">
        <v>1</v>
      </c>
      <c r="I11" t="s">
        <v>179</v>
      </c>
      <c r="J11">
        <f>YEAR(CONTROLE_PILHAS[[#This Row],[DATA]])</f>
        <v>2021</v>
      </c>
      <c r="K11">
        <f>MONTH(CONTROLE_PILHAS[[#This Row],[DATA]])</f>
        <v>3</v>
      </c>
      <c r="L11">
        <f>DAY(CONTROLE_PILHAS[[#This Row],[DATA]])</f>
        <v>30</v>
      </c>
    </row>
    <row r="12" spans="1:12" x14ac:dyDescent="0.25">
      <c r="B12" s="36" t="s">
        <v>7</v>
      </c>
      <c r="C12" s="30">
        <v>44287</v>
      </c>
      <c r="D12" s="36" t="s">
        <v>189</v>
      </c>
      <c r="E12" s="36" t="s">
        <v>190</v>
      </c>
      <c r="F12" s="36" t="s">
        <v>191</v>
      </c>
      <c r="G12" s="36" t="s">
        <v>191</v>
      </c>
      <c r="H12" s="36">
        <v>1</v>
      </c>
      <c r="I12" t="s">
        <v>179</v>
      </c>
      <c r="J12">
        <f>YEAR(CONTROLE_PILHAS[[#This Row],[DATA]])</f>
        <v>2021</v>
      </c>
      <c r="K12">
        <f>MONTH(CONTROLE_PILHAS[[#This Row],[DATA]])</f>
        <v>4</v>
      </c>
      <c r="L12">
        <f>DAY(CONTROLE_PILHAS[[#This Row],[DATA]])</f>
        <v>1</v>
      </c>
    </row>
    <row r="13" spans="1:12" x14ac:dyDescent="0.25">
      <c r="B13" s="36" t="s">
        <v>7</v>
      </c>
      <c r="C13" s="30">
        <v>44305</v>
      </c>
      <c r="D13" s="36" t="s">
        <v>189</v>
      </c>
      <c r="E13" s="36" t="s">
        <v>190</v>
      </c>
      <c r="F13" s="36" t="s">
        <v>191</v>
      </c>
      <c r="G13" s="36" t="s">
        <v>191</v>
      </c>
      <c r="H13" s="36">
        <v>1</v>
      </c>
      <c r="I13" t="s">
        <v>179</v>
      </c>
      <c r="J13">
        <f>YEAR(CONTROLE_PILHAS[[#This Row],[DATA]])</f>
        <v>2021</v>
      </c>
      <c r="K13">
        <f>MONTH(CONTROLE_PILHAS[[#This Row],[DATA]])</f>
        <v>4</v>
      </c>
      <c r="L13">
        <f>DAY(CONTROLE_PILHAS[[#This Row],[DATA]])</f>
        <v>19</v>
      </c>
    </row>
    <row r="14" spans="1:12" x14ac:dyDescent="0.25">
      <c r="B14" s="36" t="s">
        <v>7</v>
      </c>
      <c r="C14" s="30">
        <v>44361</v>
      </c>
      <c r="D14" s="36" t="s">
        <v>189</v>
      </c>
      <c r="E14" s="36" t="s">
        <v>190</v>
      </c>
      <c r="F14" s="36" t="s">
        <v>191</v>
      </c>
      <c r="G14" s="36" t="s">
        <v>191</v>
      </c>
      <c r="H14" s="36">
        <v>1</v>
      </c>
      <c r="I14" t="s">
        <v>179</v>
      </c>
      <c r="J14">
        <f>YEAR(CONTROLE_PILHAS[[#This Row],[DATA]])</f>
        <v>2021</v>
      </c>
      <c r="K14">
        <f>MONTH(CONTROLE_PILHAS[[#This Row],[DATA]])</f>
        <v>6</v>
      </c>
      <c r="L14">
        <f>DAY(CONTROLE_PILHAS[[#This Row],[DATA]])</f>
        <v>14</v>
      </c>
    </row>
    <row r="15" spans="1:12" x14ac:dyDescent="0.25">
      <c r="B15" s="36" t="s">
        <v>8</v>
      </c>
      <c r="C15" s="30">
        <v>44299</v>
      </c>
      <c r="D15" s="36" t="s">
        <v>189</v>
      </c>
      <c r="E15" s="36" t="s">
        <v>190</v>
      </c>
      <c r="F15" s="36" t="s">
        <v>191</v>
      </c>
      <c r="G15" s="36" t="s">
        <v>191</v>
      </c>
      <c r="H15" s="36">
        <v>1</v>
      </c>
      <c r="I15" t="s">
        <v>179</v>
      </c>
      <c r="J15">
        <f>YEAR(CONTROLE_PILHAS[[#This Row],[DATA]])</f>
        <v>2021</v>
      </c>
      <c r="K15">
        <f>MONTH(CONTROLE_PILHAS[[#This Row],[DATA]])</f>
        <v>4</v>
      </c>
      <c r="L15">
        <f>DAY(CONTROLE_PILHAS[[#This Row],[DATA]])</f>
        <v>13</v>
      </c>
    </row>
    <row r="16" spans="1:12" x14ac:dyDescent="0.25">
      <c r="B16" s="36" t="s">
        <v>8</v>
      </c>
      <c r="C16" s="30">
        <v>44330</v>
      </c>
      <c r="D16" s="36" t="s">
        <v>189</v>
      </c>
      <c r="E16" s="36" t="s">
        <v>190</v>
      </c>
      <c r="F16" s="36" t="s">
        <v>191</v>
      </c>
      <c r="G16" s="36" t="s">
        <v>191</v>
      </c>
      <c r="H16" s="36">
        <v>1</v>
      </c>
      <c r="I16" t="s">
        <v>179</v>
      </c>
      <c r="J16">
        <f>YEAR(CONTROLE_PILHAS[[#This Row],[DATA]])</f>
        <v>2021</v>
      </c>
      <c r="K16">
        <f>MONTH(CONTROLE_PILHAS[[#This Row],[DATA]])</f>
        <v>5</v>
      </c>
      <c r="L16">
        <f>DAY(CONTROLE_PILHAS[[#This Row],[DATA]])</f>
        <v>14</v>
      </c>
    </row>
    <row r="17" spans="2:12" x14ac:dyDescent="0.25">
      <c r="B17" s="36" t="s">
        <v>8</v>
      </c>
      <c r="C17" s="30">
        <v>44337</v>
      </c>
      <c r="D17" s="36" t="s">
        <v>189</v>
      </c>
      <c r="E17" s="36" t="s">
        <v>190</v>
      </c>
      <c r="F17" s="36" t="s">
        <v>191</v>
      </c>
      <c r="G17" s="36" t="s">
        <v>191</v>
      </c>
      <c r="H17" s="36">
        <v>1</v>
      </c>
      <c r="I17" t="s">
        <v>179</v>
      </c>
      <c r="J17">
        <f>YEAR(CONTROLE_PILHAS[[#This Row],[DATA]])</f>
        <v>2021</v>
      </c>
      <c r="K17">
        <f>MONTH(CONTROLE_PILHAS[[#This Row],[DATA]])</f>
        <v>5</v>
      </c>
      <c r="L17">
        <f>DAY(CONTROLE_PILHAS[[#This Row],[DATA]])</f>
        <v>21</v>
      </c>
    </row>
    <row r="18" spans="2:12" x14ac:dyDescent="0.25">
      <c r="B18" s="36" t="s">
        <v>9</v>
      </c>
      <c r="C18" s="30">
        <v>44280</v>
      </c>
      <c r="D18" s="36" t="s">
        <v>189</v>
      </c>
      <c r="E18" s="36" t="s">
        <v>190</v>
      </c>
      <c r="F18" s="36" t="s">
        <v>191</v>
      </c>
      <c r="G18" s="36" t="s">
        <v>191</v>
      </c>
      <c r="H18" s="36">
        <v>1</v>
      </c>
      <c r="I18" t="s">
        <v>179</v>
      </c>
      <c r="J18">
        <f>YEAR(CONTROLE_PILHAS[[#This Row],[DATA]])</f>
        <v>2021</v>
      </c>
      <c r="K18">
        <f>MONTH(CONTROLE_PILHAS[[#This Row],[DATA]])</f>
        <v>3</v>
      </c>
      <c r="L18">
        <f>DAY(CONTROLE_PILHAS[[#This Row],[DATA]])</f>
        <v>25</v>
      </c>
    </row>
    <row r="19" spans="2:12" x14ac:dyDescent="0.25">
      <c r="B19" s="36" t="s">
        <v>9</v>
      </c>
      <c r="C19" s="30">
        <v>44305</v>
      </c>
      <c r="D19" s="36" t="s">
        <v>189</v>
      </c>
      <c r="E19" s="36" t="s">
        <v>190</v>
      </c>
      <c r="F19" s="36" t="s">
        <v>191</v>
      </c>
      <c r="G19" s="36" t="s">
        <v>191</v>
      </c>
      <c r="H19" s="36">
        <v>1</v>
      </c>
      <c r="I19" t="s">
        <v>179</v>
      </c>
      <c r="J19">
        <f>YEAR(CONTROLE_PILHAS[[#This Row],[DATA]])</f>
        <v>2021</v>
      </c>
      <c r="K19">
        <f>MONTH(CONTROLE_PILHAS[[#This Row],[DATA]])</f>
        <v>4</v>
      </c>
      <c r="L19">
        <f>DAY(CONTROLE_PILHAS[[#This Row],[DATA]])</f>
        <v>19</v>
      </c>
    </row>
    <row r="20" spans="2:12" x14ac:dyDescent="0.25">
      <c r="B20" s="36" t="s">
        <v>9</v>
      </c>
      <c r="C20" s="30">
        <v>44303</v>
      </c>
      <c r="D20" s="36" t="s">
        <v>189</v>
      </c>
      <c r="E20" s="36" t="s">
        <v>190</v>
      </c>
      <c r="F20" s="36" t="s">
        <v>191</v>
      </c>
      <c r="G20" s="36" t="s">
        <v>191</v>
      </c>
      <c r="H20" s="36">
        <v>1</v>
      </c>
      <c r="I20" t="s">
        <v>179</v>
      </c>
      <c r="J20">
        <f>YEAR(CONTROLE_PILHAS[[#This Row],[DATA]])</f>
        <v>2021</v>
      </c>
      <c r="K20">
        <f>MONTH(CONTROLE_PILHAS[[#This Row],[DATA]])</f>
        <v>4</v>
      </c>
      <c r="L20">
        <f>DAY(CONTROLE_PILHAS[[#This Row],[DATA]])</f>
        <v>17</v>
      </c>
    </row>
    <row r="21" spans="2:12" x14ac:dyDescent="0.25">
      <c r="B21" s="36" t="s">
        <v>9</v>
      </c>
      <c r="C21" s="30">
        <v>44361</v>
      </c>
      <c r="D21" s="36" t="s">
        <v>189</v>
      </c>
      <c r="E21" s="36" t="s">
        <v>190</v>
      </c>
      <c r="F21" s="36" t="s">
        <v>191</v>
      </c>
      <c r="G21" s="36" t="s">
        <v>191</v>
      </c>
      <c r="H21" s="36">
        <v>1</v>
      </c>
      <c r="I21" t="s">
        <v>179</v>
      </c>
      <c r="J21">
        <f>YEAR(CONTROLE_PILHAS[[#This Row],[DATA]])</f>
        <v>2021</v>
      </c>
      <c r="K21">
        <f>MONTH(CONTROLE_PILHAS[[#This Row],[DATA]])</f>
        <v>6</v>
      </c>
      <c r="L21">
        <f>DAY(CONTROLE_PILHAS[[#This Row],[DATA]])</f>
        <v>14</v>
      </c>
    </row>
    <row r="22" spans="2:12" x14ac:dyDescent="0.25">
      <c r="B22" s="36" t="s">
        <v>10</v>
      </c>
      <c r="C22" s="30">
        <v>44273</v>
      </c>
      <c r="D22" s="36" t="s">
        <v>189</v>
      </c>
      <c r="E22" s="36" t="s">
        <v>190</v>
      </c>
      <c r="F22" s="36" t="s">
        <v>191</v>
      </c>
      <c r="G22" s="36" t="s">
        <v>250</v>
      </c>
      <c r="H22" s="36">
        <v>1</v>
      </c>
      <c r="I22" t="s">
        <v>179</v>
      </c>
      <c r="J22">
        <f>YEAR(CONTROLE_PILHAS[[#This Row],[DATA]])</f>
        <v>2021</v>
      </c>
      <c r="K22">
        <f>MONTH(CONTROLE_PILHAS[[#This Row],[DATA]])</f>
        <v>3</v>
      </c>
      <c r="L22">
        <f>DAY(CONTROLE_PILHAS[[#This Row],[DATA]])</f>
        <v>18</v>
      </c>
    </row>
    <row r="23" spans="2:12" x14ac:dyDescent="0.25">
      <c r="B23" s="36" t="s">
        <v>10</v>
      </c>
      <c r="C23" s="30">
        <v>44327</v>
      </c>
      <c r="D23" s="36" t="s">
        <v>189</v>
      </c>
      <c r="E23" s="36" t="s">
        <v>190</v>
      </c>
      <c r="F23" s="36" t="s">
        <v>191</v>
      </c>
      <c r="G23" s="36" t="s">
        <v>250</v>
      </c>
      <c r="H23" s="36">
        <v>1</v>
      </c>
      <c r="I23" t="s">
        <v>179</v>
      </c>
      <c r="J23">
        <f>YEAR(CONTROLE_PILHAS[[#This Row],[DATA]])</f>
        <v>2021</v>
      </c>
      <c r="K23">
        <f>MONTH(CONTROLE_PILHAS[[#This Row],[DATA]])</f>
        <v>5</v>
      </c>
      <c r="L23">
        <f>DAY(CONTROLE_PILHAS[[#This Row],[DATA]])</f>
        <v>11</v>
      </c>
    </row>
    <row r="24" spans="2:12" x14ac:dyDescent="0.25">
      <c r="B24" s="36" t="s">
        <v>10</v>
      </c>
      <c r="C24" s="30">
        <v>44341</v>
      </c>
      <c r="D24" s="36" t="s">
        <v>238</v>
      </c>
      <c r="E24" s="36" t="s">
        <v>190</v>
      </c>
      <c r="F24" s="36" t="s">
        <v>191</v>
      </c>
      <c r="G24" s="36" t="s">
        <v>191</v>
      </c>
      <c r="H24" s="36">
        <v>1</v>
      </c>
      <c r="I24" t="s">
        <v>179</v>
      </c>
      <c r="J24">
        <f>YEAR(CONTROLE_PILHAS[[#This Row],[DATA]])</f>
        <v>2021</v>
      </c>
      <c r="K24">
        <f>MONTH(CONTROLE_PILHAS[[#This Row],[DATA]])</f>
        <v>5</v>
      </c>
      <c r="L24">
        <f>DAY(CONTROLE_PILHAS[[#This Row],[DATA]])</f>
        <v>25</v>
      </c>
    </row>
    <row r="25" spans="2:12" x14ac:dyDescent="0.25">
      <c r="B25" s="36" t="s">
        <v>10</v>
      </c>
      <c r="C25" s="30">
        <v>44354</v>
      </c>
      <c r="D25" s="36" t="s">
        <v>255</v>
      </c>
      <c r="E25" s="36" t="s">
        <v>190</v>
      </c>
      <c r="F25" s="36" t="s">
        <v>191</v>
      </c>
      <c r="G25" s="36" t="s">
        <v>191</v>
      </c>
      <c r="H25" s="36">
        <v>1</v>
      </c>
      <c r="I25" t="s">
        <v>179</v>
      </c>
      <c r="J25">
        <f>YEAR(CONTROLE_PILHAS[[#This Row],[DATA]])</f>
        <v>2021</v>
      </c>
      <c r="K25">
        <f>MONTH(CONTROLE_PILHAS[[#This Row],[DATA]])</f>
        <v>6</v>
      </c>
      <c r="L25">
        <f>DAY(CONTROLE_PILHAS[[#This Row],[DATA]])</f>
        <v>7</v>
      </c>
    </row>
    <row r="26" spans="2:12" x14ac:dyDescent="0.25">
      <c r="B26" s="36" t="s">
        <v>13</v>
      </c>
      <c r="C26" s="30">
        <v>44265</v>
      </c>
      <c r="D26" s="36" t="s">
        <v>251</v>
      </c>
      <c r="E26" s="36" t="s">
        <v>222</v>
      </c>
      <c r="F26" s="36" t="s">
        <v>191</v>
      </c>
      <c r="G26" s="36" t="s">
        <v>191</v>
      </c>
      <c r="H26" s="36">
        <v>1</v>
      </c>
      <c r="I26" t="s">
        <v>179</v>
      </c>
      <c r="J26">
        <f>YEAR(CONTROLE_PILHAS[[#This Row],[DATA]])</f>
        <v>2021</v>
      </c>
      <c r="K26">
        <f>MONTH(CONTROLE_PILHAS[[#This Row],[DATA]])</f>
        <v>3</v>
      </c>
      <c r="L26">
        <f>DAY(CONTROLE_PILHAS[[#This Row],[DATA]])</f>
        <v>10</v>
      </c>
    </row>
    <row r="27" spans="2:12" x14ac:dyDescent="0.25">
      <c r="B27" s="36" t="s">
        <v>13</v>
      </c>
      <c r="C27" s="30">
        <v>44270</v>
      </c>
      <c r="D27" s="36" t="s">
        <v>258</v>
      </c>
      <c r="E27" s="36" t="s">
        <v>222</v>
      </c>
      <c r="F27" s="36" t="s">
        <v>191</v>
      </c>
      <c r="G27" s="36" t="s">
        <v>191</v>
      </c>
      <c r="H27" s="36">
        <v>1</v>
      </c>
      <c r="I27" t="s">
        <v>179</v>
      </c>
      <c r="J27">
        <f>YEAR(CONTROLE_PILHAS[[#This Row],[DATA]])</f>
        <v>2021</v>
      </c>
      <c r="K27">
        <f>MONTH(CONTROLE_PILHAS[[#This Row],[DATA]])</f>
        <v>3</v>
      </c>
      <c r="L27">
        <f>DAY(CONTROLE_PILHAS[[#This Row],[DATA]])</f>
        <v>15</v>
      </c>
    </row>
    <row r="28" spans="2:12" x14ac:dyDescent="0.25">
      <c r="B28" s="36" t="s">
        <v>13</v>
      </c>
      <c r="C28" s="30">
        <v>44278</v>
      </c>
      <c r="D28" s="36" t="s">
        <v>189</v>
      </c>
      <c r="E28" s="36" t="s">
        <v>190</v>
      </c>
      <c r="F28" s="36" t="s">
        <v>191</v>
      </c>
      <c r="G28" s="36" t="s">
        <v>191</v>
      </c>
      <c r="H28" s="36">
        <v>1</v>
      </c>
      <c r="I28" t="s">
        <v>179</v>
      </c>
      <c r="J28">
        <f>YEAR(CONTROLE_PILHAS[[#This Row],[DATA]])</f>
        <v>2021</v>
      </c>
      <c r="K28">
        <f>MONTH(CONTROLE_PILHAS[[#This Row],[DATA]])</f>
        <v>3</v>
      </c>
      <c r="L28">
        <f>DAY(CONTROLE_PILHAS[[#This Row],[DATA]])</f>
        <v>23</v>
      </c>
    </row>
    <row r="29" spans="2:12" x14ac:dyDescent="0.25">
      <c r="B29" s="36" t="s">
        <v>13</v>
      </c>
      <c r="C29" s="30">
        <v>44287</v>
      </c>
      <c r="D29" s="36" t="s">
        <v>189</v>
      </c>
      <c r="E29" s="36" t="s">
        <v>190</v>
      </c>
      <c r="F29" s="36" t="s">
        <v>191</v>
      </c>
      <c r="G29" s="36" t="s">
        <v>191</v>
      </c>
      <c r="H29" s="36">
        <v>1</v>
      </c>
      <c r="I29" t="s">
        <v>179</v>
      </c>
      <c r="J29">
        <f>YEAR(CONTROLE_PILHAS[[#This Row],[DATA]])</f>
        <v>2021</v>
      </c>
      <c r="K29">
        <f>MONTH(CONTROLE_PILHAS[[#This Row],[DATA]])</f>
        <v>4</v>
      </c>
      <c r="L29">
        <f>DAY(CONTROLE_PILHAS[[#This Row],[DATA]])</f>
        <v>1</v>
      </c>
    </row>
    <row r="30" spans="2:12" x14ac:dyDescent="0.25">
      <c r="B30" s="36" t="s">
        <v>13</v>
      </c>
      <c r="C30" s="30">
        <v>44306</v>
      </c>
      <c r="D30" s="36" t="s">
        <v>189</v>
      </c>
      <c r="E30" s="36" t="s">
        <v>190</v>
      </c>
      <c r="F30" s="36" t="s">
        <v>191</v>
      </c>
      <c r="G30" s="36" t="s">
        <v>191</v>
      </c>
      <c r="H30" s="36">
        <v>1</v>
      </c>
      <c r="I30" t="s">
        <v>179</v>
      </c>
      <c r="J30">
        <f>YEAR(CONTROLE_PILHAS[[#This Row],[DATA]])</f>
        <v>2021</v>
      </c>
      <c r="K30">
        <f>MONTH(CONTROLE_PILHAS[[#This Row],[DATA]])</f>
        <v>4</v>
      </c>
      <c r="L30">
        <f>DAY(CONTROLE_PILHAS[[#This Row],[DATA]])</f>
        <v>20</v>
      </c>
    </row>
    <row r="31" spans="2:12" x14ac:dyDescent="0.25">
      <c r="B31" s="36" t="s">
        <v>21</v>
      </c>
      <c r="C31" s="30">
        <v>44221</v>
      </c>
      <c r="D31" s="36" t="s">
        <v>272</v>
      </c>
      <c r="E31" s="36" t="s">
        <v>222</v>
      </c>
      <c r="F31" s="36" t="s">
        <v>458</v>
      </c>
      <c r="G31" s="36" t="s">
        <v>458</v>
      </c>
      <c r="H31" s="36">
        <v>1</v>
      </c>
      <c r="I31" t="s">
        <v>179</v>
      </c>
      <c r="J31">
        <f>YEAR(CONTROLE_PILHAS[[#This Row],[DATA]])</f>
        <v>2021</v>
      </c>
      <c r="K31">
        <f>MONTH(CONTROLE_PILHAS[[#This Row],[DATA]])</f>
        <v>1</v>
      </c>
      <c r="L31">
        <f>DAY(CONTROLE_PILHAS[[#This Row],[DATA]])</f>
        <v>25</v>
      </c>
    </row>
    <row r="32" spans="2:12" x14ac:dyDescent="0.25">
      <c r="B32" s="36" t="s">
        <v>21</v>
      </c>
      <c r="C32" s="30">
        <v>44245</v>
      </c>
      <c r="D32" s="36" t="s">
        <v>272</v>
      </c>
      <c r="E32" s="36" t="s">
        <v>222</v>
      </c>
      <c r="F32" s="36" t="s">
        <v>458</v>
      </c>
      <c r="G32" s="36" t="s">
        <v>458</v>
      </c>
      <c r="H32" s="36">
        <v>1</v>
      </c>
      <c r="I32" t="s">
        <v>179</v>
      </c>
      <c r="J32">
        <f>YEAR(CONTROLE_PILHAS[[#This Row],[DATA]])</f>
        <v>2021</v>
      </c>
      <c r="K32">
        <f>MONTH(CONTROLE_PILHAS[[#This Row],[DATA]])</f>
        <v>2</v>
      </c>
      <c r="L32">
        <f>DAY(CONTROLE_PILHAS[[#This Row],[DATA]])</f>
        <v>18</v>
      </c>
    </row>
    <row r="33" spans="2:12" x14ac:dyDescent="0.25">
      <c r="B33" s="36" t="s">
        <v>21</v>
      </c>
      <c r="C33" s="30">
        <v>44277</v>
      </c>
      <c r="D33" s="36" t="s">
        <v>275</v>
      </c>
      <c r="E33" s="36" t="s">
        <v>222</v>
      </c>
      <c r="F33" s="36" t="s">
        <v>458</v>
      </c>
      <c r="G33" s="36" t="s">
        <v>458</v>
      </c>
      <c r="H33" s="36">
        <v>1</v>
      </c>
      <c r="I33" t="s">
        <v>179</v>
      </c>
      <c r="J33">
        <f>YEAR(CONTROLE_PILHAS[[#This Row],[DATA]])</f>
        <v>2021</v>
      </c>
      <c r="K33">
        <f>MONTH(CONTROLE_PILHAS[[#This Row],[DATA]])</f>
        <v>3</v>
      </c>
      <c r="L33">
        <f>DAY(CONTROLE_PILHAS[[#This Row],[DATA]])</f>
        <v>22</v>
      </c>
    </row>
    <row r="34" spans="2:12" x14ac:dyDescent="0.25">
      <c r="B34" s="36" t="s">
        <v>21</v>
      </c>
      <c r="C34" s="30">
        <v>44277</v>
      </c>
      <c r="D34" s="36" t="s">
        <v>189</v>
      </c>
      <c r="E34" s="36" t="s">
        <v>190</v>
      </c>
      <c r="F34" s="36" t="s">
        <v>191</v>
      </c>
      <c r="G34" s="36" t="s">
        <v>458</v>
      </c>
      <c r="H34" s="36">
        <v>1</v>
      </c>
      <c r="I34" t="s">
        <v>179</v>
      </c>
      <c r="J34">
        <f>YEAR(CONTROLE_PILHAS[[#This Row],[DATA]])</f>
        <v>2021</v>
      </c>
      <c r="K34">
        <f>MONTH(CONTROLE_PILHAS[[#This Row],[DATA]])</f>
        <v>3</v>
      </c>
      <c r="L34">
        <f>DAY(CONTROLE_PILHAS[[#This Row],[DATA]])</f>
        <v>22</v>
      </c>
    </row>
    <row r="35" spans="2:12" x14ac:dyDescent="0.25">
      <c r="B35" s="36" t="s">
        <v>21</v>
      </c>
      <c r="C35" s="30">
        <v>44278</v>
      </c>
      <c r="D35" s="36" t="s">
        <v>275</v>
      </c>
      <c r="E35" s="36" t="s">
        <v>222</v>
      </c>
      <c r="F35" s="36" t="s">
        <v>458</v>
      </c>
      <c r="G35" s="36" t="s">
        <v>458</v>
      </c>
      <c r="H35" s="36">
        <v>1</v>
      </c>
      <c r="I35" t="s">
        <v>179</v>
      </c>
      <c r="J35">
        <f>YEAR(CONTROLE_PILHAS[[#This Row],[DATA]])</f>
        <v>2021</v>
      </c>
      <c r="K35">
        <f>MONTH(CONTROLE_PILHAS[[#This Row],[DATA]])</f>
        <v>3</v>
      </c>
      <c r="L35">
        <f>DAY(CONTROLE_PILHAS[[#This Row],[DATA]])</f>
        <v>23</v>
      </c>
    </row>
    <row r="36" spans="2:12" x14ac:dyDescent="0.25">
      <c r="B36" s="36" t="s">
        <v>21</v>
      </c>
      <c r="C36" s="30">
        <v>44302</v>
      </c>
      <c r="D36" s="36" t="s">
        <v>233</v>
      </c>
      <c r="E36" s="36" t="s">
        <v>190</v>
      </c>
      <c r="F36" s="36" t="s">
        <v>191</v>
      </c>
      <c r="G36" s="36" t="s">
        <v>458</v>
      </c>
      <c r="H36" s="36">
        <v>1</v>
      </c>
      <c r="I36" t="s">
        <v>179</v>
      </c>
      <c r="J36">
        <f>YEAR(CONTROLE_PILHAS[[#This Row],[DATA]])</f>
        <v>2021</v>
      </c>
      <c r="K36">
        <f>MONTH(CONTROLE_PILHAS[[#This Row],[DATA]])</f>
        <v>4</v>
      </c>
      <c r="L36">
        <f>DAY(CONTROLE_PILHAS[[#This Row],[DATA]])</f>
        <v>16</v>
      </c>
    </row>
    <row r="37" spans="2:12" x14ac:dyDescent="0.25">
      <c r="B37" s="36" t="s">
        <v>21</v>
      </c>
      <c r="C37" s="30">
        <v>44330</v>
      </c>
      <c r="D37" s="36" t="s">
        <v>233</v>
      </c>
      <c r="E37" s="36" t="s">
        <v>190</v>
      </c>
      <c r="F37" s="36" t="s">
        <v>191</v>
      </c>
      <c r="G37" s="36" t="s">
        <v>458</v>
      </c>
      <c r="H37" s="36">
        <v>1</v>
      </c>
      <c r="I37" t="s">
        <v>179</v>
      </c>
      <c r="J37">
        <f>YEAR(CONTROLE_PILHAS[[#This Row],[DATA]])</f>
        <v>2021</v>
      </c>
      <c r="K37">
        <f>MONTH(CONTROLE_PILHAS[[#This Row],[DATA]])</f>
        <v>5</v>
      </c>
      <c r="L37">
        <f>DAY(CONTROLE_PILHAS[[#This Row],[DATA]])</f>
        <v>14</v>
      </c>
    </row>
    <row r="38" spans="2:12" x14ac:dyDescent="0.25">
      <c r="B38" s="36" t="s">
        <v>22</v>
      </c>
      <c r="C38" s="30">
        <v>44252</v>
      </c>
      <c r="D38" s="36" t="s">
        <v>280</v>
      </c>
      <c r="E38" s="36" t="s">
        <v>222</v>
      </c>
      <c r="F38" s="36" t="s">
        <v>458</v>
      </c>
      <c r="G38" s="36" t="s">
        <v>458</v>
      </c>
      <c r="H38" s="36">
        <v>1</v>
      </c>
      <c r="I38" t="s">
        <v>179</v>
      </c>
      <c r="J38">
        <f>YEAR(CONTROLE_PILHAS[[#This Row],[DATA]])</f>
        <v>2021</v>
      </c>
      <c r="K38">
        <f>MONTH(CONTROLE_PILHAS[[#This Row],[DATA]])</f>
        <v>2</v>
      </c>
      <c r="L38">
        <f>DAY(CONTROLE_PILHAS[[#This Row],[DATA]])</f>
        <v>25</v>
      </c>
    </row>
    <row r="39" spans="2:12" x14ac:dyDescent="0.25">
      <c r="B39" s="36" t="s">
        <v>22</v>
      </c>
      <c r="C39" s="30">
        <v>44270</v>
      </c>
      <c r="D39" s="36" t="s">
        <v>274</v>
      </c>
      <c r="E39" s="36" t="s">
        <v>222</v>
      </c>
      <c r="F39" s="36" t="s">
        <v>458</v>
      </c>
      <c r="G39" s="36" t="s">
        <v>458</v>
      </c>
      <c r="H39" s="36">
        <v>1</v>
      </c>
      <c r="I39" t="s">
        <v>179</v>
      </c>
      <c r="J39">
        <f>YEAR(CONTROLE_PILHAS[[#This Row],[DATA]])</f>
        <v>2021</v>
      </c>
      <c r="K39">
        <f>MONTH(CONTROLE_PILHAS[[#This Row],[DATA]])</f>
        <v>3</v>
      </c>
      <c r="L39">
        <f>DAY(CONTROLE_PILHAS[[#This Row],[DATA]])</f>
        <v>15</v>
      </c>
    </row>
    <row r="40" spans="2:12" x14ac:dyDescent="0.25">
      <c r="B40" s="36" t="s">
        <v>22</v>
      </c>
      <c r="C40" s="30">
        <v>44271</v>
      </c>
      <c r="D40" s="36" t="s">
        <v>281</v>
      </c>
      <c r="E40" s="36" t="s">
        <v>222</v>
      </c>
      <c r="F40" s="36" t="s">
        <v>458</v>
      </c>
      <c r="G40" s="36" t="s">
        <v>458</v>
      </c>
      <c r="H40" s="36">
        <v>1</v>
      </c>
      <c r="I40" t="s">
        <v>179</v>
      </c>
      <c r="J40">
        <f>YEAR(CONTROLE_PILHAS[[#This Row],[DATA]])</f>
        <v>2021</v>
      </c>
      <c r="K40">
        <f>MONTH(CONTROLE_PILHAS[[#This Row],[DATA]])</f>
        <v>3</v>
      </c>
      <c r="L40">
        <f>DAY(CONTROLE_PILHAS[[#This Row],[DATA]])</f>
        <v>16</v>
      </c>
    </row>
    <row r="41" spans="2:12" x14ac:dyDescent="0.25">
      <c r="B41" s="36" t="s">
        <v>22</v>
      </c>
      <c r="C41" s="30">
        <v>44280</v>
      </c>
      <c r="D41" s="36" t="s">
        <v>189</v>
      </c>
      <c r="E41" s="36" t="s">
        <v>190</v>
      </c>
      <c r="F41" s="36" t="s">
        <v>191</v>
      </c>
      <c r="G41" s="36" t="s">
        <v>191</v>
      </c>
      <c r="H41" s="36">
        <v>1</v>
      </c>
      <c r="I41" t="s">
        <v>179</v>
      </c>
      <c r="J41">
        <f>YEAR(CONTROLE_PILHAS[[#This Row],[DATA]])</f>
        <v>2021</v>
      </c>
      <c r="K41">
        <f>MONTH(CONTROLE_PILHAS[[#This Row],[DATA]])</f>
        <v>3</v>
      </c>
      <c r="L41">
        <f>DAY(CONTROLE_PILHAS[[#This Row],[DATA]])</f>
        <v>25</v>
      </c>
    </row>
    <row r="42" spans="2:12" x14ac:dyDescent="0.25">
      <c r="B42" s="36" t="s">
        <v>22</v>
      </c>
      <c r="C42" s="30">
        <v>44295</v>
      </c>
      <c r="D42" s="36" t="s">
        <v>189</v>
      </c>
      <c r="E42" s="36" t="s">
        <v>222</v>
      </c>
      <c r="F42" s="36" t="s">
        <v>191</v>
      </c>
      <c r="G42" s="36" t="s">
        <v>191</v>
      </c>
      <c r="H42" s="36">
        <v>1</v>
      </c>
      <c r="I42" t="s">
        <v>179</v>
      </c>
      <c r="J42">
        <f>YEAR(CONTROLE_PILHAS[[#This Row],[DATA]])</f>
        <v>2021</v>
      </c>
      <c r="K42">
        <f>MONTH(CONTROLE_PILHAS[[#This Row],[DATA]])</f>
        <v>4</v>
      </c>
      <c r="L42">
        <f>DAY(CONTROLE_PILHAS[[#This Row],[DATA]])</f>
        <v>9</v>
      </c>
    </row>
    <row r="43" spans="2:12" x14ac:dyDescent="0.25">
      <c r="B43" s="36" t="s">
        <v>22</v>
      </c>
      <c r="C43" s="30">
        <v>44298</v>
      </c>
      <c r="D43" s="36" t="s">
        <v>189</v>
      </c>
      <c r="E43" s="36" t="s">
        <v>190</v>
      </c>
      <c r="F43" s="36" t="s">
        <v>191</v>
      </c>
      <c r="G43" s="36" t="s">
        <v>191</v>
      </c>
      <c r="H43" s="36">
        <v>1</v>
      </c>
      <c r="I43" t="s">
        <v>179</v>
      </c>
      <c r="J43">
        <f>YEAR(CONTROLE_PILHAS[[#This Row],[DATA]])</f>
        <v>2021</v>
      </c>
      <c r="K43">
        <f>MONTH(CONTROLE_PILHAS[[#This Row],[DATA]])</f>
        <v>4</v>
      </c>
      <c r="L43">
        <f>DAY(CONTROLE_PILHAS[[#This Row],[DATA]])</f>
        <v>12</v>
      </c>
    </row>
    <row r="44" spans="2:12" x14ac:dyDescent="0.25">
      <c r="B44" s="36" t="s">
        <v>22</v>
      </c>
      <c r="C44" s="30">
        <v>44316</v>
      </c>
      <c r="D44" s="36" t="s">
        <v>240</v>
      </c>
      <c r="E44" s="36" t="s">
        <v>190</v>
      </c>
      <c r="F44" s="36" t="s">
        <v>191</v>
      </c>
      <c r="G44" s="36" t="s">
        <v>191</v>
      </c>
      <c r="H44" s="36">
        <v>1</v>
      </c>
      <c r="I44" t="s">
        <v>179</v>
      </c>
      <c r="J44">
        <f>YEAR(CONTROLE_PILHAS[[#This Row],[DATA]])</f>
        <v>2021</v>
      </c>
      <c r="K44">
        <f>MONTH(CONTROLE_PILHAS[[#This Row],[DATA]])</f>
        <v>4</v>
      </c>
      <c r="L44">
        <f>DAY(CONTROLE_PILHAS[[#This Row],[DATA]])</f>
        <v>30</v>
      </c>
    </row>
    <row r="45" spans="2:12" x14ac:dyDescent="0.25">
      <c r="B45" s="36" t="s">
        <v>22</v>
      </c>
      <c r="C45" s="30">
        <v>44323</v>
      </c>
      <c r="D45" s="36" t="s">
        <v>233</v>
      </c>
      <c r="E45" s="36" t="s">
        <v>222</v>
      </c>
      <c r="F45" s="36" t="s">
        <v>191</v>
      </c>
      <c r="G45" s="36" t="s">
        <v>191</v>
      </c>
      <c r="H45" s="36">
        <v>1</v>
      </c>
      <c r="I45" t="s">
        <v>179</v>
      </c>
      <c r="J45">
        <f>YEAR(CONTROLE_PILHAS[[#This Row],[DATA]])</f>
        <v>2021</v>
      </c>
      <c r="K45">
        <f>MONTH(CONTROLE_PILHAS[[#This Row],[DATA]])</f>
        <v>5</v>
      </c>
      <c r="L45">
        <f>DAY(CONTROLE_PILHAS[[#This Row],[DATA]])</f>
        <v>7</v>
      </c>
    </row>
    <row r="46" spans="2:12" x14ac:dyDescent="0.25">
      <c r="B46" s="36" t="s">
        <v>22</v>
      </c>
      <c r="C46" s="30">
        <v>44337</v>
      </c>
      <c r="D46" s="36" t="s">
        <v>233</v>
      </c>
      <c r="E46" s="36" t="s">
        <v>222</v>
      </c>
      <c r="F46" s="36" t="s">
        <v>191</v>
      </c>
      <c r="G46" s="36" t="s">
        <v>191</v>
      </c>
      <c r="H46" s="36">
        <v>1</v>
      </c>
      <c r="I46" t="s">
        <v>179</v>
      </c>
      <c r="J46">
        <f>YEAR(CONTROLE_PILHAS[[#This Row],[DATA]])</f>
        <v>2021</v>
      </c>
      <c r="K46">
        <f>MONTH(CONTROLE_PILHAS[[#This Row],[DATA]])</f>
        <v>5</v>
      </c>
      <c r="L46">
        <f>DAY(CONTROLE_PILHAS[[#This Row],[DATA]])</f>
        <v>21</v>
      </c>
    </row>
    <row r="47" spans="2:12" x14ac:dyDescent="0.25">
      <c r="B47" s="36" t="s">
        <v>22</v>
      </c>
      <c r="C47" s="30">
        <v>44355</v>
      </c>
      <c r="D47" s="36" t="s">
        <v>240</v>
      </c>
      <c r="E47" s="36" t="s">
        <v>190</v>
      </c>
      <c r="F47" s="36" t="s">
        <v>191</v>
      </c>
      <c r="G47" s="36" t="s">
        <v>191</v>
      </c>
      <c r="H47" s="36">
        <v>1</v>
      </c>
      <c r="I47" t="s">
        <v>179</v>
      </c>
      <c r="J47">
        <f>YEAR(CONTROLE_PILHAS[[#This Row],[DATA]])</f>
        <v>2021</v>
      </c>
      <c r="K47">
        <f>MONTH(CONTROLE_PILHAS[[#This Row],[DATA]])</f>
        <v>6</v>
      </c>
      <c r="L47">
        <f>DAY(CONTROLE_PILHAS[[#This Row],[DATA]])</f>
        <v>8</v>
      </c>
    </row>
    <row r="48" spans="2:12" x14ac:dyDescent="0.25">
      <c r="B48" s="36" t="s">
        <v>22</v>
      </c>
      <c r="C48" s="30">
        <v>44363</v>
      </c>
      <c r="D48" s="36" t="s">
        <v>240</v>
      </c>
      <c r="E48" s="36" t="s">
        <v>190</v>
      </c>
      <c r="F48" s="36" t="s">
        <v>191</v>
      </c>
      <c r="G48" s="36" t="s">
        <v>191</v>
      </c>
      <c r="H48" s="36">
        <v>1</v>
      </c>
      <c r="I48" t="s">
        <v>179</v>
      </c>
      <c r="J48">
        <f>YEAR(CONTROLE_PILHAS[[#This Row],[DATA]])</f>
        <v>2021</v>
      </c>
      <c r="K48">
        <f>MONTH(CONTROLE_PILHAS[[#This Row],[DATA]])</f>
        <v>6</v>
      </c>
      <c r="L48">
        <f>DAY(CONTROLE_PILHAS[[#This Row],[DATA]])</f>
        <v>16</v>
      </c>
    </row>
    <row r="49" spans="2:12" x14ac:dyDescent="0.25">
      <c r="B49" s="36" t="s">
        <v>14</v>
      </c>
      <c r="C49" s="30">
        <v>44229</v>
      </c>
      <c r="D49" s="36" t="s">
        <v>280</v>
      </c>
      <c r="E49" s="36" t="s">
        <v>222</v>
      </c>
      <c r="F49" s="36" t="s">
        <v>191</v>
      </c>
      <c r="G49" s="36" t="s">
        <v>191</v>
      </c>
      <c r="H49" s="36">
        <v>1</v>
      </c>
      <c r="I49" t="s">
        <v>179</v>
      </c>
      <c r="J49">
        <f>YEAR(CONTROLE_PILHAS[[#This Row],[DATA]])</f>
        <v>2021</v>
      </c>
      <c r="K49">
        <f>MONTH(CONTROLE_PILHAS[[#This Row],[DATA]])</f>
        <v>2</v>
      </c>
      <c r="L49">
        <f>DAY(CONTROLE_PILHAS[[#This Row],[DATA]])</f>
        <v>2</v>
      </c>
    </row>
    <row r="50" spans="2:12" x14ac:dyDescent="0.25">
      <c r="B50" s="36" t="s">
        <v>14</v>
      </c>
      <c r="C50" s="30">
        <v>44249</v>
      </c>
      <c r="D50" s="36" t="s">
        <v>280</v>
      </c>
      <c r="E50" s="36" t="s">
        <v>222</v>
      </c>
      <c r="F50" s="36" t="s">
        <v>191</v>
      </c>
      <c r="G50" s="36" t="s">
        <v>191</v>
      </c>
      <c r="H50" s="36">
        <v>1</v>
      </c>
      <c r="I50" t="s">
        <v>179</v>
      </c>
      <c r="J50">
        <f>YEAR(CONTROLE_PILHAS[[#This Row],[DATA]])</f>
        <v>2021</v>
      </c>
      <c r="K50">
        <f>MONTH(CONTROLE_PILHAS[[#This Row],[DATA]])</f>
        <v>2</v>
      </c>
      <c r="L50">
        <f>DAY(CONTROLE_PILHAS[[#This Row],[DATA]])</f>
        <v>22</v>
      </c>
    </row>
    <row r="51" spans="2:12" x14ac:dyDescent="0.25">
      <c r="B51" s="36" t="s">
        <v>14</v>
      </c>
      <c r="C51" s="30">
        <v>44286</v>
      </c>
      <c r="D51" s="36" t="s">
        <v>280</v>
      </c>
      <c r="E51" s="36" t="s">
        <v>222</v>
      </c>
      <c r="F51" s="36" t="s">
        <v>191</v>
      </c>
      <c r="G51" s="36" t="s">
        <v>191</v>
      </c>
      <c r="H51" s="36">
        <v>1</v>
      </c>
      <c r="I51" t="s">
        <v>179</v>
      </c>
      <c r="J51">
        <f>YEAR(CONTROLE_PILHAS[[#This Row],[DATA]])</f>
        <v>2021</v>
      </c>
      <c r="K51">
        <f>MONTH(CONTROLE_PILHAS[[#This Row],[DATA]])</f>
        <v>3</v>
      </c>
      <c r="L51">
        <f>DAY(CONTROLE_PILHAS[[#This Row],[DATA]])</f>
        <v>31</v>
      </c>
    </row>
    <row r="52" spans="2:12" x14ac:dyDescent="0.25">
      <c r="B52" s="36" t="s">
        <v>14</v>
      </c>
      <c r="C52" s="30">
        <v>44291</v>
      </c>
      <c r="D52" s="36" t="s">
        <v>280</v>
      </c>
      <c r="E52" s="36" t="s">
        <v>222</v>
      </c>
      <c r="F52" s="36" t="s">
        <v>191</v>
      </c>
      <c r="G52" s="36" t="s">
        <v>191</v>
      </c>
      <c r="H52" s="36">
        <v>1</v>
      </c>
      <c r="I52" t="s">
        <v>179</v>
      </c>
      <c r="J52">
        <f>YEAR(CONTROLE_PILHAS[[#This Row],[DATA]])</f>
        <v>2021</v>
      </c>
      <c r="K52">
        <f>MONTH(CONTROLE_PILHAS[[#This Row],[DATA]])</f>
        <v>4</v>
      </c>
      <c r="L52">
        <f>DAY(CONTROLE_PILHAS[[#This Row],[DATA]])</f>
        <v>5</v>
      </c>
    </row>
    <row r="53" spans="2:12" x14ac:dyDescent="0.25">
      <c r="B53" s="36" t="s">
        <v>14</v>
      </c>
      <c r="C53" s="30">
        <v>44300</v>
      </c>
      <c r="D53" s="36" t="s">
        <v>280</v>
      </c>
      <c r="E53" s="36" t="s">
        <v>222</v>
      </c>
      <c r="F53" s="36" t="s">
        <v>191</v>
      </c>
      <c r="G53" s="36" t="s">
        <v>191</v>
      </c>
      <c r="H53" s="36">
        <v>1</v>
      </c>
      <c r="I53" t="s">
        <v>179</v>
      </c>
      <c r="J53">
        <f>YEAR(CONTROLE_PILHAS[[#This Row],[DATA]])</f>
        <v>2021</v>
      </c>
      <c r="K53">
        <f>MONTH(CONTROLE_PILHAS[[#This Row],[DATA]])</f>
        <v>4</v>
      </c>
      <c r="L53">
        <f>DAY(CONTROLE_PILHAS[[#This Row],[DATA]])</f>
        <v>14</v>
      </c>
    </row>
    <row r="54" spans="2:12" x14ac:dyDescent="0.25">
      <c r="B54" s="36" t="s">
        <v>14</v>
      </c>
      <c r="C54" s="30">
        <v>44306</v>
      </c>
      <c r="D54" s="36" t="s">
        <v>280</v>
      </c>
      <c r="E54" s="36" t="s">
        <v>222</v>
      </c>
      <c r="F54" s="36" t="s">
        <v>191</v>
      </c>
      <c r="G54" s="36" t="s">
        <v>191</v>
      </c>
      <c r="H54" s="36">
        <v>1</v>
      </c>
      <c r="I54" t="s">
        <v>179</v>
      </c>
      <c r="J54">
        <f>YEAR(CONTROLE_PILHAS[[#This Row],[DATA]])</f>
        <v>2021</v>
      </c>
      <c r="K54">
        <f>MONTH(CONTROLE_PILHAS[[#This Row],[DATA]])</f>
        <v>4</v>
      </c>
      <c r="L54">
        <f>DAY(CONTROLE_PILHAS[[#This Row],[DATA]])</f>
        <v>20</v>
      </c>
    </row>
    <row r="55" spans="2:12" x14ac:dyDescent="0.25">
      <c r="B55" s="36" t="s">
        <v>14</v>
      </c>
      <c r="C55" s="30">
        <v>44344</v>
      </c>
      <c r="D55" s="36" t="s">
        <v>280</v>
      </c>
      <c r="E55" s="36" t="s">
        <v>222</v>
      </c>
      <c r="F55" s="36" t="s">
        <v>191</v>
      </c>
      <c r="G55" s="36" t="s">
        <v>191</v>
      </c>
      <c r="H55" s="36">
        <v>1</v>
      </c>
      <c r="I55" t="s">
        <v>179</v>
      </c>
      <c r="J55">
        <f>YEAR(CONTROLE_PILHAS[[#This Row],[DATA]])</f>
        <v>2021</v>
      </c>
      <c r="K55">
        <f>MONTH(CONTROLE_PILHAS[[#This Row],[DATA]])</f>
        <v>5</v>
      </c>
      <c r="L55">
        <f>DAY(CONTROLE_PILHAS[[#This Row],[DATA]])</f>
        <v>28</v>
      </c>
    </row>
    <row r="56" spans="2:12" x14ac:dyDescent="0.25">
      <c r="B56" s="36" t="s">
        <v>15</v>
      </c>
      <c r="C56" s="30">
        <v>44222</v>
      </c>
      <c r="D56" s="36" t="s">
        <v>280</v>
      </c>
      <c r="E56" s="36" t="s">
        <v>222</v>
      </c>
      <c r="F56" s="36" t="s">
        <v>191</v>
      </c>
      <c r="G56" s="36" t="s">
        <v>191</v>
      </c>
      <c r="H56" s="36">
        <v>1</v>
      </c>
      <c r="I56" t="s">
        <v>179</v>
      </c>
      <c r="J56">
        <f>YEAR(CONTROLE_PILHAS[[#This Row],[DATA]])</f>
        <v>2021</v>
      </c>
      <c r="K56">
        <f>MONTH(CONTROLE_PILHAS[[#This Row],[DATA]])</f>
        <v>1</v>
      </c>
      <c r="L56">
        <f>DAY(CONTROLE_PILHAS[[#This Row],[DATA]])</f>
        <v>26</v>
      </c>
    </row>
    <row r="57" spans="2:12" x14ac:dyDescent="0.25">
      <c r="B57" s="36" t="s">
        <v>15</v>
      </c>
      <c r="C57" s="30">
        <v>44284</v>
      </c>
      <c r="D57" s="36" t="s">
        <v>280</v>
      </c>
      <c r="E57" s="36" t="s">
        <v>222</v>
      </c>
      <c r="F57" s="36" t="s">
        <v>191</v>
      </c>
      <c r="G57" s="36" t="s">
        <v>191</v>
      </c>
      <c r="H57" s="36">
        <v>1</v>
      </c>
      <c r="I57" t="s">
        <v>179</v>
      </c>
      <c r="J57">
        <f>YEAR(CONTROLE_PILHAS[[#This Row],[DATA]])</f>
        <v>2021</v>
      </c>
      <c r="K57">
        <f>MONTH(CONTROLE_PILHAS[[#This Row],[DATA]])</f>
        <v>3</v>
      </c>
      <c r="L57">
        <f>DAY(CONTROLE_PILHAS[[#This Row],[DATA]])</f>
        <v>29</v>
      </c>
    </row>
    <row r="58" spans="2:12" x14ac:dyDescent="0.25">
      <c r="B58" s="36" t="s">
        <v>15</v>
      </c>
      <c r="C58" s="30">
        <v>44299</v>
      </c>
      <c r="D58" s="36" t="s">
        <v>280</v>
      </c>
      <c r="E58" s="36" t="s">
        <v>222</v>
      </c>
      <c r="F58" s="36" t="s">
        <v>191</v>
      </c>
      <c r="G58" s="36" t="s">
        <v>191</v>
      </c>
      <c r="H58" s="36">
        <v>1</v>
      </c>
      <c r="I58" t="s">
        <v>179</v>
      </c>
      <c r="J58">
        <f>YEAR(CONTROLE_PILHAS[[#This Row],[DATA]])</f>
        <v>2021</v>
      </c>
      <c r="K58">
        <f>MONTH(CONTROLE_PILHAS[[#This Row],[DATA]])</f>
        <v>4</v>
      </c>
      <c r="L58">
        <f>DAY(CONTROLE_PILHAS[[#This Row],[DATA]])</f>
        <v>13</v>
      </c>
    </row>
    <row r="59" spans="2:12" x14ac:dyDescent="0.25">
      <c r="B59" s="36" t="s">
        <v>15</v>
      </c>
      <c r="C59" s="30">
        <v>44305</v>
      </c>
      <c r="D59" s="36" t="s">
        <v>280</v>
      </c>
      <c r="E59" s="36" t="s">
        <v>222</v>
      </c>
      <c r="F59" s="36" t="s">
        <v>191</v>
      </c>
      <c r="G59" s="36" t="s">
        <v>191</v>
      </c>
      <c r="H59" s="36">
        <v>1</v>
      </c>
      <c r="I59" t="s">
        <v>179</v>
      </c>
      <c r="J59">
        <f>YEAR(CONTROLE_PILHAS[[#This Row],[DATA]])</f>
        <v>2021</v>
      </c>
      <c r="K59">
        <f>MONTH(CONTROLE_PILHAS[[#This Row],[DATA]])</f>
        <v>4</v>
      </c>
      <c r="L59">
        <f>DAY(CONTROLE_PILHAS[[#This Row],[DATA]])</f>
        <v>19</v>
      </c>
    </row>
    <row r="60" spans="2:12" x14ac:dyDescent="0.25">
      <c r="B60" s="36" t="s">
        <v>15</v>
      </c>
      <c r="C60" s="30">
        <v>44340</v>
      </c>
      <c r="D60" s="36" t="s">
        <v>280</v>
      </c>
      <c r="E60" s="36" t="s">
        <v>222</v>
      </c>
      <c r="F60" s="36" t="s">
        <v>191</v>
      </c>
      <c r="G60" s="36" t="s">
        <v>191</v>
      </c>
      <c r="H60" s="36">
        <v>1</v>
      </c>
      <c r="I60" t="s">
        <v>179</v>
      </c>
      <c r="J60">
        <f>YEAR(CONTROLE_PILHAS[[#This Row],[DATA]])</f>
        <v>2021</v>
      </c>
      <c r="K60">
        <f>MONTH(CONTROLE_PILHAS[[#This Row],[DATA]])</f>
        <v>5</v>
      </c>
      <c r="L60">
        <f>DAY(CONTROLE_PILHAS[[#This Row],[DATA]])</f>
        <v>24</v>
      </c>
    </row>
    <row r="61" spans="2:12" x14ac:dyDescent="0.25">
      <c r="B61" s="36" t="s">
        <v>15</v>
      </c>
      <c r="C61" s="30">
        <v>44361</v>
      </c>
      <c r="D61" s="36" t="s">
        <v>258</v>
      </c>
      <c r="E61" s="36" t="s">
        <v>222</v>
      </c>
      <c r="F61" s="36" t="s">
        <v>191</v>
      </c>
      <c r="G61" s="36" t="s">
        <v>191</v>
      </c>
      <c r="H61" s="36">
        <v>1</v>
      </c>
      <c r="I61" t="s">
        <v>179</v>
      </c>
      <c r="J61">
        <f>YEAR(CONTROLE_PILHAS[[#This Row],[DATA]])</f>
        <v>2021</v>
      </c>
      <c r="K61">
        <f>MONTH(CONTROLE_PILHAS[[#This Row],[DATA]])</f>
        <v>6</v>
      </c>
      <c r="L61">
        <f>DAY(CONTROLE_PILHAS[[#This Row],[DATA]])</f>
        <v>14</v>
      </c>
    </row>
    <row r="62" spans="2:12" x14ac:dyDescent="0.25">
      <c r="B62" s="36" t="s">
        <v>16</v>
      </c>
      <c r="C62" s="30">
        <v>44221</v>
      </c>
      <c r="D62" s="36" t="s">
        <v>280</v>
      </c>
      <c r="E62" s="36" t="s">
        <v>222</v>
      </c>
      <c r="F62" s="36" t="s">
        <v>458</v>
      </c>
      <c r="G62" s="36" t="s">
        <v>458</v>
      </c>
      <c r="H62" s="36">
        <v>1</v>
      </c>
      <c r="I62" t="s">
        <v>179</v>
      </c>
      <c r="J62">
        <f>YEAR(CONTROLE_PILHAS[[#This Row],[DATA]])</f>
        <v>2021</v>
      </c>
      <c r="K62">
        <f>MONTH(CONTROLE_PILHAS[[#This Row],[DATA]])</f>
        <v>1</v>
      </c>
      <c r="L62">
        <f>DAY(CONTROLE_PILHAS[[#This Row],[DATA]])</f>
        <v>25</v>
      </c>
    </row>
    <row r="63" spans="2:12" x14ac:dyDescent="0.25">
      <c r="B63" s="36" t="s">
        <v>16</v>
      </c>
      <c r="C63" s="30">
        <v>44224</v>
      </c>
      <c r="D63" s="36" t="s">
        <v>280</v>
      </c>
      <c r="E63" s="36" t="s">
        <v>222</v>
      </c>
      <c r="F63" s="36" t="s">
        <v>458</v>
      </c>
      <c r="G63" s="36" t="s">
        <v>458</v>
      </c>
      <c r="H63" s="36">
        <v>1</v>
      </c>
      <c r="I63" t="s">
        <v>179</v>
      </c>
      <c r="J63">
        <f>YEAR(CONTROLE_PILHAS[[#This Row],[DATA]])</f>
        <v>2021</v>
      </c>
      <c r="K63">
        <f>MONTH(CONTROLE_PILHAS[[#This Row],[DATA]])</f>
        <v>1</v>
      </c>
      <c r="L63">
        <f>DAY(CONTROLE_PILHAS[[#This Row],[DATA]])</f>
        <v>28</v>
      </c>
    </row>
    <row r="64" spans="2:12" x14ac:dyDescent="0.25">
      <c r="B64" s="36" t="s">
        <v>16</v>
      </c>
      <c r="C64" s="30">
        <v>44265</v>
      </c>
      <c r="D64" s="36" t="s">
        <v>272</v>
      </c>
      <c r="E64" s="36" t="s">
        <v>222</v>
      </c>
      <c r="F64" s="36" t="s">
        <v>191</v>
      </c>
      <c r="G64" s="36" t="s">
        <v>458</v>
      </c>
      <c r="H64" s="36">
        <v>1</v>
      </c>
      <c r="I64" t="s">
        <v>179</v>
      </c>
      <c r="J64">
        <f>YEAR(CONTROLE_PILHAS[[#This Row],[DATA]])</f>
        <v>2021</v>
      </c>
      <c r="K64">
        <f>MONTH(CONTROLE_PILHAS[[#This Row],[DATA]])</f>
        <v>3</v>
      </c>
      <c r="L64">
        <f>DAY(CONTROLE_PILHAS[[#This Row],[DATA]])</f>
        <v>10</v>
      </c>
    </row>
    <row r="65" spans="2:12" x14ac:dyDescent="0.25">
      <c r="B65" s="36" t="s">
        <v>16</v>
      </c>
      <c r="C65" s="30">
        <v>44271</v>
      </c>
      <c r="D65" s="36" t="s">
        <v>280</v>
      </c>
      <c r="E65" s="36" t="s">
        <v>222</v>
      </c>
      <c r="F65" s="36" t="s">
        <v>191</v>
      </c>
      <c r="G65" s="36" t="s">
        <v>191</v>
      </c>
      <c r="H65" s="36">
        <v>1</v>
      </c>
      <c r="I65" t="s">
        <v>179</v>
      </c>
      <c r="J65">
        <f>YEAR(CONTROLE_PILHAS[[#This Row],[DATA]])</f>
        <v>2021</v>
      </c>
      <c r="K65">
        <f>MONTH(CONTROLE_PILHAS[[#This Row],[DATA]])</f>
        <v>3</v>
      </c>
      <c r="L65">
        <f>DAY(CONTROLE_PILHAS[[#This Row],[DATA]])</f>
        <v>16</v>
      </c>
    </row>
    <row r="66" spans="2:12" x14ac:dyDescent="0.25">
      <c r="B66" s="36" t="s">
        <v>16</v>
      </c>
      <c r="C66" s="30">
        <v>44284</v>
      </c>
      <c r="D66" s="36" t="s">
        <v>280</v>
      </c>
      <c r="E66" s="36" t="s">
        <v>222</v>
      </c>
      <c r="F66" s="36" t="s">
        <v>191</v>
      </c>
      <c r="G66" s="36" t="s">
        <v>458</v>
      </c>
      <c r="H66" s="36">
        <v>1</v>
      </c>
      <c r="I66" t="s">
        <v>179</v>
      </c>
      <c r="J66">
        <f>YEAR(CONTROLE_PILHAS[[#This Row],[DATA]])</f>
        <v>2021</v>
      </c>
      <c r="K66">
        <f>MONTH(CONTROLE_PILHAS[[#This Row],[DATA]])</f>
        <v>3</v>
      </c>
      <c r="L66">
        <f>DAY(CONTROLE_PILHAS[[#This Row],[DATA]])</f>
        <v>29</v>
      </c>
    </row>
    <row r="67" spans="2:12" x14ac:dyDescent="0.25">
      <c r="B67" s="36" t="s">
        <v>16</v>
      </c>
      <c r="C67" s="30">
        <v>44294</v>
      </c>
      <c r="D67" s="36" t="s">
        <v>280</v>
      </c>
      <c r="E67" s="36" t="s">
        <v>222</v>
      </c>
      <c r="F67" s="36" t="s">
        <v>191</v>
      </c>
      <c r="G67" s="36" t="s">
        <v>191</v>
      </c>
      <c r="H67" s="36">
        <v>1</v>
      </c>
      <c r="I67" t="s">
        <v>179</v>
      </c>
      <c r="J67">
        <f>YEAR(CONTROLE_PILHAS[[#This Row],[DATA]])</f>
        <v>2021</v>
      </c>
      <c r="K67">
        <f>MONTH(CONTROLE_PILHAS[[#This Row],[DATA]])</f>
        <v>4</v>
      </c>
      <c r="L67">
        <f>DAY(CONTROLE_PILHAS[[#This Row],[DATA]])</f>
        <v>8</v>
      </c>
    </row>
    <row r="68" spans="2:12" x14ac:dyDescent="0.25">
      <c r="B68" s="36" t="s">
        <v>16</v>
      </c>
      <c r="C68" s="30">
        <v>44309</v>
      </c>
      <c r="D68" s="36" t="s">
        <v>233</v>
      </c>
      <c r="E68" s="36" t="s">
        <v>190</v>
      </c>
      <c r="F68" s="36" t="s">
        <v>191</v>
      </c>
      <c r="G68" s="36" t="s">
        <v>191</v>
      </c>
      <c r="H68" s="36">
        <v>1</v>
      </c>
      <c r="I68" t="s">
        <v>179</v>
      </c>
      <c r="J68">
        <f>YEAR(CONTROLE_PILHAS[[#This Row],[DATA]])</f>
        <v>2021</v>
      </c>
      <c r="K68">
        <f>MONTH(CONTROLE_PILHAS[[#This Row],[DATA]])</f>
        <v>4</v>
      </c>
      <c r="L68">
        <f>DAY(CONTROLE_PILHAS[[#This Row],[DATA]])</f>
        <v>23</v>
      </c>
    </row>
    <row r="69" spans="2:12" x14ac:dyDescent="0.25">
      <c r="B69" s="36" t="s">
        <v>16</v>
      </c>
      <c r="C69" s="30">
        <v>44326</v>
      </c>
      <c r="D69" s="36" t="s">
        <v>233</v>
      </c>
      <c r="E69" s="36" t="s">
        <v>190</v>
      </c>
      <c r="F69" s="36" t="s">
        <v>191</v>
      </c>
      <c r="G69" s="36" t="s">
        <v>191</v>
      </c>
      <c r="H69" s="36">
        <v>1</v>
      </c>
      <c r="I69" t="s">
        <v>179</v>
      </c>
      <c r="J69">
        <f>YEAR(CONTROLE_PILHAS[[#This Row],[DATA]])</f>
        <v>2021</v>
      </c>
      <c r="K69">
        <f>MONTH(CONTROLE_PILHAS[[#This Row],[DATA]])</f>
        <v>5</v>
      </c>
      <c r="L69">
        <f>DAY(CONTROLE_PILHAS[[#This Row],[DATA]])</f>
        <v>10</v>
      </c>
    </row>
    <row r="70" spans="2:12" x14ac:dyDescent="0.25">
      <c r="B70" s="36" t="s">
        <v>16</v>
      </c>
      <c r="C70" s="30">
        <v>44340</v>
      </c>
      <c r="D70" s="36" t="s">
        <v>251</v>
      </c>
      <c r="E70" s="36" t="s">
        <v>190</v>
      </c>
      <c r="F70" s="36" t="s">
        <v>191</v>
      </c>
      <c r="G70" s="36" t="s">
        <v>191</v>
      </c>
      <c r="H70" s="36">
        <v>1</v>
      </c>
      <c r="I70" t="s">
        <v>179</v>
      </c>
      <c r="J70">
        <f>YEAR(CONTROLE_PILHAS[[#This Row],[DATA]])</f>
        <v>2021</v>
      </c>
      <c r="K70">
        <f>MONTH(CONTROLE_PILHAS[[#This Row],[DATA]])</f>
        <v>5</v>
      </c>
      <c r="L70">
        <f>DAY(CONTROLE_PILHAS[[#This Row],[DATA]])</f>
        <v>24</v>
      </c>
    </row>
    <row r="71" spans="2:12" x14ac:dyDescent="0.25">
      <c r="B71" s="36" t="s">
        <v>16</v>
      </c>
      <c r="C71" s="30">
        <v>44357</v>
      </c>
      <c r="D71" s="36" t="s">
        <v>233</v>
      </c>
      <c r="E71" s="36" t="s">
        <v>222</v>
      </c>
      <c r="F71" s="36" t="s">
        <v>191</v>
      </c>
      <c r="G71" s="36" t="s">
        <v>191</v>
      </c>
      <c r="H71" s="36">
        <v>1</v>
      </c>
      <c r="I71" t="s">
        <v>179</v>
      </c>
      <c r="J71">
        <f>YEAR(CONTROLE_PILHAS[[#This Row],[DATA]])</f>
        <v>2021</v>
      </c>
      <c r="K71">
        <f>MONTH(CONTROLE_PILHAS[[#This Row],[DATA]])</f>
        <v>6</v>
      </c>
      <c r="L71">
        <f>DAY(CONTROLE_PILHAS[[#This Row],[DATA]])</f>
        <v>10</v>
      </c>
    </row>
    <row r="72" spans="2:12" x14ac:dyDescent="0.25">
      <c r="B72" s="36" t="s">
        <v>16</v>
      </c>
      <c r="C72" s="30">
        <v>44362</v>
      </c>
      <c r="D72" s="36" t="s">
        <v>274</v>
      </c>
      <c r="E72" s="36" t="s">
        <v>222</v>
      </c>
      <c r="F72" s="36" t="s">
        <v>191</v>
      </c>
      <c r="G72" s="36" t="s">
        <v>191</v>
      </c>
      <c r="H72" s="36">
        <v>1</v>
      </c>
      <c r="I72" t="s">
        <v>179</v>
      </c>
      <c r="J72">
        <f>YEAR(CONTROLE_PILHAS[[#This Row],[DATA]])</f>
        <v>2021</v>
      </c>
      <c r="K72">
        <f>MONTH(CONTROLE_PILHAS[[#This Row],[DATA]])</f>
        <v>6</v>
      </c>
      <c r="L72">
        <f>DAY(CONTROLE_PILHAS[[#This Row],[DATA]])</f>
        <v>15</v>
      </c>
    </row>
    <row r="73" spans="2:12" x14ac:dyDescent="0.25">
      <c r="B73" s="36" t="s">
        <v>17</v>
      </c>
      <c r="C73" s="30">
        <v>44221</v>
      </c>
      <c r="D73" s="36" t="s">
        <v>280</v>
      </c>
      <c r="E73" s="36" t="s">
        <v>190</v>
      </c>
      <c r="F73" s="36" t="s">
        <v>191</v>
      </c>
      <c r="G73" s="36" t="s">
        <v>191</v>
      </c>
      <c r="H73" s="36">
        <v>1</v>
      </c>
      <c r="I73" t="s">
        <v>179</v>
      </c>
      <c r="J73">
        <f>YEAR(CONTROLE_PILHAS[[#This Row],[DATA]])</f>
        <v>2021</v>
      </c>
      <c r="K73">
        <f>MONTH(CONTROLE_PILHAS[[#This Row],[DATA]])</f>
        <v>1</v>
      </c>
      <c r="L73">
        <f>DAY(CONTROLE_PILHAS[[#This Row],[DATA]])</f>
        <v>25</v>
      </c>
    </row>
    <row r="74" spans="2:12" x14ac:dyDescent="0.25">
      <c r="B74" s="36" t="s">
        <v>17</v>
      </c>
      <c r="C74" s="30">
        <v>44231</v>
      </c>
      <c r="D74" s="36" t="s">
        <v>280</v>
      </c>
      <c r="E74" s="36" t="s">
        <v>190</v>
      </c>
      <c r="F74" s="36" t="s">
        <v>191</v>
      </c>
      <c r="G74" s="36" t="s">
        <v>191</v>
      </c>
      <c r="H74" s="36">
        <v>1</v>
      </c>
      <c r="I74" t="s">
        <v>179</v>
      </c>
      <c r="J74">
        <f>YEAR(CONTROLE_PILHAS[[#This Row],[DATA]])</f>
        <v>2021</v>
      </c>
      <c r="K74">
        <f>MONTH(CONTROLE_PILHAS[[#This Row],[DATA]])</f>
        <v>2</v>
      </c>
      <c r="L74">
        <f>DAY(CONTROLE_PILHAS[[#This Row],[DATA]])</f>
        <v>4</v>
      </c>
    </row>
    <row r="75" spans="2:12" x14ac:dyDescent="0.25">
      <c r="B75" s="36" t="s">
        <v>17</v>
      </c>
      <c r="C75" s="30">
        <v>44304</v>
      </c>
      <c r="D75" s="36" t="s">
        <v>263</v>
      </c>
      <c r="E75" s="36" t="s">
        <v>190</v>
      </c>
      <c r="F75" s="36" t="s">
        <v>191</v>
      </c>
      <c r="G75" s="36" t="s">
        <v>191</v>
      </c>
      <c r="H75" s="36">
        <v>1</v>
      </c>
      <c r="I75" t="s">
        <v>179</v>
      </c>
      <c r="J75">
        <f>YEAR(CONTROLE_PILHAS[[#This Row],[DATA]])</f>
        <v>2021</v>
      </c>
      <c r="K75">
        <f>MONTH(CONTROLE_PILHAS[[#This Row],[DATA]])</f>
        <v>4</v>
      </c>
      <c r="L75">
        <f>DAY(CONTROLE_PILHAS[[#This Row],[DATA]])</f>
        <v>18</v>
      </c>
    </row>
    <row r="76" spans="2:12" x14ac:dyDescent="0.25">
      <c r="B76" s="36" t="s">
        <v>17</v>
      </c>
      <c r="C76" s="30">
        <v>44355</v>
      </c>
      <c r="D76" s="36" t="s">
        <v>280</v>
      </c>
      <c r="E76" s="36" t="s">
        <v>190</v>
      </c>
      <c r="F76" s="36" t="s">
        <v>191</v>
      </c>
      <c r="G76" s="36" t="s">
        <v>191</v>
      </c>
      <c r="H76" s="36">
        <v>1</v>
      </c>
      <c r="I76" t="s">
        <v>179</v>
      </c>
      <c r="J76">
        <f>YEAR(CONTROLE_PILHAS[[#This Row],[DATA]])</f>
        <v>2021</v>
      </c>
      <c r="K76">
        <f>MONTH(CONTROLE_PILHAS[[#This Row],[DATA]])</f>
        <v>6</v>
      </c>
      <c r="L76">
        <f>DAY(CONTROLE_PILHAS[[#This Row],[DATA]])</f>
        <v>8</v>
      </c>
    </row>
    <row r="77" spans="2:12" x14ac:dyDescent="0.25">
      <c r="B77" s="36" t="s">
        <v>17</v>
      </c>
      <c r="C77" s="30">
        <v>44361</v>
      </c>
      <c r="D77" s="36" t="s">
        <v>274</v>
      </c>
      <c r="E77" s="36" t="s">
        <v>222</v>
      </c>
      <c r="F77" s="36" t="s">
        <v>191</v>
      </c>
      <c r="G77" s="36" t="s">
        <v>191</v>
      </c>
      <c r="H77" s="36">
        <v>1</v>
      </c>
      <c r="I77" t="s">
        <v>179</v>
      </c>
      <c r="J77">
        <f>YEAR(CONTROLE_PILHAS[[#This Row],[DATA]])</f>
        <v>2021</v>
      </c>
      <c r="K77">
        <f>MONTH(CONTROLE_PILHAS[[#This Row],[DATA]])</f>
        <v>6</v>
      </c>
      <c r="L77">
        <f>DAY(CONTROLE_PILHAS[[#This Row],[DATA]])</f>
        <v>14</v>
      </c>
    </row>
    <row r="78" spans="2:12" x14ac:dyDescent="0.25">
      <c r="B78" s="36" t="s">
        <v>18</v>
      </c>
      <c r="C78" s="30">
        <v>44221</v>
      </c>
      <c r="D78" s="36" t="s">
        <v>260</v>
      </c>
      <c r="E78" s="36" t="s">
        <v>222</v>
      </c>
      <c r="F78" s="36" t="s">
        <v>458</v>
      </c>
      <c r="G78" s="36" t="s">
        <v>458</v>
      </c>
      <c r="H78" s="36">
        <v>1</v>
      </c>
      <c r="I78" t="s">
        <v>179</v>
      </c>
      <c r="J78">
        <f>YEAR(CONTROLE_PILHAS[[#This Row],[DATA]])</f>
        <v>2021</v>
      </c>
      <c r="K78">
        <f>MONTH(CONTROLE_PILHAS[[#This Row],[DATA]])</f>
        <v>1</v>
      </c>
      <c r="L78">
        <f>DAY(CONTROLE_PILHAS[[#This Row],[DATA]])</f>
        <v>25</v>
      </c>
    </row>
    <row r="79" spans="2:12" x14ac:dyDescent="0.25">
      <c r="B79" s="36" t="s">
        <v>18</v>
      </c>
      <c r="C79" s="30">
        <v>44236</v>
      </c>
      <c r="D79" s="36" t="s">
        <v>240</v>
      </c>
      <c r="E79" s="36" t="s">
        <v>222</v>
      </c>
      <c r="F79" s="36" t="s">
        <v>458</v>
      </c>
      <c r="G79" s="36" t="s">
        <v>191</v>
      </c>
      <c r="H79" s="36">
        <v>1</v>
      </c>
      <c r="I79" t="s">
        <v>179</v>
      </c>
      <c r="J79">
        <f>YEAR(CONTROLE_PILHAS[[#This Row],[DATA]])</f>
        <v>2021</v>
      </c>
      <c r="K79">
        <f>MONTH(CONTROLE_PILHAS[[#This Row],[DATA]])</f>
        <v>2</v>
      </c>
      <c r="L79">
        <f>DAY(CONTROLE_PILHAS[[#This Row],[DATA]])</f>
        <v>9</v>
      </c>
    </row>
    <row r="80" spans="2:12" x14ac:dyDescent="0.25">
      <c r="B80" s="36" t="s">
        <v>18</v>
      </c>
      <c r="C80" s="30">
        <v>44263</v>
      </c>
      <c r="D80" s="36" t="s">
        <v>260</v>
      </c>
      <c r="E80" s="36" t="s">
        <v>222</v>
      </c>
      <c r="F80" s="36" t="s">
        <v>458</v>
      </c>
      <c r="G80" s="36" t="s">
        <v>458</v>
      </c>
      <c r="H80" s="36">
        <v>1</v>
      </c>
      <c r="I80" t="s">
        <v>179</v>
      </c>
      <c r="J80">
        <f>YEAR(CONTROLE_PILHAS[[#This Row],[DATA]])</f>
        <v>2021</v>
      </c>
      <c r="K80">
        <f>MONTH(CONTROLE_PILHAS[[#This Row],[DATA]])</f>
        <v>3</v>
      </c>
      <c r="L80">
        <f>DAY(CONTROLE_PILHAS[[#This Row],[DATA]])</f>
        <v>8</v>
      </c>
    </row>
    <row r="81" spans="2:12" x14ac:dyDescent="0.25">
      <c r="B81" s="36" t="s">
        <v>18</v>
      </c>
      <c r="C81" s="30">
        <v>44270</v>
      </c>
      <c r="D81" s="36" t="s">
        <v>251</v>
      </c>
      <c r="E81" s="36" t="s">
        <v>222</v>
      </c>
      <c r="F81" s="36" t="s">
        <v>321</v>
      </c>
      <c r="G81" s="36" t="s">
        <v>191</v>
      </c>
      <c r="H81" s="36">
        <v>1</v>
      </c>
      <c r="I81" t="s">
        <v>179</v>
      </c>
      <c r="J81">
        <f>YEAR(CONTROLE_PILHAS[[#This Row],[DATA]])</f>
        <v>2021</v>
      </c>
      <c r="K81">
        <f>MONTH(CONTROLE_PILHAS[[#This Row],[DATA]])</f>
        <v>3</v>
      </c>
      <c r="L81">
        <f>DAY(CONTROLE_PILHAS[[#This Row],[DATA]])</f>
        <v>15</v>
      </c>
    </row>
    <row r="82" spans="2:12" x14ac:dyDescent="0.25">
      <c r="B82" s="36" t="s">
        <v>18</v>
      </c>
      <c r="C82" s="30">
        <v>44277</v>
      </c>
      <c r="D82" s="36" t="s">
        <v>260</v>
      </c>
      <c r="E82" s="36" t="s">
        <v>222</v>
      </c>
      <c r="F82" s="36" t="s">
        <v>458</v>
      </c>
      <c r="G82" s="36" t="s">
        <v>458</v>
      </c>
      <c r="H82" s="36">
        <v>1</v>
      </c>
      <c r="I82" t="s">
        <v>179</v>
      </c>
      <c r="J82">
        <f>YEAR(CONTROLE_PILHAS[[#This Row],[DATA]])</f>
        <v>2021</v>
      </c>
      <c r="K82">
        <f>MONTH(CONTROLE_PILHAS[[#This Row],[DATA]])</f>
        <v>3</v>
      </c>
      <c r="L82">
        <f>DAY(CONTROLE_PILHAS[[#This Row],[DATA]])</f>
        <v>22</v>
      </c>
    </row>
    <row r="83" spans="2:12" x14ac:dyDescent="0.25">
      <c r="B83" s="36" t="s">
        <v>18</v>
      </c>
      <c r="C83" s="30">
        <v>44285</v>
      </c>
      <c r="D83" s="36" t="s">
        <v>189</v>
      </c>
      <c r="E83" s="36" t="s">
        <v>222</v>
      </c>
      <c r="F83" s="36" t="s">
        <v>191</v>
      </c>
      <c r="G83" s="36" t="s">
        <v>191</v>
      </c>
      <c r="H83" s="36">
        <v>1</v>
      </c>
      <c r="I83" t="s">
        <v>179</v>
      </c>
      <c r="J83">
        <f>YEAR(CONTROLE_PILHAS[[#This Row],[DATA]])</f>
        <v>2021</v>
      </c>
      <c r="K83">
        <f>MONTH(CONTROLE_PILHAS[[#This Row],[DATA]])</f>
        <v>3</v>
      </c>
      <c r="L83">
        <f>DAY(CONTROLE_PILHAS[[#This Row],[DATA]])</f>
        <v>30</v>
      </c>
    </row>
    <row r="84" spans="2:12" x14ac:dyDescent="0.25">
      <c r="B84" s="36" t="s">
        <v>18</v>
      </c>
      <c r="C84" s="30">
        <v>44295</v>
      </c>
      <c r="D84" s="36" t="s">
        <v>189</v>
      </c>
      <c r="E84" s="36" t="s">
        <v>222</v>
      </c>
      <c r="F84" s="36" t="s">
        <v>191</v>
      </c>
      <c r="G84" s="36" t="s">
        <v>191</v>
      </c>
      <c r="H84" s="36">
        <v>1</v>
      </c>
      <c r="I84" t="s">
        <v>179</v>
      </c>
      <c r="J84">
        <f>YEAR(CONTROLE_PILHAS[[#This Row],[DATA]])</f>
        <v>2021</v>
      </c>
      <c r="K84">
        <f>MONTH(CONTROLE_PILHAS[[#This Row],[DATA]])</f>
        <v>4</v>
      </c>
      <c r="L84">
        <f>DAY(CONTROLE_PILHAS[[#This Row],[DATA]])</f>
        <v>9</v>
      </c>
    </row>
    <row r="85" spans="2:12" x14ac:dyDescent="0.25">
      <c r="B85" s="36" t="s">
        <v>18</v>
      </c>
      <c r="C85" s="30">
        <v>44301</v>
      </c>
      <c r="D85" s="36" t="s">
        <v>260</v>
      </c>
      <c r="E85" s="36" t="s">
        <v>222</v>
      </c>
      <c r="F85" s="36" t="s">
        <v>191</v>
      </c>
      <c r="G85" s="36" t="s">
        <v>191</v>
      </c>
      <c r="H85" s="36">
        <v>1</v>
      </c>
      <c r="I85" t="s">
        <v>179</v>
      </c>
      <c r="J85">
        <f>YEAR(CONTROLE_PILHAS[[#This Row],[DATA]])</f>
        <v>2021</v>
      </c>
      <c r="K85">
        <f>MONTH(CONTROLE_PILHAS[[#This Row],[DATA]])</f>
        <v>4</v>
      </c>
      <c r="L85">
        <f>DAY(CONTROLE_PILHAS[[#This Row],[DATA]])</f>
        <v>15</v>
      </c>
    </row>
    <row r="86" spans="2:12" x14ac:dyDescent="0.25">
      <c r="B86" s="36" t="s">
        <v>18</v>
      </c>
      <c r="C86" s="30">
        <v>44309</v>
      </c>
      <c r="D86" s="36" t="s">
        <v>240</v>
      </c>
      <c r="E86" s="36" t="s">
        <v>222</v>
      </c>
      <c r="F86" s="36" t="s">
        <v>191</v>
      </c>
      <c r="G86" s="36" t="s">
        <v>191</v>
      </c>
      <c r="H86" s="36">
        <v>1</v>
      </c>
      <c r="I86" t="s">
        <v>179</v>
      </c>
      <c r="J86">
        <f>YEAR(CONTROLE_PILHAS[[#This Row],[DATA]])</f>
        <v>2021</v>
      </c>
      <c r="K86">
        <f>MONTH(CONTROLE_PILHAS[[#This Row],[DATA]])</f>
        <v>4</v>
      </c>
      <c r="L86">
        <f>DAY(CONTROLE_PILHAS[[#This Row],[DATA]])</f>
        <v>23</v>
      </c>
    </row>
    <row r="87" spans="2:12" x14ac:dyDescent="0.25">
      <c r="B87" s="36" t="s">
        <v>18</v>
      </c>
      <c r="C87" s="30">
        <v>44322</v>
      </c>
      <c r="D87" s="36" t="s">
        <v>260</v>
      </c>
      <c r="E87" s="36" t="s">
        <v>190</v>
      </c>
      <c r="F87" s="36" t="s">
        <v>191</v>
      </c>
      <c r="G87" s="36" t="s">
        <v>191</v>
      </c>
      <c r="H87" s="36">
        <v>1</v>
      </c>
      <c r="I87" t="s">
        <v>179</v>
      </c>
      <c r="J87">
        <f>YEAR(CONTROLE_PILHAS[[#This Row],[DATA]])</f>
        <v>2021</v>
      </c>
      <c r="K87">
        <f>MONTH(CONTROLE_PILHAS[[#This Row],[DATA]])</f>
        <v>5</v>
      </c>
      <c r="L87">
        <f>DAY(CONTROLE_PILHAS[[#This Row],[DATA]])</f>
        <v>6</v>
      </c>
    </row>
    <row r="88" spans="2:12" x14ac:dyDescent="0.25">
      <c r="B88" s="36" t="s">
        <v>18</v>
      </c>
      <c r="C88" s="30">
        <v>44329</v>
      </c>
      <c r="D88" s="36" t="s">
        <v>260</v>
      </c>
      <c r="E88" s="36" t="s">
        <v>190</v>
      </c>
      <c r="F88" s="36" t="s">
        <v>191</v>
      </c>
      <c r="G88" s="36" t="s">
        <v>191</v>
      </c>
      <c r="H88" s="36">
        <v>1</v>
      </c>
      <c r="I88" t="s">
        <v>179</v>
      </c>
      <c r="J88">
        <f>YEAR(CONTROLE_PILHAS[[#This Row],[DATA]])</f>
        <v>2021</v>
      </c>
      <c r="K88">
        <f>MONTH(CONTROLE_PILHAS[[#This Row],[DATA]])</f>
        <v>5</v>
      </c>
      <c r="L88">
        <f>DAY(CONTROLE_PILHAS[[#This Row],[DATA]])</f>
        <v>13</v>
      </c>
    </row>
    <row r="89" spans="2:12" x14ac:dyDescent="0.25">
      <c r="B89" s="36" t="s">
        <v>18</v>
      </c>
      <c r="C89" s="30">
        <v>44303</v>
      </c>
      <c r="D89" s="36" t="s">
        <v>260</v>
      </c>
      <c r="E89" s="36" t="s">
        <v>222</v>
      </c>
      <c r="F89" s="36" t="s">
        <v>191</v>
      </c>
      <c r="G89" s="36" t="s">
        <v>191</v>
      </c>
      <c r="H89" s="36">
        <v>1</v>
      </c>
      <c r="I89" t="s">
        <v>179</v>
      </c>
      <c r="J89">
        <f>YEAR(CONTROLE_PILHAS[[#This Row],[DATA]])</f>
        <v>2021</v>
      </c>
      <c r="K89">
        <f>MONTH(CONTROLE_PILHAS[[#This Row],[DATA]])</f>
        <v>4</v>
      </c>
      <c r="L89">
        <f>DAY(CONTROLE_PILHAS[[#This Row],[DATA]])</f>
        <v>17</v>
      </c>
    </row>
    <row r="90" spans="2:12" x14ac:dyDescent="0.25">
      <c r="B90" s="36" t="s">
        <v>18</v>
      </c>
      <c r="C90" s="30">
        <v>44336</v>
      </c>
      <c r="D90" s="36" t="s">
        <v>258</v>
      </c>
      <c r="E90" s="36" t="s">
        <v>222</v>
      </c>
      <c r="F90" s="36" t="s">
        <v>191</v>
      </c>
      <c r="G90" s="36" t="s">
        <v>191</v>
      </c>
      <c r="H90" s="36">
        <v>1</v>
      </c>
      <c r="I90" t="s">
        <v>179</v>
      </c>
      <c r="J90">
        <f>YEAR(CONTROLE_PILHAS[[#This Row],[DATA]])</f>
        <v>2021</v>
      </c>
      <c r="K90">
        <f>MONTH(CONTROLE_PILHAS[[#This Row],[DATA]])</f>
        <v>5</v>
      </c>
      <c r="L90">
        <f>DAY(CONTROLE_PILHAS[[#This Row],[DATA]])</f>
        <v>20</v>
      </c>
    </row>
    <row r="91" spans="2:12" x14ac:dyDescent="0.25">
      <c r="B91" s="36" t="s">
        <v>18</v>
      </c>
      <c r="C91" s="30">
        <v>44340</v>
      </c>
      <c r="D91" s="36" t="s">
        <v>260</v>
      </c>
      <c r="E91" s="36" t="s">
        <v>190</v>
      </c>
      <c r="F91" s="36" t="s">
        <v>191</v>
      </c>
      <c r="G91" s="36" t="s">
        <v>191</v>
      </c>
      <c r="H91" s="36">
        <v>1</v>
      </c>
      <c r="I91" t="s">
        <v>179</v>
      </c>
      <c r="J91">
        <f>YEAR(CONTROLE_PILHAS[[#This Row],[DATA]])</f>
        <v>2021</v>
      </c>
      <c r="K91">
        <f>MONTH(CONTROLE_PILHAS[[#This Row],[DATA]])</f>
        <v>5</v>
      </c>
      <c r="L91">
        <f>DAY(CONTROLE_PILHAS[[#This Row],[DATA]])</f>
        <v>24</v>
      </c>
    </row>
    <row r="92" spans="2:12" x14ac:dyDescent="0.25">
      <c r="B92" s="36" t="s">
        <v>18</v>
      </c>
      <c r="C92" s="30">
        <v>44348</v>
      </c>
      <c r="D92" s="36" t="s">
        <v>263</v>
      </c>
      <c r="E92" s="36" t="s">
        <v>222</v>
      </c>
      <c r="F92" s="36" t="s">
        <v>191</v>
      </c>
      <c r="G92" s="36" t="s">
        <v>191</v>
      </c>
      <c r="H92" s="36">
        <v>1</v>
      </c>
      <c r="I92" t="s">
        <v>179</v>
      </c>
      <c r="J92">
        <f>YEAR(CONTROLE_PILHAS[[#This Row],[DATA]])</f>
        <v>2021</v>
      </c>
      <c r="K92">
        <f>MONTH(CONTROLE_PILHAS[[#This Row],[DATA]])</f>
        <v>6</v>
      </c>
      <c r="L92">
        <f>DAY(CONTROLE_PILHAS[[#This Row],[DATA]])</f>
        <v>1</v>
      </c>
    </row>
    <row r="93" spans="2:12" x14ac:dyDescent="0.25">
      <c r="B93" s="36" t="s">
        <v>18</v>
      </c>
      <c r="C93" s="30">
        <v>44357</v>
      </c>
      <c r="D93" s="36" t="s">
        <v>240</v>
      </c>
      <c r="E93" s="36" t="s">
        <v>222</v>
      </c>
      <c r="F93" s="36" t="s">
        <v>191</v>
      </c>
      <c r="G93" s="36" t="s">
        <v>191</v>
      </c>
      <c r="H93" s="36">
        <v>1</v>
      </c>
      <c r="I93" t="s">
        <v>179</v>
      </c>
      <c r="J93">
        <f>YEAR(CONTROLE_PILHAS[[#This Row],[DATA]])</f>
        <v>2021</v>
      </c>
      <c r="K93">
        <f>MONTH(CONTROLE_PILHAS[[#This Row],[DATA]])</f>
        <v>6</v>
      </c>
      <c r="L93">
        <f>DAY(CONTROLE_PILHAS[[#This Row],[DATA]])</f>
        <v>10</v>
      </c>
    </row>
    <row r="94" spans="2:12" x14ac:dyDescent="0.25">
      <c r="B94" s="36" t="s">
        <v>18</v>
      </c>
      <c r="C94" s="30">
        <v>44362</v>
      </c>
      <c r="D94" s="36" t="s">
        <v>260</v>
      </c>
      <c r="E94" s="36" t="s">
        <v>190</v>
      </c>
      <c r="F94" s="36" t="s">
        <v>191</v>
      </c>
      <c r="G94" s="36" t="s">
        <v>191</v>
      </c>
      <c r="H94" s="36">
        <v>1</v>
      </c>
      <c r="I94" t="s">
        <v>179</v>
      </c>
      <c r="J94">
        <f>YEAR(CONTROLE_PILHAS[[#This Row],[DATA]])</f>
        <v>2021</v>
      </c>
      <c r="K94">
        <f>MONTH(CONTROLE_PILHAS[[#This Row],[DATA]])</f>
        <v>6</v>
      </c>
      <c r="L94">
        <f>DAY(CONTROLE_PILHAS[[#This Row],[DATA]])</f>
        <v>15</v>
      </c>
    </row>
    <row r="95" spans="2:12" x14ac:dyDescent="0.25">
      <c r="B95" s="36" t="s">
        <v>98</v>
      </c>
      <c r="C95" s="30">
        <v>44232</v>
      </c>
      <c r="D95" s="36" t="s">
        <v>258</v>
      </c>
      <c r="E95" s="36" t="s">
        <v>222</v>
      </c>
      <c r="F95" s="36" t="s">
        <v>191</v>
      </c>
      <c r="G95" s="36" t="s">
        <v>191</v>
      </c>
      <c r="H95" s="36">
        <v>1</v>
      </c>
      <c r="I95" t="s">
        <v>179</v>
      </c>
      <c r="J95">
        <f>YEAR(CONTROLE_PILHAS[[#This Row],[DATA]])</f>
        <v>2021</v>
      </c>
      <c r="K95">
        <f>MONTH(CONTROLE_PILHAS[[#This Row],[DATA]])</f>
        <v>2</v>
      </c>
      <c r="L95">
        <f>DAY(CONTROLE_PILHAS[[#This Row],[DATA]])</f>
        <v>5</v>
      </c>
    </row>
    <row r="96" spans="2:12" x14ac:dyDescent="0.25">
      <c r="B96" s="36" t="s">
        <v>98</v>
      </c>
      <c r="C96" s="30">
        <v>44267</v>
      </c>
      <c r="D96" s="36" t="s">
        <v>263</v>
      </c>
      <c r="E96" s="36" t="s">
        <v>222</v>
      </c>
      <c r="F96" s="36" t="s">
        <v>191</v>
      </c>
      <c r="G96" s="36" t="s">
        <v>191</v>
      </c>
      <c r="H96" s="36">
        <v>1</v>
      </c>
      <c r="I96" t="s">
        <v>179</v>
      </c>
      <c r="J96">
        <f>YEAR(CONTROLE_PILHAS[[#This Row],[DATA]])</f>
        <v>2021</v>
      </c>
      <c r="K96">
        <f>MONTH(CONTROLE_PILHAS[[#This Row],[DATA]])</f>
        <v>3</v>
      </c>
      <c r="L96">
        <f>DAY(CONTROLE_PILHAS[[#This Row],[DATA]])</f>
        <v>12</v>
      </c>
    </row>
    <row r="97" spans="2:12" x14ac:dyDescent="0.25">
      <c r="B97" s="36" t="s">
        <v>98</v>
      </c>
      <c r="C97" s="30">
        <v>44271</v>
      </c>
      <c r="D97" s="36" t="s">
        <v>272</v>
      </c>
      <c r="E97" s="36" t="s">
        <v>222</v>
      </c>
      <c r="F97" s="36" t="s">
        <v>191</v>
      </c>
      <c r="G97" s="36" t="s">
        <v>191</v>
      </c>
      <c r="H97" s="36">
        <v>1</v>
      </c>
      <c r="I97" t="s">
        <v>179</v>
      </c>
      <c r="J97">
        <f>YEAR(CONTROLE_PILHAS[[#This Row],[DATA]])</f>
        <v>2021</v>
      </c>
      <c r="K97">
        <f>MONTH(CONTROLE_PILHAS[[#This Row],[DATA]])</f>
        <v>3</v>
      </c>
      <c r="L97">
        <f>DAY(CONTROLE_PILHAS[[#This Row],[DATA]])</f>
        <v>16</v>
      </c>
    </row>
    <row r="98" spans="2:12" x14ac:dyDescent="0.25">
      <c r="B98" s="36" t="s">
        <v>98</v>
      </c>
      <c r="C98" s="30">
        <v>44278</v>
      </c>
      <c r="D98" s="36" t="s">
        <v>189</v>
      </c>
      <c r="E98" s="36" t="s">
        <v>190</v>
      </c>
      <c r="F98" s="36" t="s">
        <v>191</v>
      </c>
      <c r="G98" s="36" t="s">
        <v>191</v>
      </c>
      <c r="H98" s="36">
        <v>1</v>
      </c>
      <c r="I98" t="s">
        <v>179</v>
      </c>
      <c r="J98">
        <f>YEAR(CONTROLE_PILHAS[[#This Row],[DATA]])</f>
        <v>2021</v>
      </c>
      <c r="K98">
        <f>MONTH(CONTROLE_PILHAS[[#This Row],[DATA]])</f>
        <v>3</v>
      </c>
      <c r="L98">
        <f>DAY(CONTROLE_PILHAS[[#This Row],[DATA]])</f>
        <v>23</v>
      </c>
    </row>
    <row r="99" spans="2:12" x14ac:dyDescent="0.25">
      <c r="B99" s="36" t="s">
        <v>98</v>
      </c>
      <c r="C99" s="30">
        <v>44284</v>
      </c>
      <c r="D99" s="36" t="s">
        <v>189</v>
      </c>
      <c r="E99" s="36" t="s">
        <v>190</v>
      </c>
      <c r="F99" s="36" t="s">
        <v>191</v>
      </c>
      <c r="G99" s="36" t="s">
        <v>191</v>
      </c>
      <c r="H99" s="36">
        <v>1</v>
      </c>
      <c r="I99" t="s">
        <v>179</v>
      </c>
      <c r="J99">
        <f>YEAR(CONTROLE_PILHAS[[#This Row],[DATA]])</f>
        <v>2021</v>
      </c>
      <c r="K99">
        <f>MONTH(CONTROLE_PILHAS[[#This Row],[DATA]])</f>
        <v>3</v>
      </c>
      <c r="L99">
        <f>DAY(CONTROLE_PILHAS[[#This Row],[DATA]])</f>
        <v>29</v>
      </c>
    </row>
    <row r="100" spans="2:12" x14ac:dyDescent="0.25">
      <c r="B100" s="36" t="s">
        <v>98</v>
      </c>
      <c r="C100" s="30">
        <v>44294</v>
      </c>
      <c r="D100" s="36" t="s">
        <v>189</v>
      </c>
      <c r="E100" s="36" t="s">
        <v>190</v>
      </c>
      <c r="F100" s="36" t="s">
        <v>191</v>
      </c>
      <c r="G100" s="36" t="s">
        <v>191</v>
      </c>
      <c r="H100" s="36">
        <v>1</v>
      </c>
      <c r="I100" t="s">
        <v>179</v>
      </c>
      <c r="J100">
        <f>YEAR(CONTROLE_PILHAS[[#This Row],[DATA]])</f>
        <v>2021</v>
      </c>
      <c r="K100">
        <f>MONTH(CONTROLE_PILHAS[[#This Row],[DATA]])</f>
        <v>4</v>
      </c>
      <c r="L100">
        <f>DAY(CONTROLE_PILHAS[[#This Row],[DATA]])</f>
        <v>8</v>
      </c>
    </row>
    <row r="101" spans="2:12" x14ac:dyDescent="0.25">
      <c r="B101" s="36" t="s">
        <v>98</v>
      </c>
      <c r="C101" s="30">
        <v>44319</v>
      </c>
      <c r="D101" s="36" t="s">
        <v>275</v>
      </c>
      <c r="E101" s="36" t="s">
        <v>190</v>
      </c>
      <c r="F101" s="36" t="s">
        <v>191</v>
      </c>
      <c r="G101" s="36" t="s">
        <v>191</v>
      </c>
      <c r="H101" s="36">
        <v>1</v>
      </c>
      <c r="I101" t="s">
        <v>179</v>
      </c>
      <c r="J101">
        <f>YEAR(CONTROLE_PILHAS[[#This Row],[DATA]])</f>
        <v>2021</v>
      </c>
      <c r="K101">
        <f>MONTH(CONTROLE_PILHAS[[#This Row],[DATA]])</f>
        <v>5</v>
      </c>
      <c r="L101">
        <f>DAY(CONTROLE_PILHAS[[#This Row],[DATA]])</f>
        <v>3</v>
      </c>
    </row>
    <row r="102" spans="2:12" x14ac:dyDescent="0.25">
      <c r="B102" s="36" t="s">
        <v>98</v>
      </c>
      <c r="C102" s="30">
        <v>44347</v>
      </c>
      <c r="D102" s="36" t="s">
        <v>260</v>
      </c>
      <c r="E102" s="36" t="s">
        <v>222</v>
      </c>
      <c r="F102" s="36" t="s">
        <v>191</v>
      </c>
      <c r="G102" s="36" t="s">
        <v>191</v>
      </c>
      <c r="H102" s="36">
        <v>1</v>
      </c>
      <c r="I102" t="s">
        <v>179</v>
      </c>
      <c r="J102">
        <f>YEAR(CONTROLE_PILHAS[[#This Row],[DATA]])</f>
        <v>2021</v>
      </c>
      <c r="K102">
        <f>MONTH(CONTROLE_PILHAS[[#This Row],[DATA]])</f>
        <v>5</v>
      </c>
      <c r="L102">
        <f>DAY(CONTROLE_PILHAS[[#This Row],[DATA]])</f>
        <v>31</v>
      </c>
    </row>
    <row r="103" spans="2:12" x14ac:dyDescent="0.25">
      <c r="B103" s="36" t="s">
        <v>98</v>
      </c>
      <c r="C103" s="30">
        <v>44351</v>
      </c>
      <c r="D103" s="36" t="s">
        <v>260</v>
      </c>
      <c r="E103" s="36" t="s">
        <v>222</v>
      </c>
      <c r="F103" s="36" t="s">
        <v>191</v>
      </c>
      <c r="G103" s="36" t="s">
        <v>191</v>
      </c>
      <c r="H103" s="36">
        <v>1</v>
      </c>
      <c r="I103" t="s">
        <v>179</v>
      </c>
      <c r="J103">
        <f>YEAR(CONTROLE_PILHAS[[#This Row],[DATA]])</f>
        <v>2021</v>
      </c>
      <c r="K103">
        <f>MONTH(CONTROLE_PILHAS[[#This Row],[DATA]])</f>
        <v>6</v>
      </c>
      <c r="L103">
        <f>DAY(CONTROLE_PILHAS[[#This Row],[DATA]])</f>
        <v>4</v>
      </c>
    </row>
    <row r="104" spans="2:12" x14ac:dyDescent="0.25">
      <c r="B104" s="36" t="s">
        <v>19</v>
      </c>
      <c r="C104" s="30">
        <v>44224</v>
      </c>
      <c r="D104" s="36" t="s">
        <v>275</v>
      </c>
      <c r="E104" s="36" t="s">
        <v>222</v>
      </c>
      <c r="F104" s="36" t="s">
        <v>191</v>
      </c>
      <c r="G104" s="36" t="s">
        <v>191</v>
      </c>
      <c r="H104" s="36">
        <v>1</v>
      </c>
      <c r="I104" t="s">
        <v>179</v>
      </c>
      <c r="J104">
        <f>YEAR(CONTROLE_PILHAS[[#This Row],[DATA]])</f>
        <v>2021</v>
      </c>
      <c r="K104">
        <f>MONTH(CONTROLE_PILHAS[[#This Row],[DATA]])</f>
        <v>1</v>
      </c>
      <c r="L104">
        <f>DAY(CONTROLE_PILHAS[[#This Row],[DATA]])</f>
        <v>28</v>
      </c>
    </row>
    <row r="105" spans="2:12" x14ac:dyDescent="0.25">
      <c r="B105" s="36" t="s">
        <v>19</v>
      </c>
      <c r="C105" s="30">
        <v>44231</v>
      </c>
      <c r="D105" s="36" t="s">
        <v>275</v>
      </c>
      <c r="E105" s="36" t="s">
        <v>222</v>
      </c>
      <c r="F105" s="36" t="s">
        <v>191</v>
      </c>
      <c r="G105" s="36" t="s">
        <v>191</v>
      </c>
      <c r="H105" s="36">
        <v>1</v>
      </c>
      <c r="I105" t="s">
        <v>179</v>
      </c>
      <c r="J105">
        <f>YEAR(CONTROLE_PILHAS[[#This Row],[DATA]])</f>
        <v>2021</v>
      </c>
      <c r="K105">
        <f>MONTH(CONTROLE_PILHAS[[#This Row],[DATA]])</f>
        <v>2</v>
      </c>
      <c r="L105">
        <f>DAY(CONTROLE_PILHAS[[#This Row],[DATA]])</f>
        <v>4</v>
      </c>
    </row>
    <row r="106" spans="2:12" x14ac:dyDescent="0.25">
      <c r="B106" s="36" t="s">
        <v>20</v>
      </c>
      <c r="C106" s="30">
        <v>44364</v>
      </c>
      <c r="D106" s="36" t="s">
        <v>240</v>
      </c>
      <c r="E106" s="36" t="s">
        <v>190</v>
      </c>
      <c r="F106" s="36" t="s">
        <v>191</v>
      </c>
      <c r="G106" s="36" t="s">
        <v>191</v>
      </c>
      <c r="H106" s="36">
        <v>1</v>
      </c>
      <c r="I106" t="s">
        <v>179</v>
      </c>
      <c r="J106">
        <f>YEAR(CONTROLE_PILHAS[[#This Row],[DATA]])</f>
        <v>2021</v>
      </c>
      <c r="K106">
        <f>MONTH(CONTROLE_PILHAS[[#This Row],[DATA]])</f>
        <v>6</v>
      </c>
      <c r="L106">
        <f>DAY(CONTROLE_PILHAS[[#This Row],[DATA]])</f>
        <v>17</v>
      </c>
    </row>
    <row r="107" spans="2:12" x14ac:dyDescent="0.25">
      <c r="B107" s="36" t="s">
        <v>20</v>
      </c>
      <c r="C107" s="30">
        <v>44232</v>
      </c>
      <c r="D107" s="36" t="s">
        <v>233</v>
      </c>
      <c r="E107" s="36" t="s">
        <v>222</v>
      </c>
      <c r="F107" s="36" t="s">
        <v>191</v>
      </c>
      <c r="G107" s="36" t="s">
        <v>191</v>
      </c>
      <c r="H107" s="36">
        <v>1</v>
      </c>
      <c r="I107" t="s">
        <v>179</v>
      </c>
      <c r="J107">
        <f>YEAR(CONTROLE_PILHAS[[#This Row],[DATA]])</f>
        <v>2021</v>
      </c>
      <c r="K107">
        <f>MONTH(CONTROLE_PILHAS[[#This Row],[DATA]])</f>
        <v>2</v>
      </c>
      <c r="L107">
        <f>DAY(CONTROLE_PILHAS[[#This Row],[DATA]])</f>
        <v>5</v>
      </c>
    </row>
    <row r="108" spans="2:12" x14ac:dyDescent="0.25">
      <c r="B108" s="36" t="s">
        <v>20</v>
      </c>
      <c r="C108" s="30">
        <v>44236</v>
      </c>
      <c r="D108" s="36" t="s">
        <v>275</v>
      </c>
      <c r="E108" s="36" t="s">
        <v>222</v>
      </c>
      <c r="F108" s="36" t="s">
        <v>191</v>
      </c>
      <c r="G108" s="36" t="s">
        <v>191</v>
      </c>
      <c r="H108" s="36">
        <v>1</v>
      </c>
      <c r="I108" t="s">
        <v>179</v>
      </c>
      <c r="J108">
        <f>YEAR(CONTROLE_PILHAS[[#This Row],[DATA]])</f>
        <v>2021</v>
      </c>
      <c r="K108">
        <f>MONTH(CONTROLE_PILHAS[[#This Row],[DATA]])</f>
        <v>2</v>
      </c>
      <c r="L108">
        <f>DAY(CONTROLE_PILHAS[[#This Row],[DATA]])</f>
        <v>9</v>
      </c>
    </row>
    <row r="109" spans="2:12" x14ac:dyDescent="0.25">
      <c r="B109" s="36" t="s">
        <v>20</v>
      </c>
      <c r="C109" s="30">
        <v>44263</v>
      </c>
      <c r="D109" s="36" t="s">
        <v>274</v>
      </c>
      <c r="E109" s="36" t="s">
        <v>222</v>
      </c>
      <c r="F109" s="36" t="s">
        <v>458</v>
      </c>
      <c r="G109" s="36" t="s">
        <v>458</v>
      </c>
      <c r="H109" s="36">
        <v>1</v>
      </c>
      <c r="I109" t="s">
        <v>179</v>
      </c>
      <c r="J109">
        <f>YEAR(CONTROLE_PILHAS[[#This Row],[DATA]])</f>
        <v>2021</v>
      </c>
      <c r="K109">
        <f>MONTH(CONTROLE_PILHAS[[#This Row],[DATA]])</f>
        <v>3</v>
      </c>
      <c r="L109">
        <f>DAY(CONTROLE_PILHAS[[#This Row],[DATA]])</f>
        <v>8</v>
      </c>
    </row>
    <row r="110" spans="2:12" x14ac:dyDescent="0.25">
      <c r="B110" s="36" t="s">
        <v>20</v>
      </c>
      <c r="C110" s="30">
        <v>44272</v>
      </c>
      <c r="D110" s="36" t="s">
        <v>251</v>
      </c>
      <c r="E110" s="36" t="s">
        <v>222</v>
      </c>
      <c r="F110" s="36" t="s">
        <v>458</v>
      </c>
      <c r="G110" s="36" t="s">
        <v>458</v>
      </c>
      <c r="H110" s="36">
        <v>1</v>
      </c>
      <c r="I110" t="s">
        <v>179</v>
      </c>
      <c r="J110">
        <f>YEAR(CONTROLE_PILHAS[[#This Row],[DATA]])</f>
        <v>2021</v>
      </c>
      <c r="K110">
        <f>MONTH(CONTROLE_PILHAS[[#This Row],[DATA]])</f>
        <v>3</v>
      </c>
      <c r="L110">
        <f>DAY(CONTROLE_PILHAS[[#This Row],[DATA]])</f>
        <v>17</v>
      </c>
    </row>
    <row r="111" spans="2:12" x14ac:dyDescent="0.25">
      <c r="B111" s="36" t="s">
        <v>20</v>
      </c>
      <c r="C111" s="30">
        <v>44285</v>
      </c>
      <c r="D111" s="36" t="s">
        <v>189</v>
      </c>
      <c r="E111" s="36" t="s">
        <v>190</v>
      </c>
      <c r="F111" s="36" t="s">
        <v>191</v>
      </c>
      <c r="G111" s="36" t="s">
        <v>458</v>
      </c>
      <c r="H111" s="36">
        <v>1</v>
      </c>
      <c r="I111" t="s">
        <v>179</v>
      </c>
      <c r="J111">
        <f>YEAR(CONTROLE_PILHAS[[#This Row],[DATA]])</f>
        <v>2021</v>
      </c>
      <c r="K111">
        <f>MONTH(CONTROLE_PILHAS[[#This Row],[DATA]])</f>
        <v>3</v>
      </c>
      <c r="L111">
        <f>DAY(CONTROLE_PILHAS[[#This Row],[DATA]])</f>
        <v>30</v>
      </c>
    </row>
    <row r="112" spans="2:12" x14ac:dyDescent="0.25">
      <c r="B112" s="36" t="s">
        <v>20</v>
      </c>
      <c r="C112" s="30">
        <v>44298</v>
      </c>
      <c r="D112" s="36" t="s">
        <v>189</v>
      </c>
      <c r="E112" s="36" t="s">
        <v>190</v>
      </c>
      <c r="F112" s="36" t="s">
        <v>191</v>
      </c>
      <c r="G112" s="36" t="s">
        <v>458</v>
      </c>
      <c r="H112" s="36">
        <v>1</v>
      </c>
      <c r="I112" t="s">
        <v>179</v>
      </c>
      <c r="J112">
        <f>YEAR(CONTROLE_PILHAS[[#This Row],[DATA]])</f>
        <v>2021</v>
      </c>
      <c r="K112">
        <f>MONTH(CONTROLE_PILHAS[[#This Row],[DATA]])</f>
        <v>4</v>
      </c>
      <c r="L112">
        <f>DAY(CONTROLE_PILHAS[[#This Row],[DATA]])</f>
        <v>12</v>
      </c>
    </row>
    <row r="113" spans="2:12" x14ac:dyDescent="0.25">
      <c r="B113" s="36" t="s">
        <v>20</v>
      </c>
      <c r="C113" s="30">
        <v>44305</v>
      </c>
      <c r="D113" s="36" t="s">
        <v>258</v>
      </c>
      <c r="E113" s="36" t="s">
        <v>222</v>
      </c>
      <c r="F113" s="36" t="s">
        <v>191</v>
      </c>
      <c r="G113" s="36" t="s">
        <v>458</v>
      </c>
      <c r="H113" s="36">
        <v>1</v>
      </c>
      <c r="I113" t="s">
        <v>179</v>
      </c>
      <c r="J113">
        <f>YEAR(CONTROLE_PILHAS[[#This Row],[DATA]])</f>
        <v>2021</v>
      </c>
      <c r="K113">
        <f>MONTH(CONTROLE_PILHAS[[#This Row],[DATA]])</f>
        <v>4</v>
      </c>
      <c r="L113">
        <f>DAY(CONTROLE_PILHAS[[#This Row],[DATA]])</f>
        <v>19</v>
      </c>
    </row>
    <row r="114" spans="2:12" x14ac:dyDescent="0.25">
      <c r="B114" s="36" t="s">
        <v>20</v>
      </c>
      <c r="C114" s="30">
        <v>44330</v>
      </c>
      <c r="D114" s="36" t="s">
        <v>263</v>
      </c>
      <c r="E114" s="36" t="s">
        <v>190</v>
      </c>
      <c r="F114" s="36" t="s">
        <v>191</v>
      </c>
      <c r="G114" s="36" t="s">
        <v>458</v>
      </c>
      <c r="H114" s="36">
        <v>1</v>
      </c>
      <c r="I114" t="s">
        <v>179</v>
      </c>
      <c r="J114">
        <f>YEAR(CONTROLE_PILHAS[[#This Row],[DATA]])</f>
        <v>2021</v>
      </c>
      <c r="K114">
        <f>MONTH(CONTROLE_PILHAS[[#This Row],[DATA]])</f>
        <v>5</v>
      </c>
      <c r="L114">
        <f>DAY(CONTROLE_PILHAS[[#This Row],[DATA]])</f>
        <v>14</v>
      </c>
    </row>
    <row r="115" spans="2:12" x14ac:dyDescent="0.25">
      <c r="B115" s="36" t="s">
        <v>20</v>
      </c>
      <c r="C115" s="30">
        <v>44348</v>
      </c>
      <c r="D115" s="36" t="s">
        <v>308</v>
      </c>
      <c r="E115" s="36" t="s">
        <v>222</v>
      </c>
      <c r="F115" s="36" t="s">
        <v>191</v>
      </c>
      <c r="G115" s="36" t="s">
        <v>458</v>
      </c>
      <c r="H115" s="36">
        <v>1</v>
      </c>
      <c r="I115" t="s">
        <v>179</v>
      </c>
      <c r="J115">
        <f>YEAR(CONTROLE_PILHAS[[#This Row],[DATA]])</f>
        <v>2021</v>
      </c>
      <c r="K115">
        <f>MONTH(CONTROLE_PILHAS[[#This Row],[DATA]])</f>
        <v>6</v>
      </c>
      <c r="L115">
        <f>DAY(CONTROLE_PILHAS[[#This Row],[DATA]])</f>
        <v>1</v>
      </c>
    </row>
    <row r="116" spans="2:12" x14ac:dyDescent="0.25">
      <c r="B116" s="36" t="s">
        <v>20</v>
      </c>
      <c r="C116" s="30">
        <v>44362</v>
      </c>
      <c r="D116" s="36" t="s">
        <v>263</v>
      </c>
      <c r="E116" s="36" t="s">
        <v>190</v>
      </c>
      <c r="F116" s="36" t="s">
        <v>191</v>
      </c>
      <c r="G116" s="36" t="s">
        <v>458</v>
      </c>
      <c r="H116" s="36">
        <v>1</v>
      </c>
      <c r="I116" t="s">
        <v>179</v>
      </c>
      <c r="J116">
        <f>YEAR(CONTROLE_PILHAS[[#This Row],[DATA]])</f>
        <v>2021</v>
      </c>
      <c r="K116">
        <f>MONTH(CONTROLE_PILHAS[[#This Row],[DATA]])</f>
        <v>6</v>
      </c>
      <c r="L116">
        <f>DAY(CONTROLE_PILHAS[[#This Row],[DATA]])</f>
        <v>15</v>
      </c>
    </row>
    <row r="117" spans="2:12" x14ac:dyDescent="0.25">
      <c r="B117" s="36" t="s">
        <v>20</v>
      </c>
      <c r="C117" s="30">
        <v>44365</v>
      </c>
      <c r="D117" s="36" t="s">
        <v>348</v>
      </c>
      <c r="E117" s="36" t="s">
        <v>190</v>
      </c>
      <c r="F117" s="36" t="s">
        <v>191</v>
      </c>
      <c r="G117" s="36" t="s">
        <v>458</v>
      </c>
      <c r="H117" s="36">
        <v>1</v>
      </c>
      <c r="I117" t="s">
        <v>179</v>
      </c>
      <c r="J117">
        <f>YEAR(CONTROLE_PILHAS[[#This Row],[DATA]])</f>
        <v>2021</v>
      </c>
      <c r="K117">
        <f>MONTH(CONTROLE_PILHAS[[#This Row],[DATA]])</f>
        <v>6</v>
      </c>
      <c r="L117">
        <f>DAY(CONTROLE_PILHAS[[#This Row],[DATA]])</f>
        <v>18</v>
      </c>
    </row>
    <row r="118" spans="2:12" x14ac:dyDescent="0.25">
      <c r="B118" s="36" t="s">
        <v>40</v>
      </c>
      <c r="C118" s="30">
        <v>44263</v>
      </c>
      <c r="D118" s="36" t="s">
        <v>280</v>
      </c>
      <c r="E118" s="36" t="s">
        <v>190</v>
      </c>
      <c r="F118" s="36" t="s">
        <v>191</v>
      </c>
      <c r="G118" s="36" t="s">
        <v>458</v>
      </c>
      <c r="H118" s="36">
        <v>1</v>
      </c>
      <c r="I118" t="s">
        <v>179</v>
      </c>
      <c r="J118">
        <f>YEAR(CONTROLE_PILHAS[[#This Row],[DATA]])</f>
        <v>2021</v>
      </c>
      <c r="K118">
        <f>MONTH(CONTROLE_PILHAS[[#This Row],[DATA]])</f>
        <v>3</v>
      </c>
      <c r="L118">
        <f>DAY(CONTROLE_PILHAS[[#This Row],[DATA]])</f>
        <v>8</v>
      </c>
    </row>
    <row r="119" spans="2:12" x14ac:dyDescent="0.25">
      <c r="B119" s="36" t="s">
        <v>40</v>
      </c>
      <c r="C119" s="30">
        <v>44301</v>
      </c>
      <c r="D119" s="36" t="s">
        <v>233</v>
      </c>
      <c r="E119" s="36" t="s">
        <v>190</v>
      </c>
      <c r="F119" s="36" t="s">
        <v>191</v>
      </c>
      <c r="G119" s="36" t="s">
        <v>458</v>
      </c>
      <c r="H119" s="36">
        <v>1</v>
      </c>
      <c r="I119" t="s">
        <v>179</v>
      </c>
      <c r="J119">
        <f>YEAR(CONTROLE_PILHAS[[#This Row],[DATA]])</f>
        <v>2021</v>
      </c>
      <c r="K119">
        <f>MONTH(CONTROLE_PILHAS[[#This Row],[DATA]])</f>
        <v>4</v>
      </c>
      <c r="L119">
        <f>DAY(CONTROLE_PILHAS[[#This Row],[DATA]])</f>
        <v>15</v>
      </c>
    </row>
    <row r="120" spans="2:12" x14ac:dyDescent="0.25">
      <c r="B120" s="36" t="s">
        <v>40</v>
      </c>
      <c r="C120" s="30">
        <v>44316</v>
      </c>
      <c r="D120" s="36" t="s">
        <v>233</v>
      </c>
      <c r="E120" s="36" t="s">
        <v>190</v>
      </c>
      <c r="F120" s="36" t="s">
        <v>191</v>
      </c>
      <c r="G120" s="36" t="s">
        <v>458</v>
      </c>
      <c r="H120" s="36">
        <v>1</v>
      </c>
      <c r="I120" t="s">
        <v>179</v>
      </c>
      <c r="J120">
        <f>YEAR(CONTROLE_PILHAS[[#This Row],[DATA]])</f>
        <v>2021</v>
      </c>
      <c r="K120">
        <f>MONTH(CONTROLE_PILHAS[[#This Row],[DATA]])</f>
        <v>4</v>
      </c>
      <c r="L120">
        <f>DAY(CONTROLE_PILHAS[[#This Row],[DATA]])</f>
        <v>30</v>
      </c>
    </row>
    <row r="121" spans="2:12" x14ac:dyDescent="0.25">
      <c r="B121" s="36" t="s">
        <v>40</v>
      </c>
      <c r="C121" s="30">
        <v>44322</v>
      </c>
      <c r="D121" s="36" t="s">
        <v>260</v>
      </c>
      <c r="E121" s="36" t="s">
        <v>190</v>
      </c>
      <c r="F121" s="36" t="s">
        <v>191</v>
      </c>
      <c r="G121" s="36" t="s">
        <v>458</v>
      </c>
      <c r="H121" s="36">
        <v>1</v>
      </c>
      <c r="I121" t="s">
        <v>179</v>
      </c>
      <c r="J121">
        <f>YEAR(CONTROLE_PILHAS[[#This Row],[DATA]])</f>
        <v>2021</v>
      </c>
      <c r="K121">
        <f>MONTH(CONTROLE_PILHAS[[#This Row],[DATA]])</f>
        <v>5</v>
      </c>
      <c r="L121">
        <f>DAY(CONTROLE_PILHAS[[#This Row],[DATA]])</f>
        <v>6</v>
      </c>
    </row>
    <row r="122" spans="2:12" x14ac:dyDescent="0.25">
      <c r="B122" s="36" t="s">
        <v>40</v>
      </c>
      <c r="C122" s="30">
        <v>44329</v>
      </c>
      <c r="D122" s="36" t="s">
        <v>240</v>
      </c>
      <c r="E122" s="36" t="s">
        <v>190</v>
      </c>
      <c r="F122" s="36" t="s">
        <v>191</v>
      </c>
      <c r="G122" s="36" t="s">
        <v>458</v>
      </c>
      <c r="H122" s="36">
        <v>1</v>
      </c>
      <c r="I122" t="s">
        <v>179</v>
      </c>
      <c r="J122">
        <f>YEAR(CONTROLE_PILHAS[[#This Row],[DATA]])</f>
        <v>2021</v>
      </c>
      <c r="K122">
        <f>MONTH(CONTROLE_PILHAS[[#This Row],[DATA]])</f>
        <v>5</v>
      </c>
      <c r="L122">
        <f>DAY(CONTROLE_PILHAS[[#This Row],[DATA]])</f>
        <v>13</v>
      </c>
    </row>
    <row r="123" spans="2:12" x14ac:dyDescent="0.25">
      <c r="B123" s="36" t="s">
        <v>40</v>
      </c>
      <c r="C123" s="30">
        <v>44336</v>
      </c>
      <c r="D123" s="36" t="s">
        <v>240</v>
      </c>
      <c r="E123" s="36" t="s">
        <v>190</v>
      </c>
      <c r="F123" s="36" t="s">
        <v>191</v>
      </c>
      <c r="G123" s="36" t="s">
        <v>458</v>
      </c>
      <c r="H123" s="36">
        <v>1</v>
      </c>
      <c r="I123" t="s">
        <v>179</v>
      </c>
      <c r="J123">
        <f>YEAR(CONTROLE_PILHAS[[#This Row],[DATA]])</f>
        <v>2021</v>
      </c>
      <c r="K123">
        <f>MONTH(CONTROLE_PILHAS[[#This Row],[DATA]])</f>
        <v>5</v>
      </c>
      <c r="L123">
        <f>DAY(CONTROLE_PILHAS[[#This Row],[DATA]])</f>
        <v>20</v>
      </c>
    </row>
    <row r="124" spans="2:12" x14ac:dyDescent="0.25">
      <c r="B124" s="36" t="s">
        <v>40</v>
      </c>
      <c r="C124" s="30">
        <v>44355</v>
      </c>
      <c r="D124" s="36" t="s">
        <v>280</v>
      </c>
      <c r="E124" s="36" t="s">
        <v>190</v>
      </c>
      <c r="F124" s="36" t="s">
        <v>191</v>
      </c>
      <c r="G124" s="36" t="s">
        <v>458</v>
      </c>
      <c r="H124" s="36">
        <v>1</v>
      </c>
      <c r="I124" t="s">
        <v>179</v>
      </c>
      <c r="J124">
        <f>YEAR(CONTROLE_PILHAS[[#This Row],[DATA]])</f>
        <v>2021</v>
      </c>
      <c r="K124">
        <f>MONTH(CONTROLE_PILHAS[[#This Row],[DATA]])</f>
        <v>6</v>
      </c>
      <c r="L124">
        <f>DAY(CONTROLE_PILHAS[[#This Row],[DATA]])</f>
        <v>8</v>
      </c>
    </row>
    <row r="125" spans="2:12" x14ac:dyDescent="0.25">
      <c r="B125" s="36" t="s">
        <v>41</v>
      </c>
      <c r="C125" s="30">
        <v>44232</v>
      </c>
      <c r="D125" s="36" t="s">
        <v>233</v>
      </c>
      <c r="E125" s="36" t="s">
        <v>222</v>
      </c>
      <c r="F125" s="36" t="s">
        <v>458</v>
      </c>
      <c r="G125" s="36" t="s">
        <v>458</v>
      </c>
      <c r="H125" s="36">
        <v>1</v>
      </c>
      <c r="I125" t="s">
        <v>179</v>
      </c>
      <c r="J125">
        <f>YEAR(CONTROLE_PILHAS[[#This Row],[DATA]])</f>
        <v>2021</v>
      </c>
      <c r="K125">
        <f>MONTH(CONTROLE_PILHAS[[#This Row],[DATA]])</f>
        <v>2</v>
      </c>
      <c r="L125">
        <f>DAY(CONTROLE_PILHAS[[#This Row],[DATA]])</f>
        <v>5</v>
      </c>
    </row>
    <row r="126" spans="2:12" x14ac:dyDescent="0.25">
      <c r="B126" s="36" t="s">
        <v>41</v>
      </c>
      <c r="C126" s="30">
        <v>44239</v>
      </c>
      <c r="D126" s="36" t="s">
        <v>233</v>
      </c>
      <c r="E126" s="36" t="s">
        <v>222</v>
      </c>
      <c r="F126" s="36" t="s">
        <v>458</v>
      </c>
      <c r="G126" s="36" t="s">
        <v>458</v>
      </c>
      <c r="H126" s="36">
        <v>1</v>
      </c>
      <c r="I126" t="s">
        <v>179</v>
      </c>
      <c r="J126">
        <f>YEAR(CONTROLE_PILHAS[[#This Row],[DATA]])</f>
        <v>2021</v>
      </c>
      <c r="K126">
        <f>MONTH(CONTROLE_PILHAS[[#This Row],[DATA]])</f>
        <v>2</v>
      </c>
      <c r="L126">
        <f>DAY(CONTROLE_PILHAS[[#This Row],[DATA]])</f>
        <v>12</v>
      </c>
    </row>
    <row r="127" spans="2:12" x14ac:dyDescent="0.25">
      <c r="B127" s="36" t="s">
        <v>41</v>
      </c>
      <c r="C127" s="30">
        <v>44327</v>
      </c>
      <c r="D127" s="36" t="s">
        <v>272</v>
      </c>
      <c r="E127" s="36" t="s">
        <v>190</v>
      </c>
      <c r="F127" s="36" t="s">
        <v>191</v>
      </c>
      <c r="G127" s="36" t="s">
        <v>458</v>
      </c>
      <c r="H127" s="36">
        <v>1</v>
      </c>
      <c r="I127" t="s">
        <v>179</v>
      </c>
      <c r="J127">
        <f>YEAR(CONTROLE_PILHAS[[#This Row],[DATA]])</f>
        <v>2021</v>
      </c>
      <c r="K127">
        <f>MONTH(CONTROLE_PILHAS[[#This Row],[DATA]])</f>
        <v>5</v>
      </c>
      <c r="L127">
        <f>DAY(CONTROLE_PILHAS[[#This Row],[DATA]])</f>
        <v>11</v>
      </c>
    </row>
    <row r="128" spans="2:12" x14ac:dyDescent="0.25">
      <c r="B128" s="36" t="s">
        <v>41</v>
      </c>
      <c r="C128" s="30">
        <v>44303</v>
      </c>
      <c r="D128" s="36" t="s">
        <v>240</v>
      </c>
      <c r="E128" s="36" t="s">
        <v>190</v>
      </c>
      <c r="F128" s="36" t="s">
        <v>191</v>
      </c>
      <c r="G128" s="36" t="s">
        <v>458</v>
      </c>
      <c r="H128" s="36">
        <v>1</v>
      </c>
      <c r="I128" t="s">
        <v>179</v>
      </c>
      <c r="J128">
        <f>YEAR(CONTROLE_PILHAS[[#This Row],[DATA]])</f>
        <v>2021</v>
      </c>
      <c r="K128">
        <f>MONTH(CONTROLE_PILHAS[[#This Row],[DATA]])</f>
        <v>4</v>
      </c>
      <c r="L128">
        <f>DAY(CONTROLE_PILHAS[[#This Row],[DATA]])</f>
        <v>17</v>
      </c>
    </row>
    <row r="129" spans="2:12" x14ac:dyDescent="0.25">
      <c r="B129" s="36" t="s">
        <v>41</v>
      </c>
      <c r="C129" s="30">
        <v>44336</v>
      </c>
      <c r="D129" s="36" t="s">
        <v>233</v>
      </c>
      <c r="E129" s="36" t="s">
        <v>190</v>
      </c>
      <c r="F129" s="36" t="s">
        <v>191</v>
      </c>
      <c r="G129" s="36" t="s">
        <v>458</v>
      </c>
      <c r="H129" s="36">
        <v>1</v>
      </c>
      <c r="I129" t="s">
        <v>179</v>
      </c>
      <c r="J129">
        <f>YEAR(CONTROLE_PILHAS[[#This Row],[DATA]])</f>
        <v>2021</v>
      </c>
      <c r="K129">
        <f>MONTH(CONTROLE_PILHAS[[#This Row],[DATA]])</f>
        <v>5</v>
      </c>
      <c r="L129">
        <f>DAY(CONTROLE_PILHAS[[#This Row],[DATA]])</f>
        <v>20</v>
      </c>
    </row>
    <row r="130" spans="2:12" x14ac:dyDescent="0.25">
      <c r="B130" s="36" t="s">
        <v>41</v>
      </c>
      <c r="C130" s="30">
        <v>44342</v>
      </c>
      <c r="D130" s="36" t="s">
        <v>258</v>
      </c>
      <c r="E130" s="36" t="s">
        <v>222</v>
      </c>
      <c r="F130" s="36" t="s">
        <v>191</v>
      </c>
      <c r="G130" s="36" t="s">
        <v>458</v>
      </c>
      <c r="H130" s="36">
        <v>1</v>
      </c>
      <c r="I130" t="s">
        <v>179</v>
      </c>
      <c r="J130">
        <f>YEAR(CONTROLE_PILHAS[[#This Row],[DATA]])</f>
        <v>2021</v>
      </c>
      <c r="K130">
        <f>MONTH(CONTROLE_PILHAS[[#This Row],[DATA]])</f>
        <v>5</v>
      </c>
      <c r="L130">
        <f>DAY(CONTROLE_PILHAS[[#This Row],[DATA]])</f>
        <v>26</v>
      </c>
    </row>
    <row r="131" spans="2:12" x14ac:dyDescent="0.25">
      <c r="B131" s="36" t="s">
        <v>41</v>
      </c>
      <c r="C131" s="30">
        <v>44363</v>
      </c>
      <c r="D131" s="36" t="s">
        <v>242</v>
      </c>
      <c r="E131" s="36" t="s">
        <v>190</v>
      </c>
      <c r="F131" s="36" t="s">
        <v>191</v>
      </c>
      <c r="G131" s="36" t="s">
        <v>356</v>
      </c>
      <c r="H131" s="36">
        <v>1</v>
      </c>
      <c r="I131" t="s">
        <v>179</v>
      </c>
      <c r="J131">
        <f>YEAR(CONTROLE_PILHAS[[#This Row],[DATA]])</f>
        <v>2021</v>
      </c>
      <c r="K131">
        <f>MONTH(CONTROLE_PILHAS[[#This Row],[DATA]])</f>
        <v>6</v>
      </c>
      <c r="L131">
        <f>DAY(CONTROLE_PILHAS[[#This Row],[DATA]])</f>
        <v>16</v>
      </c>
    </row>
    <row r="132" spans="2:12" x14ac:dyDescent="0.25">
      <c r="B132" s="36" t="s">
        <v>10</v>
      </c>
      <c r="C132" s="30">
        <v>44412</v>
      </c>
      <c r="D132" s="36" t="s">
        <v>189</v>
      </c>
      <c r="E132" s="36" t="s">
        <v>190</v>
      </c>
      <c r="F132" s="36" t="s">
        <v>191</v>
      </c>
      <c r="G132" s="36" t="s">
        <v>191</v>
      </c>
      <c r="H132" s="36">
        <v>1</v>
      </c>
      <c r="I132" t="s">
        <v>179</v>
      </c>
      <c r="J132">
        <f>YEAR(CONTROLE_PILHAS[[#This Row],[DATA]])</f>
        <v>2021</v>
      </c>
      <c r="K132">
        <f>MONTH(CONTROLE_PILHAS[[#This Row],[DATA]])</f>
        <v>8</v>
      </c>
      <c r="L132">
        <f>DAY(CONTROLE_PILHAS[[#This Row],[DATA]])</f>
        <v>4</v>
      </c>
    </row>
    <row r="133" spans="2:12" x14ac:dyDescent="0.25">
      <c r="B133" s="36" t="s">
        <v>10</v>
      </c>
      <c r="C133" s="30">
        <v>44414</v>
      </c>
      <c r="D133" s="36" t="s">
        <v>189</v>
      </c>
      <c r="E133" s="36" t="s">
        <v>190</v>
      </c>
      <c r="F133" s="36" t="s">
        <v>191</v>
      </c>
      <c r="G133" s="36" t="s">
        <v>191</v>
      </c>
      <c r="H133" s="36">
        <v>1</v>
      </c>
      <c r="I133" t="s">
        <v>179</v>
      </c>
      <c r="J133">
        <f>YEAR(CONTROLE_PILHAS[[#This Row],[DATA]])</f>
        <v>2021</v>
      </c>
      <c r="K133">
        <f>MONTH(CONTROLE_PILHAS[[#This Row],[DATA]])</f>
        <v>8</v>
      </c>
      <c r="L133">
        <f>DAY(CONTROLE_PILHAS[[#This Row],[DATA]])</f>
        <v>6</v>
      </c>
    </row>
    <row r="134" spans="2:12" x14ac:dyDescent="0.25">
      <c r="B134" s="36" t="s">
        <v>10</v>
      </c>
      <c r="C134" s="30">
        <v>44414</v>
      </c>
      <c r="D134" s="36" t="s">
        <v>189</v>
      </c>
      <c r="E134" s="36" t="s">
        <v>222</v>
      </c>
      <c r="F134" s="36" t="s">
        <v>194</v>
      </c>
      <c r="G134" s="36" t="s">
        <v>356</v>
      </c>
      <c r="H134" s="36">
        <v>1</v>
      </c>
      <c r="I134" t="s">
        <v>179</v>
      </c>
      <c r="J134">
        <f>YEAR(CONTROLE_PILHAS[[#This Row],[DATA]])</f>
        <v>2021</v>
      </c>
      <c r="K134">
        <f>MONTH(CONTROLE_PILHAS[[#This Row],[DATA]])</f>
        <v>8</v>
      </c>
      <c r="L134">
        <f>DAY(CONTROLE_PILHAS[[#This Row],[DATA]])</f>
        <v>6</v>
      </c>
    </row>
    <row r="135" spans="2:12" x14ac:dyDescent="0.25">
      <c r="B135" s="36" t="s">
        <v>21</v>
      </c>
      <c r="C135" s="30">
        <v>44414</v>
      </c>
      <c r="D135" s="36" t="s">
        <v>189</v>
      </c>
      <c r="E135" s="36" t="s">
        <v>462</v>
      </c>
      <c r="F135" s="36" t="s">
        <v>191</v>
      </c>
      <c r="G135" s="36" t="s">
        <v>191</v>
      </c>
      <c r="H135" s="36">
        <v>1</v>
      </c>
      <c r="I135" t="s">
        <v>179</v>
      </c>
      <c r="J135">
        <f>YEAR(CONTROLE_PILHAS[[#This Row],[DATA]])</f>
        <v>2021</v>
      </c>
      <c r="K135">
        <f>MONTH(CONTROLE_PILHAS[[#This Row],[DATA]])</f>
        <v>8</v>
      </c>
      <c r="L135">
        <f>DAY(CONTROLE_PILHAS[[#This Row],[DATA]])</f>
        <v>6</v>
      </c>
    </row>
    <row r="136" spans="2:12" x14ac:dyDescent="0.25">
      <c r="B136" s="36" t="s">
        <v>13</v>
      </c>
      <c r="C136" s="30">
        <v>44414</v>
      </c>
      <c r="D136" s="36" t="s">
        <v>189</v>
      </c>
      <c r="E136" s="36" t="s">
        <v>462</v>
      </c>
      <c r="F136" s="36" t="s">
        <v>191</v>
      </c>
      <c r="G136" s="36" t="s">
        <v>191</v>
      </c>
      <c r="H136" s="36">
        <v>1</v>
      </c>
      <c r="I136" t="s">
        <v>179</v>
      </c>
      <c r="J136">
        <f>YEAR(CONTROLE_PILHAS[[#This Row],[DATA]])</f>
        <v>2021</v>
      </c>
      <c r="K136">
        <f>MONTH(CONTROLE_PILHAS[[#This Row],[DATA]])</f>
        <v>8</v>
      </c>
      <c r="L136">
        <f>DAY(CONTROLE_PILHAS[[#This Row],[DATA]])</f>
        <v>6</v>
      </c>
    </row>
    <row r="137" spans="2:12" x14ac:dyDescent="0.25">
      <c r="B137" s="36" t="s">
        <v>10</v>
      </c>
      <c r="C137" s="30">
        <v>44417</v>
      </c>
      <c r="D137" s="36" t="s">
        <v>189</v>
      </c>
      <c r="E137" s="36" t="s">
        <v>190</v>
      </c>
      <c r="F137" s="36" t="s">
        <v>194</v>
      </c>
      <c r="G137" s="36" t="s">
        <v>356</v>
      </c>
      <c r="H137" s="36">
        <v>1</v>
      </c>
      <c r="I137" t="s">
        <v>179</v>
      </c>
      <c r="J137">
        <f>YEAR(CONTROLE_PILHAS[[#This Row],[DATA]])</f>
        <v>2021</v>
      </c>
      <c r="K137">
        <f>MONTH(CONTROLE_PILHAS[[#This Row],[DATA]])</f>
        <v>8</v>
      </c>
      <c r="L137">
        <f>DAY(CONTROLE_PILHAS[[#This Row],[DATA]])</f>
        <v>9</v>
      </c>
    </row>
    <row r="138" spans="2:12" x14ac:dyDescent="0.25">
      <c r="B138" s="36" t="s">
        <v>9</v>
      </c>
      <c r="C138" s="30">
        <v>44417</v>
      </c>
      <c r="D138" s="36" t="s">
        <v>189</v>
      </c>
      <c r="E138" s="36" t="s">
        <v>222</v>
      </c>
      <c r="F138" s="36" t="s">
        <v>194</v>
      </c>
      <c r="G138" s="36" t="s">
        <v>356</v>
      </c>
      <c r="H138" s="36">
        <v>1</v>
      </c>
      <c r="I138" t="s">
        <v>179</v>
      </c>
      <c r="J138">
        <f>YEAR(CONTROLE_PILHAS[[#This Row],[DATA]])</f>
        <v>2021</v>
      </c>
      <c r="K138">
        <f>MONTH(CONTROLE_PILHAS[[#This Row],[DATA]])</f>
        <v>8</v>
      </c>
      <c r="L138">
        <f>DAY(CONTROLE_PILHAS[[#This Row],[DATA]])</f>
        <v>9</v>
      </c>
    </row>
    <row r="139" spans="2:12" x14ac:dyDescent="0.25">
      <c r="B139" s="36" t="s">
        <v>14</v>
      </c>
      <c r="C139" s="30">
        <v>44417</v>
      </c>
      <c r="D139" s="36" t="s">
        <v>189</v>
      </c>
      <c r="E139" s="36" t="s">
        <v>462</v>
      </c>
      <c r="F139" s="36" t="s">
        <v>194</v>
      </c>
      <c r="G139" s="36" t="s">
        <v>356</v>
      </c>
      <c r="H139" s="36">
        <v>1</v>
      </c>
      <c r="I139" t="s">
        <v>179</v>
      </c>
      <c r="J139">
        <f>YEAR(CONTROLE_PILHAS[[#This Row],[DATA]])</f>
        <v>2021</v>
      </c>
      <c r="K139">
        <f>MONTH(CONTROLE_PILHAS[[#This Row],[DATA]])</f>
        <v>8</v>
      </c>
      <c r="L139">
        <f>DAY(CONTROLE_PILHAS[[#This Row],[DATA]])</f>
        <v>9</v>
      </c>
    </row>
    <row r="140" spans="2:12" x14ac:dyDescent="0.25">
      <c r="B140" s="36" t="s">
        <v>20</v>
      </c>
      <c r="C140" s="30">
        <v>44417</v>
      </c>
      <c r="D140" s="36" t="s">
        <v>189</v>
      </c>
      <c r="E140" s="36" t="s">
        <v>222</v>
      </c>
      <c r="F140" s="36" t="s">
        <v>194</v>
      </c>
      <c r="G140" s="36" t="s">
        <v>356</v>
      </c>
      <c r="H140" s="36">
        <v>1</v>
      </c>
      <c r="I140" t="s">
        <v>179</v>
      </c>
      <c r="J140">
        <f>YEAR(CONTROLE_PILHAS[[#This Row],[DATA]])</f>
        <v>2021</v>
      </c>
      <c r="K140">
        <f>MONTH(CONTROLE_PILHAS[[#This Row],[DATA]])</f>
        <v>8</v>
      </c>
      <c r="L140">
        <f>DAY(CONTROLE_PILHAS[[#This Row],[DATA]])</f>
        <v>9</v>
      </c>
    </row>
    <row r="141" spans="2:12" x14ac:dyDescent="0.25">
      <c r="B141" s="36" t="s">
        <v>16</v>
      </c>
      <c r="C141" s="30">
        <v>44418</v>
      </c>
      <c r="D141" s="36" t="s">
        <v>189</v>
      </c>
      <c r="E141" s="36" t="s">
        <v>222</v>
      </c>
      <c r="F141" s="36" t="s">
        <v>194</v>
      </c>
      <c r="G141" s="36" t="s">
        <v>356</v>
      </c>
      <c r="H141" s="36">
        <v>1</v>
      </c>
      <c r="I141" t="s">
        <v>179</v>
      </c>
      <c r="J141">
        <f>YEAR(CONTROLE_PILHAS[[#This Row],[DATA]])</f>
        <v>2021</v>
      </c>
      <c r="K141">
        <f>MONTH(CONTROLE_PILHAS[[#This Row],[DATA]])</f>
        <v>8</v>
      </c>
      <c r="L141">
        <f>DAY(CONTROLE_PILHAS[[#This Row],[DATA]])</f>
        <v>10</v>
      </c>
    </row>
    <row r="142" spans="2:12" x14ac:dyDescent="0.25">
      <c r="B142" s="36" t="s">
        <v>15</v>
      </c>
      <c r="C142" s="30">
        <v>44418</v>
      </c>
      <c r="D142" s="36" t="s">
        <v>189</v>
      </c>
      <c r="E142" s="36" t="s">
        <v>462</v>
      </c>
      <c r="F142" s="36" t="s">
        <v>191</v>
      </c>
      <c r="G142" s="36" t="s">
        <v>191</v>
      </c>
      <c r="H142" s="36">
        <v>1</v>
      </c>
      <c r="I142" t="s">
        <v>179</v>
      </c>
      <c r="J142">
        <f>YEAR(CONTROLE_PILHAS[[#This Row],[DATA]])</f>
        <v>2021</v>
      </c>
      <c r="K142">
        <f>MONTH(CONTROLE_PILHAS[[#This Row],[DATA]])</f>
        <v>8</v>
      </c>
      <c r="L142">
        <f>DAY(CONTROLE_PILHAS[[#This Row],[DATA]])</f>
        <v>10</v>
      </c>
    </row>
    <row r="143" spans="2:12" x14ac:dyDescent="0.25">
      <c r="B143" s="36" t="s">
        <v>40</v>
      </c>
      <c r="C143" s="30">
        <v>44418</v>
      </c>
      <c r="D143" s="36" t="s">
        <v>189</v>
      </c>
      <c r="E143" s="36" t="s">
        <v>222</v>
      </c>
      <c r="F143" s="36" t="s">
        <v>463</v>
      </c>
      <c r="G143" s="36" t="s">
        <v>356</v>
      </c>
      <c r="H143" s="36">
        <v>1</v>
      </c>
      <c r="I143" t="s">
        <v>179</v>
      </c>
      <c r="J143">
        <f>YEAR(CONTROLE_PILHAS[[#This Row],[DATA]])</f>
        <v>2021</v>
      </c>
      <c r="K143">
        <f>MONTH(CONTROLE_PILHAS[[#This Row],[DATA]])</f>
        <v>8</v>
      </c>
      <c r="L143">
        <f>DAY(CONTROLE_PILHAS[[#This Row],[DATA]])</f>
        <v>10</v>
      </c>
    </row>
    <row r="144" spans="2:12" x14ac:dyDescent="0.25">
      <c r="B144" s="36" t="s">
        <v>6</v>
      </c>
      <c r="C144" s="30">
        <v>44418</v>
      </c>
      <c r="D144" s="36" t="s">
        <v>189</v>
      </c>
      <c r="E144" s="36" t="s">
        <v>462</v>
      </c>
      <c r="F144" s="36" t="s">
        <v>194</v>
      </c>
      <c r="G144" s="36" t="s">
        <v>356</v>
      </c>
      <c r="H144" s="36">
        <v>1</v>
      </c>
      <c r="I144" t="s">
        <v>179</v>
      </c>
      <c r="J144">
        <f>YEAR(CONTROLE_PILHAS[[#This Row],[DATA]])</f>
        <v>2021</v>
      </c>
      <c r="K144">
        <f>MONTH(CONTROLE_PILHAS[[#This Row],[DATA]])</f>
        <v>8</v>
      </c>
      <c r="L144">
        <f>DAY(CONTROLE_PILHAS[[#This Row],[DATA]])</f>
        <v>10</v>
      </c>
    </row>
    <row r="145" spans="2:12" x14ac:dyDescent="0.25">
      <c r="B145" s="36" t="s">
        <v>16</v>
      </c>
      <c r="C145" s="30">
        <v>44419</v>
      </c>
      <c r="D145" s="36" t="s">
        <v>189</v>
      </c>
      <c r="E145" s="36" t="s">
        <v>222</v>
      </c>
      <c r="F145" s="36" t="s">
        <v>463</v>
      </c>
      <c r="G145" s="36" t="s">
        <v>356</v>
      </c>
      <c r="H145" s="36">
        <v>1</v>
      </c>
      <c r="I145" t="s">
        <v>179</v>
      </c>
      <c r="J145">
        <f>YEAR(CONTROLE_PILHAS[[#This Row],[DATA]])</f>
        <v>2021</v>
      </c>
      <c r="K145">
        <f>MONTH(CONTROLE_PILHAS[[#This Row],[DATA]])</f>
        <v>8</v>
      </c>
      <c r="L145">
        <f>DAY(CONTROLE_PILHAS[[#This Row],[DATA]])</f>
        <v>11</v>
      </c>
    </row>
    <row r="146" spans="2:12" x14ac:dyDescent="0.25">
      <c r="B146" s="36" t="s">
        <v>20</v>
      </c>
      <c r="C146" s="30">
        <v>44419</v>
      </c>
      <c r="D146" s="36" t="s">
        <v>189</v>
      </c>
      <c r="E146" s="36" t="s">
        <v>462</v>
      </c>
      <c r="F146" s="36" t="s">
        <v>194</v>
      </c>
      <c r="G146" s="36" t="s">
        <v>356</v>
      </c>
      <c r="H146" s="36">
        <v>1</v>
      </c>
      <c r="I146" t="s">
        <v>179</v>
      </c>
      <c r="J146">
        <f>YEAR(CONTROLE_PILHAS[[#This Row],[DATA]])</f>
        <v>2021</v>
      </c>
      <c r="K146">
        <f>MONTH(CONTROLE_PILHAS[[#This Row],[DATA]])</f>
        <v>8</v>
      </c>
      <c r="L146">
        <f>DAY(CONTROLE_PILHAS[[#This Row],[DATA]])</f>
        <v>11</v>
      </c>
    </row>
    <row r="147" spans="2:12" x14ac:dyDescent="0.25">
      <c r="B147" s="36" t="s">
        <v>10</v>
      </c>
      <c r="C147" s="30">
        <v>44420</v>
      </c>
      <c r="D147" s="36" t="s">
        <v>189</v>
      </c>
      <c r="E147" s="36" t="s">
        <v>222</v>
      </c>
      <c r="F147" s="36" t="s">
        <v>463</v>
      </c>
      <c r="G147" s="36" t="s">
        <v>356</v>
      </c>
      <c r="H147" s="36">
        <v>1</v>
      </c>
      <c r="I147" t="s">
        <v>179</v>
      </c>
      <c r="J147">
        <f>YEAR(CONTROLE_PILHAS[[#This Row],[DATA]])</f>
        <v>2021</v>
      </c>
      <c r="K147">
        <f>MONTH(CONTROLE_PILHAS[[#This Row],[DATA]])</f>
        <v>8</v>
      </c>
      <c r="L147">
        <f>DAY(CONTROLE_PILHAS[[#This Row],[DATA]])</f>
        <v>12</v>
      </c>
    </row>
    <row r="148" spans="2:12" x14ac:dyDescent="0.25">
      <c r="B148" s="36" t="s">
        <v>6</v>
      </c>
      <c r="C148" s="30">
        <v>44420</v>
      </c>
      <c r="D148" s="36" t="s">
        <v>189</v>
      </c>
      <c r="E148" s="36" t="s">
        <v>222</v>
      </c>
      <c r="F148" s="36" t="s">
        <v>463</v>
      </c>
      <c r="G148" s="36" t="s">
        <v>356</v>
      </c>
      <c r="H148" s="36">
        <v>1</v>
      </c>
      <c r="I148" t="s">
        <v>179</v>
      </c>
      <c r="J148">
        <f>YEAR(CONTROLE_PILHAS[[#This Row],[DATA]])</f>
        <v>2021</v>
      </c>
      <c r="K148">
        <f>MONTH(CONTROLE_PILHAS[[#This Row],[DATA]])</f>
        <v>8</v>
      </c>
      <c r="L148">
        <f>DAY(CONTROLE_PILHAS[[#This Row],[DATA]])</f>
        <v>12</v>
      </c>
    </row>
    <row r="149" spans="2:12" x14ac:dyDescent="0.25">
      <c r="B149" s="36" t="s">
        <v>14</v>
      </c>
      <c r="C149" s="30">
        <v>44421</v>
      </c>
      <c r="D149" s="36" t="s">
        <v>189</v>
      </c>
      <c r="E149" s="36" t="s">
        <v>222</v>
      </c>
      <c r="F149" s="36" t="s">
        <v>191</v>
      </c>
      <c r="G149" s="36" t="s">
        <v>191</v>
      </c>
      <c r="H149" s="36">
        <v>1</v>
      </c>
      <c r="I149" t="s">
        <v>179</v>
      </c>
      <c r="J149">
        <f>YEAR(CONTROLE_PILHAS[[#This Row],[DATA]])</f>
        <v>2021</v>
      </c>
      <c r="K149">
        <f>MONTH(CONTROLE_PILHAS[[#This Row],[DATA]])</f>
        <v>8</v>
      </c>
      <c r="L149">
        <f>DAY(CONTROLE_PILHAS[[#This Row],[DATA]])</f>
        <v>13</v>
      </c>
    </row>
    <row r="150" spans="2:12" x14ac:dyDescent="0.25">
      <c r="B150" s="36" t="s">
        <v>19</v>
      </c>
      <c r="C150" s="30">
        <v>44421</v>
      </c>
      <c r="D150" s="36" t="s">
        <v>189</v>
      </c>
      <c r="E150" s="36" t="s">
        <v>462</v>
      </c>
      <c r="F150" s="36" t="s">
        <v>194</v>
      </c>
      <c r="G150" s="36" t="s">
        <v>356</v>
      </c>
      <c r="H150" s="36">
        <v>1</v>
      </c>
      <c r="I150" t="s">
        <v>179</v>
      </c>
      <c r="J150">
        <f>YEAR(CONTROLE_PILHAS[[#This Row],[DATA]])</f>
        <v>2021</v>
      </c>
      <c r="K150">
        <f>MONTH(CONTROLE_PILHAS[[#This Row],[DATA]])</f>
        <v>8</v>
      </c>
      <c r="L150">
        <f>DAY(CONTROLE_PILHAS[[#This Row],[DATA]])</f>
        <v>13</v>
      </c>
    </row>
    <row r="151" spans="2:12" x14ac:dyDescent="0.25">
      <c r="B151" s="36" t="s">
        <v>20</v>
      </c>
      <c r="C151" s="30">
        <v>44425</v>
      </c>
      <c r="D151" s="36" t="s">
        <v>189</v>
      </c>
      <c r="E151" s="36" t="s">
        <v>462</v>
      </c>
      <c r="F151" s="36" t="s">
        <v>191</v>
      </c>
      <c r="G151" s="36" t="s">
        <v>191</v>
      </c>
      <c r="H151" s="36">
        <v>1</v>
      </c>
      <c r="I151" t="s">
        <v>179</v>
      </c>
      <c r="J151">
        <f>YEAR(CONTROLE_PILHAS[[#This Row],[DATA]])</f>
        <v>2021</v>
      </c>
      <c r="K151">
        <f>MONTH(CONTROLE_PILHAS[[#This Row],[DATA]])</f>
        <v>8</v>
      </c>
      <c r="L151">
        <f>DAY(CONTROLE_PILHAS[[#This Row],[DATA]])</f>
        <v>17</v>
      </c>
    </row>
    <row r="152" spans="2:12" x14ac:dyDescent="0.25">
      <c r="B152" s="36" t="s">
        <v>6</v>
      </c>
      <c r="C152" s="30">
        <v>44426</v>
      </c>
      <c r="D152" s="36" t="s">
        <v>189</v>
      </c>
      <c r="E152" s="36" t="s">
        <v>222</v>
      </c>
      <c r="F152" s="36" t="s">
        <v>191</v>
      </c>
      <c r="G152" s="36" t="s">
        <v>191</v>
      </c>
      <c r="H152" s="36">
        <v>1</v>
      </c>
      <c r="I152" t="s">
        <v>179</v>
      </c>
      <c r="J152">
        <f>YEAR(CONTROLE_PILHAS[[#This Row],[DATA]])</f>
        <v>2021</v>
      </c>
      <c r="K152">
        <f>MONTH(CONTROLE_PILHAS[[#This Row],[DATA]])</f>
        <v>8</v>
      </c>
      <c r="L152">
        <f>DAY(CONTROLE_PILHAS[[#This Row],[DATA]])</f>
        <v>18</v>
      </c>
    </row>
    <row r="153" spans="2:12" x14ac:dyDescent="0.25">
      <c r="B153" s="36" t="s">
        <v>19</v>
      </c>
      <c r="C153" s="30">
        <v>44426</v>
      </c>
      <c r="D153" s="36" t="s">
        <v>189</v>
      </c>
      <c r="E153" s="36" t="s">
        <v>462</v>
      </c>
      <c r="F153" s="36" t="s">
        <v>191</v>
      </c>
      <c r="G153" s="36" t="s">
        <v>191</v>
      </c>
      <c r="H153" s="36">
        <v>1</v>
      </c>
      <c r="I153" t="s">
        <v>179</v>
      </c>
      <c r="J153">
        <f>YEAR(CONTROLE_PILHAS[[#This Row],[DATA]])</f>
        <v>2021</v>
      </c>
      <c r="K153">
        <f>MONTH(CONTROLE_PILHAS[[#This Row],[DATA]])</f>
        <v>8</v>
      </c>
      <c r="L153">
        <f>DAY(CONTROLE_PILHAS[[#This Row],[DATA]])</f>
        <v>18</v>
      </c>
    </row>
    <row r="154" spans="2:12" x14ac:dyDescent="0.25">
      <c r="B154" s="36" t="s">
        <v>13</v>
      </c>
      <c r="C154" s="30">
        <v>44426</v>
      </c>
      <c r="D154" s="36" t="s">
        <v>189</v>
      </c>
      <c r="E154" s="36" t="s">
        <v>222</v>
      </c>
      <c r="F154" s="36" t="s">
        <v>191</v>
      </c>
      <c r="G154" s="36" t="s">
        <v>191</v>
      </c>
      <c r="H154" s="36">
        <v>1</v>
      </c>
      <c r="I154" t="s">
        <v>179</v>
      </c>
      <c r="J154">
        <f>YEAR(CONTROLE_PILHAS[[#This Row],[DATA]])</f>
        <v>2021</v>
      </c>
      <c r="K154">
        <f>MONTH(CONTROLE_PILHAS[[#This Row],[DATA]])</f>
        <v>8</v>
      </c>
      <c r="L154">
        <f>DAY(CONTROLE_PILHAS[[#This Row],[DATA]])</f>
        <v>18</v>
      </c>
    </row>
    <row r="155" spans="2:12" x14ac:dyDescent="0.25">
      <c r="B155" s="36" t="s">
        <v>98</v>
      </c>
      <c r="C155" s="30">
        <v>44427</v>
      </c>
      <c r="D155" s="36" t="s">
        <v>189</v>
      </c>
      <c r="E155" s="36" t="s">
        <v>222</v>
      </c>
      <c r="F155" s="36" t="s">
        <v>191</v>
      </c>
      <c r="G155" s="36" t="s">
        <v>191</v>
      </c>
      <c r="H155" s="36">
        <v>1</v>
      </c>
      <c r="I155" t="s">
        <v>179</v>
      </c>
      <c r="J155">
        <f>YEAR(CONTROLE_PILHAS[[#This Row],[DATA]])</f>
        <v>2021</v>
      </c>
      <c r="K155">
        <f>MONTH(CONTROLE_PILHAS[[#This Row],[DATA]])</f>
        <v>8</v>
      </c>
      <c r="L155">
        <f>DAY(CONTROLE_PILHAS[[#This Row],[DATA]])</f>
        <v>19</v>
      </c>
    </row>
    <row r="156" spans="2:12" x14ac:dyDescent="0.25">
      <c r="B156" s="36" t="s">
        <v>22</v>
      </c>
      <c r="C156" s="30">
        <v>44427</v>
      </c>
      <c r="D156" s="36" t="s">
        <v>189</v>
      </c>
      <c r="E156" s="36" t="s">
        <v>462</v>
      </c>
      <c r="F156" s="36" t="s">
        <v>191</v>
      </c>
      <c r="G156" s="36" t="s">
        <v>191</v>
      </c>
      <c r="H156" s="36">
        <v>1</v>
      </c>
      <c r="I156" t="s">
        <v>179</v>
      </c>
      <c r="J156">
        <f>YEAR(CONTROLE_PILHAS[[#This Row],[DATA]])</f>
        <v>2021</v>
      </c>
      <c r="K156">
        <f>MONTH(CONTROLE_PILHAS[[#This Row],[DATA]])</f>
        <v>8</v>
      </c>
      <c r="L156">
        <f>DAY(CONTROLE_PILHAS[[#This Row],[DATA]])</f>
        <v>19</v>
      </c>
    </row>
    <row r="157" spans="2:12" x14ac:dyDescent="0.25">
      <c r="B157" s="36" t="s">
        <v>16</v>
      </c>
      <c r="C157" s="30">
        <v>44433</v>
      </c>
      <c r="D157" s="36" t="s">
        <v>189</v>
      </c>
      <c r="E157" s="36" t="s">
        <v>462</v>
      </c>
      <c r="F157" s="36" t="s">
        <v>191</v>
      </c>
      <c r="G157" s="36" t="s">
        <v>191</v>
      </c>
      <c r="H157" s="36">
        <v>1</v>
      </c>
      <c r="I157" t="s">
        <v>179</v>
      </c>
      <c r="J157">
        <f>YEAR(CONTROLE_PILHAS[[#This Row],[DATA]])</f>
        <v>2021</v>
      </c>
      <c r="K157">
        <f>MONTH(CONTROLE_PILHAS[[#This Row],[DATA]])</f>
        <v>8</v>
      </c>
      <c r="L157">
        <f>DAY(CONTROLE_PILHAS[[#This Row],[DATA]])</f>
        <v>25</v>
      </c>
    </row>
    <row r="158" spans="2:12" x14ac:dyDescent="0.25">
      <c r="B158" s="36" t="s">
        <v>98</v>
      </c>
      <c r="C158" s="30">
        <v>44434</v>
      </c>
      <c r="D158" s="36" t="s">
        <v>189</v>
      </c>
      <c r="E158" s="36" t="s">
        <v>462</v>
      </c>
      <c r="F158" s="36" t="s">
        <v>191</v>
      </c>
      <c r="G158" s="36" t="s">
        <v>191</v>
      </c>
      <c r="H158" s="36">
        <v>1</v>
      </c>
      <c r="I158" t="s">
        <v>179</v>
      </c>
      <c r="J158">
        <f>YEAR(CONTROLE_PILHAS[[#This Row],[DATA]])</f>
        <v>2021</v>
      </c>
      <c r="K158">
        <f>MONTH(CONTROLE_PILHAS[[#This Row],[DATA]])</f>
        <v>8</v>
      </c>
      <c r="L158">
        <f>DAY(CONTROLE_PILHAS[[#This Row],[DATA]])</f>
        <v>26</v>
      </c>
    </row>
    <row r="159" spans="2:12" x14ac:dyDescent="0.25">
      <c r="B159" s="36" t="s">
        <v>22</v>
      </c>
      <c r="C159" s="30">
        <v>44438</v>
      </c>
      <c r="D159" s="36" t="s">
        <v>189</v>
      </c>
      <c r="E159" s="36" t="s">
        <v>222</v>
      </c>
      <c r="F159" s="36" t="s">
        <v>191</v>
      </c>
      <c r="G159" s="36" t="s">
        <v>191</v>
      </c>
      <c r="H159" s="36">
        <v>1</v>
      </c>
      <c r="I159" t="s">
        <v>179</v>
      </c>
      <c r="J159">
        <f>YEAR(CONTROLE_PILHAS[[#This Row],[DATA]])</f>
        <v>2021</v>
      </c>
      <c r="K159">
        <f>MONTH(CONTROLE_PILHAS[[#This Row],[DATA]])</f>
        <v>8</v>
      </c>
      <c r="L159">
        <f>DAY(CONTROLE_PILHAS[[#This Row],[DATA]])</f>
        <v>30</v>
      </c>
    </row>
    <row r="160" spans="2:12" x14ac:dyDescent="0.25">
      <c r="B160" s="36" t="s">
        <v>19</v>
      </c>
      <c r="C160" s="30">
        <v>44439</v>
      </c>
      <c r="D160" s="36" t="s">
        <v>189</v>
      </c>
      <c r="E160" s="36" t="s">
        <v>462</v>
      </c>
      <c r="F160" s="36" t="s">
        <v>191</v>
      </c>
      <c r="G160" s="36" t="s">
        <v>191</v>
      </c>
      <c r="H160" s="36">
        <v>1</v>
      </c>
      <c r="I160" t="s">
        <v>179</v>
      </c>
      <c r="J160">
        <f>YEAR(CONTROLE_PILHAS[[#This Row],[DATA]])</f>
        <v>2021</v>
      </c>
      <c r="K160">
        <f>MONTH(CONTROLE_PILHAS[[#This Row],[DATA]])</f>
        <v>8</v>
      </c>
      <c r="L160">
        <f>DAY(CONTROLE_PILHAS[[#This Row],[DATA]])</f>
        <v>31</v>
      </c>
    </row>
    <row r="161" spans="2:12" x14ac:dyDescent="0.25">
      <c r="B161" s="36" t="s">
        <v>16</v>
      </c>
      <c r="C161" s="30">
        <v>44440</v>
      </c>
      <c r="D161" s="36" t="s">
        <v>189</v>
      </c>
      <c r="E161" s="36" t="s">
        <v>222</v>
      </c>
      <c r="F161" s="36" t="s">
        <v>191</v>
      </c>
      <c r="G161" s="36" t="s">
        <v>191</v>
      </c>
      <c r="H161" s="36">
        <v>1</v>
      </c>
      <c r="I161" t="s">
        <v>179</v>
      </c>
      <c r="J161">
        <f>YEAR(CONTROLE_PILHAS[[#This Row],[DATA]])</f>
        <v>2021</v>
      </c>
      <c r="K161">
        <f>MONTH(CONTROLE_PILHAS[[#This Row],[DATA]])</f>
        <v>9</v>
      </c>
      <c r="L161">
        <f>DAY(CONTROLE_PILHAS[[#This Row],[DATA]])</f>
        <v>1</v>
      </c>
    </row>
    <row r="162" spans="2:12" x14ac:dyDescent="0.25">
      <c r="B162" s="36" t="s">
        <v>22</v>
      </c>
      <c r="C162" s="30">
        <v>44445</v>
      </c>
      <c r="D162" s="36" t="s">
        <v>189</v>
      </c>
      <c r="E162" s="36" t="s">
        <v>462</v>
      </c>
      <c r="F162" s="36" t="s">
        <v>191</v>
      </c>
      <c r="G162" s="36" t="s">
        <v>191</v>
      </c>
      <c r="H162" s="36">
        <v>1</v>
      </c>
      <c r="I162" t="s">
        <v>179</v>
      </c>
      <c r="J162">
        <f>YEAR(CONTROLE_PILHAS[[#This Row],[DATA]])</f>
        <v>2021</v>
      </c>
      <c r="K162">
        <f>MONTH(CONTROLE_PILHAS[[#This Row],[DATA]])</f>
        <v>9</v>
      </c>
      <c r="L162">
        <f>DAY(CONTROLE_PILHAS[[#This Row],[DATA]])</f>
        <v>6</v>
      </c>
    </row>
    <row r="163" spans="2:12" x14ac:dyDescent="0.25">
      <c r="B163" s="36" t="s">
        <v>14</v>
      </c>
      <c r="C163" s="30">
        <v>44447</v>
      </c>
      <c r="D163" s="36" t="s">
        <v>189</v>
      </c>
      <c r="E163" s="36" t="s">
        <v>222</v>
      </c>
      <c r="F163" s="36" t="s">
        <v>191</v>
      </c>
      <c r="G163" s="36" t="s">
        <v>191</v>
      </c>
      <c r="H163" s="36">
        <v>1</v>
      </c>
      <c r="I163" t="s">
        <v>179</v>
      </c>
      <c r="J163">
        <f>YEAR(CONTROLE_PILHAS[[#This Row],[DATA]])</f>
        <v>2021</v>
      </c>
      <c r="K163">
        <f>MONTH(CONTROLE_PILHAS[[#This Row],[DATA]])</f>
        <v>9</v>
      </c>
      <c r="L163">
        <f>DAY(CONTROLE_PILHAS[[#This Row],[DATA]])</f>
        <v>8</v>
      </c>
    </row>
    <row r="164" spans="2:12" x14ac:dyDescent="0.25">
      <c r="B164" s="36" t="s">
        <v>22</v>
      </c>
      <c r="C164" s="30">
        <v>44447</v>
      </c>
      <c r="D164" s="36" t="s">
        <v>189</v>
      </c>
      <c r="E164" s="36" t="s">
        <v>462</v>
      </c>
      <c r="F164" s="36" t="s">
        <v>191</v>
      </c>
      <c r="G164" s="36" t="s">
        <v>191</v>
      </c>
      <c r="H164" s="36">
        <v>1</v>
      </c>
      <c r="I164" t="s">
        <v>179</v>
      </c>
      <c r="J164">
        <f>YEAR(CONTROLE_PILHAS[[#This Row],[DATA]])</f>
        <v>2021</v>
      </c>
      <c r="K164">
        <f>MONTH(CONTROLE_PILHAS[[#This Row],[DATA]])</f>
        <v>9</v>
      </c>
      <c r="L164">
        <f>DAY(CONTROLE_PILHAS[[#This Row],[DATA]])</f>
        <v>8</v>
      </c>
    </row>
    <row r="165" spans="2:12" x14ac:dyDescent="0.25">
      <c r="B165" s="36" t="s">
        <v>13</v>
      </c>
      <c r="C165" s="30">
        <v>44448</v>
      </c>
      <c r="D165" s="36" t="s">
        <v>189</v>
      </c>
      <c r="E165" s="36" t="s">
        <v>462</v>
      </c>
      <c r="F165" s="36" t="s">
        <v>191</v>
      </c>
      <c r="G165" s="36" t="s">
        <v>191</v>
      </c>
      <c r="H165" s="36">
        <v>1</v>
      </c>
      <c r="I165" t="s">
        <v>179</v>
      </c>
      <c r="J165">
        <f>YEAR(CONTROLE_PILHAS[[#This Row],[DATA]])</f>
        <v>2021</v>
      </c>
      <c r="K165">
        <f>MONTH(CONTROLE_PILHAS[[#This Row],[DATA]])</f>
        <v>9</v>
      </c>
      <c r="L165">
        <f>DAY(CONTROLE_PILHAS[[#This Row],[DATA]])</f>
        <v>9</v>
      </c>
    </row>
    <row r="166" spans="2:12" x14ac:dyDescent="0.25">
      <c r="B166" s="36" t="s">
        <v>16</v>
      </c>
      <c r="C166" s="30">
        <v>44448</v>
      </c>
      <c r="D166" s="36" t="s">
        <v>189</v>
      </c>
      <c r="E166" s="36" t="s">
        <v>222</v>
      </c>
      <c r="F166" s="36" t="s">
        <v>191</v>
      </c>
      <c r="G166" s="36" t="s">
        <v>191</v>
      </c>
      <c r="H166" s="36">
        <v>1</v>
      </c>
      <c r="I166" t="s">
        <v>179</v>
      </c>
      <c r="J166">
        <f>YEAR(CONTROLE_PILHAS[[#This Row],[DATA]])</f>
        <v>2021</v>
      </c>
      <c r="K166">
        <f>MONTH(CONTROLE_PILHAS[[#This Row],[DATA]])</f>
        <v>9</v>
      </c>
      <c r="L166">
        <f>DAY(CONTROLE_PILHAS[[#This Row],[DATA]])</f>
        <v>9</v>
      </c>
    </row>
    <row r="167" spans="2:12" x14ac:dyDescent="0.25">
      <c r="B167" s="36" t="s">
        <v>112</v>
      </c>
      <c r="C167" s="30">
        <v>44448</v>
      </c>
      <c r="D167" s="36" t="s">
        <v>189</v>
      </c>
      <c r="E167" s="36" t="s">
        <v>462</v>
      </c>
      <c r="F167" s="36" t="s">
        <v>191</v>
      </c>
      <c r="G167" s="36" t="s">
        <v>191</v>
      </c>
      <c r="H167" s="36">
        <v>1</v>
      </c>
      <c r="I167" t="s">
        <v>179</v>
      </c>
      <c r="J167">
        <f>YEAR(CONTROLE_PILHAS[[#This Row],[DATA]])</f>
        <v>2021</v>
      </c>
      <c r="K167">
        <f>MONTH(CONTROLE_PILHAS[[#This Row],[DATA]])</f>
        <v>9</v>
      </c>
      <c r="L167">
        <f>DAY(CONTROLE_PILHAS[[#This Row],[DATA]])</f>
        <v>9</v>
      </c>
    </row>
    <row r="168" spans="2:12" x14ac:dyDescent="0.25">
      <c r="B168" s="36" t="s">
        <v>20</v>
      </c>
      <c r="C168" s="30">
        <v>44452</v>
      </c>
      <c r="D168" s="36" t="s">
        <v>189</v>
      </c>
      <c r="E168" s="36" t="s">
        <v>462</v>
      </c>
      <c r="F168" s="36" t="s">
        <v>191</v>
      </c>
      <c r="G168" s="36" t="s">
        <v>191</v>
      </c>
      <c r="H168" s="36">
        <v>1</v>
      </c>
      <c r="I168" t="s">
        <v>179</v>
      </c>
      <c r="J168">
        <f>YEAR(CONTROLE_PILHAS[[#This Row],[DATA]])</f>
        <v>2021</v>
      </c>
      <c r="K168">
        <f>MONTH(CONTROLE_PILHAS[[#This Row],[DATA]])</f>
        <v>9</v>
      </c>
      <c r="L168">
        <f>DAY(CONTROLE_PILHAS[[#This Row],[DATA]])</f>
        <v>13</v>
      </c>
    </row>
    <row r="169" spans="2:12" x14ac:dyDescent="0.25">
      <c r="B169" s="36" t="s">
        <v>22</v>
      </c>
      <c r="C169" s="30">
        <v>44453</v>
      </c>
      <c r="D169" s="36" t="s">
        <v>189</v>
      </c>
      <c r="E169" s="36" t="s">
        <v>462</v>
      </c>
      <c r="F169" s="36" t="s">
        <v>191</v>
      </c>
      <c r="G169" s="36" t="s">
        <v>191</v>
      </c>
      <c r="H169" s="36">
        <v>1</v>
      </c>
      <c r="I169" t="s">
        <v>179</v>
      </c>
      <c r="J169">
        <f>YEAR(CONTROLE_PILHAS[[#This Row],[DATA]])</f>
        <v>2021</v>
      </c>
      <c r="K169">
        <f>MONTH(CONTROLE_PILHAS[[#This Row],[DATA]])</f>
        <v>9</v>
      </c>
      <c r="L169">
        <f>DAY(CONTROLE_PILHAS[[#This Row],[DATA]])</f>
        <v>14</v>
      </c>
    </row>
    <row r="170" spans="2:12" x14ac:dyDescent="0.25">
      <c r="B170" s="36" t="s">
        <v>19</v>
      </c>
      <c r="C170" s="30">
        <v>44454</v>
      </c>
      <c r="D170" s="36" t="s">
        <v>189</v>
      </c>
      <c r="E170" s="36" t="s">
        <v>462</v>
      </c>
      <c r="F170" s="36" t="s">
        <v>191</v>
      </c>
      <c r="G170" s="36" t="s">
        <v>191</v>
      </c>
      <c r="H170" s="36">
        <v>1</v>
      </c>
      <c r="I170" t="s">
        <v>179</v>
      </c>
      <c r="J170">
        <f>YEAR(CONTROLE_PILHAS[[#This Row],[DATA]])</f>
        <v>2021</v>
      </c>
      <c r="K170">
        <f>MONTH(CONTROLE_PILHAS[[#This Row],[DATA]])</f>
        <v>9</v>
      </c>
      <c r="L170">
        <f>DAY(CONTROLE_PILHAS[[#This Row],[DATA]])</f>
        <v>15</v>
      </c>
    </row>
    <row r="171" spans="2:12" x14ac:dyDescent="0.25">
      <c r="B171" s="36" t="s">
        <v>14</v>
      </c>
      <c r="C171" s="30">
        <v>44459</v>
      </c>
      <c r="D171" s="36" t="s">
        <v>189</v>
      </c>
      <c r="E171" s="36" t="s">
        <v>462</v>
      </c>
      <c r="F171" s="36" t="s">
        <v>191</v>
      </c>
      <c r="G171" s="36" t="s">
        <v>191</v>
      </c>
      <c r="H171" s="36">
        <v>1</v>
      </c>
      <c r="I171" t="s">
        <v>179</v>
      </c>
      <c r="J171">
        <f>YEAR(CONTROLE_PILHAS[[#This Row],[DATA]])</f>
        <v>2021</v>
      </c>
      <c r="K171">
        <f>MONTH(CONTROLE_PILHAS[[#This Row],[DATA]])</f>
        <v>9</v>
      </c>
      <c r="L171">
        <f>DAY(CONTROLE_PILHAS[[#This Row],[DATA]])</f>
        <v>20</v>
      </c>
    </row>
    <row r="172" spans="2:12" x14ac:dyDescent="0.25">
      <c r="B172" s="36" t="s">
        <v>112</v>
      </c>
      <c r="C172" s="30">
        <v>44460</v>
      </c>
      <c r="D172" s="36" t="s">
        <v>189</v>
      </c>
      <c r="E172" s="36" t="s">
        <v>222</v>
      </c>
      <c r="F172" s="36" t="s">
        <v>191</v>
      </c>
      <c r="G172" s="36" t="s">
        <v>191</v>
      </c>
      <c r="H172" s="36">
        <v>1</v>
      </c>
      <c r="I172" t="s">
        <v>179</v>
      </c>
      <c r="J172">
        <f>YEAR(CONTROLE_PILHAS[[#This Row],[DATA]])</f>
        <v>2021</v>
      </c>
      <c r="K172">
        <f>MONTH(CONTROLE_PILHAS[[#This Row],[DATA]])</f>
        <v>9</v>
      </c>
      <c r="L172">
        <f>DAY(CONTROLE_PILHAS[[#This Row],[DATA]])</f>
        <v>21</v>
      </c>
    </row>
    <row r="173" spans="2:12" x14ac:dyDescent="0.25">
      <c r="B173" s="36" t="s">
        <v>7</v>
      </c>
      <c r="C173" s="30">
        <v>44460</v>
      </c>
      <c r="D173" s="36" t="s">
        <v>189</v>
      </c>
      <c r="E173" s="36" t="s">
        <v>222</v>
      </c>
      <c r="F173" s="36" t="s">
        <v>191</v>
      </c>
      <c r="G173" s="36" t="s">
        <v>191</v>
      </c>
      <c r="H173" s="36">
        <v>1</v>
      </c>
      <c r="I173" t="s">
        <v>179</v>
      </c>
      <c r="J173">
        <f>YEAR(CONTROLE_PILHAS[[#This Row],[DATA]])</f>
        <v>2021</v>
      </c>
      <c r="K173">
        <f>MONTH(CONTROLE_PILHAS[[#This Row],[DATA]])</f>
        <v>9</v>
      </c>
      <c r="L173">
        <f>DAY(CONTROLE_PILHAS[[#This Row],[DATA]])</f>
        <v>21</v>
      </c>
    </row>
    <row r="174" spans="2:12" x14ac:dyDescent="0.25">
      <c r="B174" s="36" t="s">
        <v>16</v>
      </c>
      <c r="C174" s="30">
        <v>44462</v>
      </c>
      <c r="D174" s="36" t="s">
        <v>189</v>
      </c>
      <c r="E174" s="36" t="s">
        <v>462</v>
      </c>
      <c r="F174" s="36" t="s">
        <v>191</v>
      </c>
      <c r="G174" s="36" t="s">
        <v>191</v>
      </c>
      <c r="H174" s="36">
        <v>1</v>
      </c>
      <c r="I174" t="s">
        <v>179</v>
      </c>
      <c r="J174">
        <f>YEAR(CONTROLE_PILHAS[[#This Row],[DATA]])</f>
        <v>2021</v>
      </c>
      <c r="K174">
        <f>MONTH(CONTROLE_PILHAS[[#This Row],[DATA]])</f>
        <v>9</v>
      </c>
      <c r="L174">
        <f>DAY(CONTROLE_PILHAS[[#This Row],[DATA]])</f>
        <v>23</v>
      </c>
    </row>
    <row r="175" spans="2:12" x14ac:dyDescent="0.25">
      <c r="B175" s="36" t="s">
        <v>10</v>
      </c>
      <c r="C175" s="30">
        <v>44462</v>
      </c>
      <c r="D175" s="36" t="s">
        <v>189</v>
      </c>
      <c r="E175" s="36" t="s">
        <v>462</v>
      </c>
      <c r="F175" s="36" t="s">
        <v>191</v>
      </c>
      <c r="G175" s="36" t="s">
        <v>191</v>
      </c>
      <c r="H175" s="36">
        <v>1</v>
      </c>
      <c r="I175" t="s">
        <v>179</v>
      </c>
      <c r="J175">
        <f>YEAR(CONTROLE_PILHAS[[#This Row],[DATA]])</f>
        <v>2021</v>
      </c>
      <c r="K175">
        <f>MONTH(CONTROLE_PILHAS[[#This Row],[DATA]])</f>
        <v>9</v>
      </c>
      <c r="L175">
        <f>DAY(CONTROLE_PILHAS[[#This Row],[DATA]])</f>
        <v>23</v>
      </c>
    </row>
    <row r="176" spans="2:12" x14ac:dyDescent="0.25">
      <c r="B176" s="36" t="s">
        <v>8</v>
      </c>
      <c r="C176" s="30">
        <v>44462</v>
      </c>
      <c r="D176" s="36" t="s">
        <v>189</v>
      </c>
      <c r="E176" s="36" t="s">
        <v>222</v>
      </c>
      <c r="F176" s="36" t="s">
        <v>191</v>
      </c>
      <c r="G176" s="36" t="s">
        <v>191</v>
      </c>
      <c r="H176" s="36">
        <v>1</v>
      </c>
      <c r="I176" t="s">
        <v>179</v>
      </c>
      <c r="J176">
        <f>YEAR(CONTROLE_PILHAS[[#This Row],[DATA]])</f>
        <v>2021</v>
      </c>
      <c r="K176">
        <f>MONTH(CONTROLE_PILHAS[[#This Row],[DATA]])</f>
        <v>9</v>
      </c>
      <c r="L176">
        <f>DAY(CONTROLE_PILHAS[[#This Row],[DATA]])</f>
        <v>23</v>
      </c>
    </row>
    <row r="177" spans="2:12" x14ac:dyDescent="0.25">
      <c r="B177" s="36" t="s">
        <v>7</v>
      </c>
      <c r="C177" s="30">
        <v>44462</v>
      </c>
      <c r="D177" s="36" t="s">
        <v>189</v>
      </c>
      <c r="E177" s="36" t="s">
        <v>462</v>
      </c>
      <c r="F177" s="36" t="s">
        <v>191</v>
      </c>
      <c r="G177" s="36" t="s">
        <v>191</v>
      </c>
      <c r="H177" s="36">
        <v>1</v>
      </c>
      <c r="I177" t="s">
        <v>179</v>
      </c>
      <c r="J177">
        <f>YEAR(CONTROLE_PILHAS[[#This Row],[DATA]])</f>
        <v>2021</v>
      </c>
      <c r="K177">
        <f>MONTH(CONTROLE_PILHAS[[#This Row],[DATA]])</f>
        <v>9</v>
      </c>
      <c r="L177">
        <f>DAY(CONTROLE_PILHAS[[#This Row],[DATA]])</f>
        <v>23</v>
      </c>
    </row>
    <row r="178" spans="2:12" x14ac:dyDescent="0.25">
      <c r="B178" s="36" t="s">
        <v>13</v>
      </c>
      <c r="C178" s="30">
        <v>44463</v>
      </c>
      <c r="D178" s="36" t="s">
        <v>189</v>
      </c>
      <c r="E178" s="36" t="s">
        <v>462</v>
      </c>
      <c r="F178" s="36" t="s">
        <v>191</v>
      </c>
      <c r="G178" s="36" t="s">
        <v>191</v>
      </c>
      <c r="H178" s="36">
        <v>1</v>
      </c>
      <c r="I178" t="s">
        <v>179</v>
      </c>
      <c r="J178">
        <f>YEAR(CONTROLE_PILHAS[[#This Row],[DATA]])</f>
        <v>2021</v>
      </c>
      <c r="K178">
        <f>MONTH(CONTROLE_PILHAS[[#This Row],[DATA]])</f>
        <v>9</v>
      </c>
      <c r="L178">
        <f>DAY(CONTROLE_PILHAS[[#This Row],[DATA]])</f>
        <v>24</v>
      </c>
    </row>
    <row r="179" spans="2:12" x14ac:dyDescent="0.25">
      <c r="B179" s="36" t="s">
        <v>22</v>
      </c>
      <c r="C179" s="30">
        <v>44463</v>
      </c>
      <c r="D179" s="36" t="s">
        <v>189</v>
      </c>
      <c r="E179" s="36" t="s">
        <v>222</v>
      </c>
      <c r="F179" s="36" t="s">
        <v>191</v>
      </c>
      <c r="G179" s="36" t="s">
        <v>191</v>
      </c>
      <c r="H179" s="36">
        <v>1</v>
      </c>
      <c r="I179" t="s">
        <v>179</v>
      </c>
      <c r="J179">
        <f>YEAR(CONTROLE_PILHAS[[#This Row],[DATA]])</f>
        <v>2021</v>
      </c>
      <c r="K179">
        <f>MONTH(CONTROLE_PILHAS[[#This Row],[DATA]])</f>
        <v>9</v>
      </c>
      <c r="L179">
        <f>DAY(CONTROLE_PILHAS[[#This Row],[DATA]])</f>
        <v>24</v>
      </c>
    </row>
    <row r="180" spans="2:12" x14ac:dyDescent="0.25">
      <c r="B180" s="36" t="s">
        <v>13</v>
      </c>
      <c r="C180" s="30">
        <v>44466</v>
      </c>
      <c r="D180" s="36" t="s">
        <v>189</v>
      </c>
      <c r="E180" s="36" t="s">
        <v>222</v>
      </c>
      <c r="F180" s="36" t="s">
        <v>191</v>
      </c>
      <c r="G180" s="36" t="s">
        <v>191</v>
      </c>
      <c r="H180" s="36">
        <v>1</v>
      </c>
      <c r="I180" t="s">
        <v>179</v>
      </c>
      <c r="J180">
        <f>YEAR(CONTROLE_PILHAS[[#This Row],[DATA]])</f>
        <v>2021</v>
      </c>
      <c r="K180">
        <f>MONTH(CONTROLE_PILHAS[[#This Row],[DATA]])</f>
        <v>9</v>
      </c>
      <c r="L180">
        <f>DAY(CONTROLE_PILHAS[[#This Row],[DATA]])</f>
        <v>27</v>
      </c>
    </row>
    <row r="181" spans="2:12" x14ac:dyDescent="0.25">
      <c r="B181" s="36" t="s">
        <v>14</v>
      </c>
      <c r="C181" s="30">
        <v>44467</v>
      </c>
      <c r="D181" s="36" t="s">
        <v>189</v>
      </c>
      <c r="E181" s="36" t="s">
        <v>462</v>
      </c>
      <c r="F181" s="36" t="s">
        <v>191</v>
      </c>
      <c r="G181" s="36" t="s">
        <v>191</v>
      </c>
      <c r="H181" s="36">
        <v>1</v>
      </c>
      <c r="I181" t="s">
        <v>179</v>
      </c>
      <c r="J181">
        <f>YEAR(CONTROLE_PILHAS[[#This Row],[DATA]])</f>
        <v>2021</v>
      </c>
      <c r="K181">
        <f>MONTH(CONTROLE_PILHAS[[#This Row],[DATA]])</f>
        <v>9</v>
      </c>
      <c r="L181">
        <f>DAY(CONTROLE_PILHAS[[#This Row],[DATA]])</f>
        <v>28</v>
      </c>
    </row>
    <row r="182" spans="2:12" x14ac:dyDescent="0.25">
      <c r="B182" s="36" t="s">
        <v>16</v>
      </c>
      <c r="C182" s="30">
        <v>44468</v>
      </c>
      <c r="D182" s="36" t="s">
        <v>189</v>
      </c>
      <c r="E182" s="36" t="s">
        <v>222</v>
      </c>
      <c r="F182" s="36" t="s">
        <v>191</v>
      </c>
      <c r="G182" s="36" t="s">
        <v>191</v>
      </c>
      <c r="H182" s="36">
        <v>1</v>
      </c>
      <c r="I182" t="s">
        <v>179</v>
      </c>
      <c r="J182">
        <f>YEAR(CONTROLE_PILHAS[[#This Row],[DATA]])</f>
        <v>2021</v>
      </c>
      <c r="K182">
        <f>MONTH(CONTROLE_PILHAS[[#This Row],[DATA]])</f>
        <v>9</v>
      </c>
      <c r="L182">
        <f>DAY(CONTROLE_PILHAS[[#This Row],[DATA]])</f>
        <v>29</v>
      </c>
    </row>
    <row r="183" spans="2:12" x14ac:dyDescent="0.25">
      <c r="B183" s="36" t="s">
        <v>9</v>
      </c>
      <c r="C183" s="30">
        <v>44469</v>
      </c>
      <c r="D183" s="36" t="s">
        <v>189</v>
      </c>
      <c r="E183" s="36" t="s">
        <v>462</v>
      </c>
      <c r="F183" s="36" t="s">
        <v>191</v>
      </c>
      <c r="G183" s="36" t="s">
        <v>191</v>
      </c>
      <c r="H183" s="36">
        <v>1</v>
      </c>
      <c r="I183" t="s">
        <v>179</v>
      </c>
      <c r="J183">
        <f>YEAR(CONTROLE_PILHAS[[#This Row],[DATA]])</f>
        <v>2021</v>
      </c>
      <c r="K183">
        <f>MONTH(CONTROLE_PILHAS[[#This Row],[DATA]])</f>
        <v>9</v>
      </c>
      <c r="L183">
        <f>DAY(CONTROLE_PILHAS[[#This Row],[DATA]])</f>
        <v>30</v>
      </c>
    </row>
    <row r="184" spans="2:12" x14ac:dyDescent="0.25">
      <c r="B184" s="36" t="s">
        <v>10</v>
      </c>
      <c r="C184" s="30">
        <v>44469</v>
      </c>
      <c r="D184" s="36" t="s">
        <v>189</v>
      </c>
      <c r="E184" s="36" t="s">
        <v>462</v>
      </c>
      <c r="F184" s="36" t="s">
        <v>191</v>
      </c>
      <c r="G184" s="36" t="s">
        <v>191</v>
      </c>
      <c r="H184" s="36">
        <v>1</v>
      </c>
      <c r="I184" t="s">
        <v>179</v>
      </c>
      <c r="J184">
        <f>YEAR(CONTROLE_PILHAS[[#This Row],[DATA]])</f>
        <v>2021</v>
      </c>
      <c r="K184">
        <f>MONTH(CONTROLE_PILHAS[[#This Row],[DATA]])</f>
        <v>9</v>
      </c>
      <c r="L184">
        <f>DAY(CONTROLE_PILHAS[[#This Row],[DATA]])</f>
        <v>30</v>
      </c>
    </row>
    <row r="185" spans="2:12" x14ac:dyDescent="0.25">
      <c r="B185" s="36" t="s">
        <v>19</v>
      </c>
      <c r="C185" s="30">
        <v>44470</v>
      </c>
      <c r="D185" s="36" t="s">
        <v>189</v>
      </c>
      <c r="E185" s="36" t="s">
        <v>462</v>
      </c>
      <c r="F185" s="36" t="s">
        <v>191</v>
      </c>
      <c r="G185" s="36" t="s">
        <v>191</v>
      </c>
      <c r="H185" s="36">
        <v>1</v>
      </c>
      <c r="I185" t="s">
        <v>179</v>
      </c>
      <c r="J185">
        <f>YEAR(CONTROLE_PILHAS[[#This Row],[DATA]])</f>
        <v>2021</v>
      </c>
      <c r="K185">
        <f>MONTH(CONTROLE_PILHAS[[#This Row],[DATA]])</f>
        <v>10</v>
      </c>
      <c r="L185">
        <f>DAY(CONTROLE_PILHAS[[#This Row],[DATA]])</f>
        <v>1</v>
      </c>
    </row>
    <row r="186" spans="2:12" x14ac:dyDescent="0.25">
      <c r="B186" s="36" t="s">
        <v>40</v>
      </c>
      <c r="C186" s="30">
        <v>44473</v>
      </c>
      <c r="D186" s="36" t="s">
        <v>189</v>
      </c>
      <c r="E186" s="36" t="s">
        <v>222</v>
      </c>
      <c r="F186" s="36" t="s">
        <v>191</v>
      </c>
      <c r="G186" s="36" t="s">
        <v>191</v>
      </c>
      <c r="H186" s="36">
        <v>1</v>
      </c>
      <c r="I186" t="s">
        <v>179</v>
      </c>
      <c r="J186">
        <f>YEAR(CONTROLE_PILHAS[[#This Row],[DATA]])</f>
        <v>2021</v>
      </c>
      <c r="K186">
        <f>MONTH(CONTROLE_PILHAS[[#This Row],[DATA]])</f>
        <v>10</v>
      </c>
      <c r="L186">
        <f>DAY(CONTROLE_PILHAS[[#This Row],[DATA]])</f>
        <v>4</v>
      </c>
    </row>
    <row r="187" spans="2:12" x14ac:dyDescent="0.25">
      <c r="B187" s="36" t="s">
        <v>22</v>
      </c>
      <c r="C187" s="30">
        <v>44473</v>
      </c>
      <c r="D187" s="36" t="s">
        <v>189</v>
      </c>
      <c r="E187" s="36" t="s">
        <v>222</v>
      </c>
      <c r="F187" s="36" t="s">
        <v>191</v>
      </c>
      <c r="G187" s="36" t="s">
        <v>191</v>
      </c>
      <c r="H187" s="36">
        <v>1</v>
      </c>
      <c r="I187" t="s">
        <v>179</v>
      </c>
      <c r="J187">
        <f>YEAR(CONTROLE_PILHAS[[#This Row],[DATA]])</f>
        <v>2021</v>
      </c>
      <c r="K187">
        <f>MONTH(CONTROLE_PILHAS[[#This Row],[DATA]])</f>
        <v>10</v>
      </c>
      <c r="L187">
        <f>DAY(CONTROLE_PILHAS[[#This Row],[DATA]])</f>
        <v>4</v>
      </c>
    </row>
    <row r="188" spans="2:12" x14ac:dyDescent="0.25">
      <c r="B188" s="36" t="s">
        <v>14</v>
      </c>
      <c r="C188" s="30">
        <v>44475</v>
      </c>
      <c r="D188" s="36" t="s">
        <v>189</v>
      </c>
      <c r="E188" s="36" t="s">
        <v>462</v>
      </c>
      <c r="F188" s="36" t="s">
        <v>191</v>
      </c>
      <c r="G188" s="36" t="s">
        <v>191</v>
      </c>
      <c r="H188" s="36">
        <v>1</v>
      </c>
      <c r="I188" t="s">
        <v>179</v>
      </c>
      <c r="J188">
        <f>YEAR(CONTROLE_PILHAS[[#This Row],[DATA]])</f>
        <v>2021</v>
      </c>
      <c r="K188">
        <f>MONTH(CONTROLE_PILHAS[[#This Row],[DATA]])</f>
        <v>10</v>
      </c>
      <c r="L188">
        <f>DAY(CONTROLE_PILHAS[[#This Row],[DATA]])</f>
        <v>6</v>
      </c>
    </row>
    <row r="189" spans="2:12" x14ac:dyDescent="0.25">
      <c r="B189" s="36" t="s">
        <v>16</v>
      </c>
      <c r="C189" s="30">
        <v>44479</v>
      </c>
      <c r="D189" s="36" t="s">
        <v>189</v>
      </c>
      <c r="E189" s="36" t="s">
        <v>462</v>
      </c>
      <c r="F189" s="36" t="s">
        <v>191</v>
      </c>
      <c r="G189" s="36" t="s">
        <v>191</v>
      </c>
      <c r="H189" s="36">
        <v>1</v>
      </c>
      <c r="I189" t="s">
        <v>179</v>
      </c>
      <c r="J189">
        <f>YEAR(CONTROLE_PILHAS[[#This Row],[DATA]])</f>
        <v>2021</v>
      </c>
      <c r="K189">
        <f>MONTH(CONTROLE_PILHAS[[#This Row],[DATA]])</f>
        <v>10</v>
      </c>
      <c r="L189">
        <f>DAY(CONTROLE_PILHAS[[#This Row],[DATA]])</f>
        <v>10</v>
      </c>
    </row>
    <row r="190" spans="2:12" x14ac:dyDescent="0.25">
      <c r="B190" s="36" t="s">
        <v>10</v>
      </c>
      <c r="C190" s="30">
        <v>44483</v>
      </c>
      <c r="D190" s="36" t="s">
        <v>189</v>
      </c>
      <c r="E190" s="36" t="s">
        <v>222</v>
      </c>
      <c r="F190" s="36" t="s">
        <v>191</v>
      </c>
      <c r="G190" s="36" t="s">
        <v>191</v>
      </c>
      <c r="H190" s="36">
        <v>1</v>
      </c>
      <c r="I190" t="s">
        <v>179</v>
      </c>
      <c r="J190">
        <f>YEAR(CONTROLE_PILHAS[[#This Row],[DATA]])</f>
        <v>2021</v>
      </c>
      <c r="K190">
        <f>MONTH(CONTROLE_PILHAS[[#This Row],[DATA]])</f>
        <v>10</v>
      </c>
      <c r="L190">
        <f>DAY(CONTROLE_PILHAS[[#This Row],[DATA]])</f>
        <v>14</v>
      </c>
    </row>
    <row r="191" spans="2:12" x14ac:dyDescent="0.25">
      <c r="B191" s="36" t="s">
        <v>14</v>
      </c>
      <c r="C191" s="30">
        <v>44484</v>
      </c>
      <c r="D191" s="36" t="s">
        <v>189</v>
      </c>
      <c r="E191" s="36" t="s">
        <v>222</v>
      </c>
      <c r="F191" s="36" t="s">
        <v>191</v>
      </c>
      <c r="G191" s="36" t="s">
        <v>191</v>
      </c>
      <c r="H191" s="36">
        <v>1</v>
      </c>
      <c r="I191" t="s">
        <v>179</v>
      </c>
      <c r="J191">
        <f>YEAR(CONTROLE_PILHAS[[#This Row],[DATA]])</f>
        <v>2021</v>
      </c>
      <c r="K191">
        <f>MONTH(CONTROLE_PILHAS[[#This Row],[DATA]])</f>
        <v>10</v>
      </c>
      <c r="L191">
        <f>DAY(CONTROLE_PILHAS[[#This Row],[DATA]])</f>
        <v>15</v>
      </c>
    </row>
    <row r="192" spans="2:12" x14ac:dyDescent="0.25">
      <c r="B192" s="36" t="s">
        <v>14</v>
      </c>
      <c r="C192" s="30">
        <v>44484</v>
      </c>
      <c r="D192" s="36" t="s">
        <v>189</v>
      </c>
      <c r="E192" s="36" t="s">
        <v>222</v>
      </c>
      <c r="F192" s="36" t="s">
        <v>191</v>
      </c>
      <c r="G192" s="36" t="s">
        <v>191</v>
      </c>
      <c r="H192" s="36">
        <v>1</v>
      </c>
      <c r="I192" t="s">
        <v>179</v>
      </c>
      <c r="J192">
        <f>YEAR(CONTROLE_PILHAS[[#This Row],[DATA]])</f>
        <v>2021</v>
      </c>
      <c r="K192">
        <f>MONTH(CONTROLE_PILHAS[[#This Row],[DATA]])</f>
        <v>10</v>
      </c>
      <c r="L192">
        <f>DAY(CONTROLE_PILHAS[[#This Row],[DATA]])</f>
        <v>15</v>
      </c>
    </row>
    <row r="193" spans="2:12" x14ac:dyDescent="0.25">
      <c r="B193" s="36" t="s">
        <v>10</v>
      </c>
      <c r="C193" s="30" t="s">
        <v>788</v>
      </c>
      <c r="D193" s="36" t="s">
        <v>189</v>
      </c>
      <c r="E193" s="36" t="s">
        <v>462</v>
      </c>
      <c r="F193" s="36" t="s">
        <v>191</v>
      </c>
      <c r="G193" s="36" t="s">
        <v>191</v>
      </c>
      <c r="H193" s="36">
        <v>1</v>
      </c>
      <c r="I193" t="s">
        <v>179</v>
      </c>
      <c r="J193">
        <f>YEAR(CONTROLE_PILHAS[[#This Row],[DATA]])</f>
        <v>2021</v>
      </c>
      <c r="K193">
        <f>MONTH(CONTROLE_PILHAS[[#This Row],[DATA]])</f>
        <v>10</v>
      </c>
      <c r="L193">
        <f>DAY(CONTROLE_PILHAS[[#This Row],[DATA]])</f>
        <v>18</v>
      </c>
    </row>
    <row r="194" spans="2:12" x14ac:dyDescent="0.25">
      <c r="B194" s="36" t="s">
        <v>9</v>
      </c>
      <c r="C194" s="30">
        <v>44488</v>
      </c>
      <c r="D194" s="36" t="s">
        <v>189</v>
      </c>
      <c r="E194" s="36" t="s">
        <v>462</v>
      </c>
      <c r="F194" s="36" t="s">
        <v>191</v>
      </c>
      <c r="G194" s="36" t="s">
        <v>191</v>
      </c>
      <c r="H194" s="36">
        <v>1</v>
      </c>
      <c r="I194" t="s">
        <v>179</v>
      </c>
      <c r="J194">
        <f>YEAR(CONTROLE_PILHAS[[#This Row],[DATA]])</f>
        <v>2021</v>
      </c>
      <c r="K194">
        <f>MONTH(CONTROLE_PILHAS[[#This Row],[DATA]])</f>
        <v>10</v>
      </c>
      <c r="L194">
        <f>DAY(CONTROLE_PILHAS[[#This Row],[DATA]])</f>
        <v>19</v>
      </c>
    </row>
    <row r="195" spans="2:12" x14ac:dyDescent="0.25">
      <c r="B195" s="36" t="s">
        <v>16</v>
      </c>
      <c r="C195" s="30">
        <v>44489</v>
      </c>
      <c r="D195" s="36" t="s">
        <v>189</v>
      </c>
      <c r="E195" s="36" t="s">
        <v>462</v>
      </c>
      <c r="F195" s="36" t="s">
        <v>793</v>
      </c>
      <c r="G195" s="36" t="s">
        <v>191</v>
      </c>
      <c r="H195" s="36">
        <v>1</v>
      </c>
      <c r="I195" t="s">
        <v>179</v>
      </c>
      <c r="J195">
        <f>YEAR(CONTROLE_PILHAS[[#This Row],[DATA]])</f>
        <v>2021</v>
      </c>
      <c r="K195">
        <f>MONTH(CONTROLE_PILHAS[[#This Row],[DATA]])</f>
        <v>10</v>
      </c>
      <c r="L195">
        <f>DAY(CONTROLE_PILHAS[[#This Row],[DATA]])</f>
        <v>20</v>
      </c>
    </row>
    <row r="196" spans="2:12" x14ac:dyDescent="0.25">
      <c r="B196" s="36" t="s">
        <v>22</v>
      </c>
      <c r="C196" s="30">
        <v>44490</v>
      </c>
      <c r="D196" s="36" t="s">
        <v>189</v>
      </c>
      <c r="E196" s="36" t="s">
        <v>222</v>
      </c>
      <c r="F196" s="36" t="s">
        <v>191</v>
      </c>
      <c r="G196" s="36" t="s">
        <v>191</v>
      </c>
      <c r="H196" s="36">
        <v>1</v>
      </c>
      <c r="I196" t="s">
        <v>179</v>
      </c>
      <c r="J196">
        <f>YEAR(CONTROLE_PILHAS[[#This Row],[DATA]])</f>
        <v>2021</v>
      </c>
      <c r="K196">
        <f>MONTH(CONTROLE_PILHAS[[#This Row],[DATA]])</f>
        <v>10</v>
      </c>
      <c r="L196">
        <f>DAY(CONTROLE_PILHAS[[#This Row],[DATA]])</f>
        <v>21</v>
      </c>
    </row>
    <row r="197" spans="2:12" x14ac:dyDescent="0.25">
      <c r="B197" s="36" t="s">
        <v>4</v>
      </c>
      <c r="C197" s="30">
        <v>44490</v>
      </c>
      <c r="D197" s="36" t="s">
        <v>189</v>
      </c>
      <c r="E197" s="36" t="s">
        <v>462</v>
      </c>
      <c r="F197" s="36" t="s">
        <v>191</v>
      </c>
      <c r="G197" s="36" t="s">
        <v>191</v>
      </c>
      <c r="H197" s="36">
        <v>1</v>
      </c>
      <c r="I197" t="s">
        <v>179</v>
      </c>
      <c r="J197">
        <f>YEAR(CONTROLE_PILHAS[[#This Row],[DATA]])</f>
        <v>2021</v>
      </c>
      <c r="K197">
        <f>MONTH(CONTROLE_PILHAS[[#This Row],[DATA]])</f>
        <v>10</v>
      </c>
      <c r="L197">
        <f>DAY(CONTROLE_PILHAS[[#This Row],[DATA]])</f>
        <v>21</v>
      </c>
    </row>
    <row r="198" spans="2:12" x14ac:dyDescent="0.25">
      <c r="B198" s="36" t="s">
        <v>7</v>
      </c>
      <c r="C198" s="30">
        <v>44490</v>
      </c>
      <c r="D198" s="36" t="s">
        <v>189</v>
      </c>
      <c r="E198" s="36" t="s">
        <v>462</v>
      </c>
      <c r="F198" s="36" t="s">
        <v>191</v>
      </c>
      <c r="G198" s="36" t="s">
        <v>191</v>
      </c>
      <c r="H198" s="36">
        <v>1</v>
      </c>
      <c r="I198" t="s">
        <v>179</v>
      </c>
      <c r="J198">
        <f>YEAR(CONTROLE_PILHAS[[#This Row],[DATA]])</f>
        <v>2021</v>
      </c>
      <c r="K198">
        <f>MONTH(CONTROLE_PILHAS[[#This Row],[DATA]])</f>
        <v>10</v>
      </c>
      <c r="L198">
        <f>DAY(CONTROLE_PILHAS[[#This Row],[DATA]])</f>
        <v>21</v>
      </c>
    </row>
    <row r="199" spans="2:12" x14ac:dyDescent="0.25">
      <c r="B199" s="36" t="s">
        <v>14</v>
      </c>
      <c r="C199" s="30">
        <v>44494</v>
      </c>
      <c r="D199" s="36" t="s">
        <v>189</v>
      </c>
      <c r="E199" s="36" t="s">
        <v>222</v>
      </c>
      <c r="F199" s="36" t="s">
        <v>191</v>
      </c>
      <c r="G199" s="36" t="s">
        <v>191</v>
      </c>
      <c r="H199" s="36">
        <v>1</v>
      </c>
      <c r="I199" t="s">
        <v>179</v>
      </c>
      <c r="J199">
        <f>YEAR(CONTROLE_PILHAS[[#This Row],[DATA]])</f>
        <v>2021</v>
      </c>
      <c r="K199">
        <f>MONTH(CONTROLE_PILHAS[[#This Row],[DATA]])</f>
        <v>10</v>
      </c>
      <c r="L199">
        <f>DAY(CONTROLE_PILHAS[[#This Row],[DATA]])</f>
        <v>25</v>
      </c>
    </row>
    <row r="200" spans="2:12" x14ac:dyDescent="0.25">
      <c r="B200" s="36" t="s">
        <v>13</v>
      </c>
      <c r="C200" s="30">
        <v>44494</v>
      </c>
      <c r="D200" s="36" t="s">
        <v>189</v>
      </c>
      <c r="E200" s="36" t="s">
        <v>462</v>
      </c>
      <c r="F200" s="36" t="s">
        <v>191</v>
      </c>
      <c r="G200" s="36" t="s">
        <v>191</v>
      </c>
      <c r="H200" s="36">
        <v>1</v>
      </c>
      <c r="I200" t="s">
        <v>179</v>
      </c>
      <c r="J200">
        <f>YEAR(CONTROLE_PILHAS[[#This Row],[DATA]])</f>
        <v>2021</v>
      </c>
      <c r="K200">
        <f>MONTH(CONTROLE_PILHAS[[#This Row],[DATA]])</f>
        <v>10</v>
      </c>
      <c r="L200">
        <f>DAY(CONTROLE_PILHAS[[#This Row],[DATA]])</f>
        <v>25</v>
      </c>
    </row>
    <row r="201" spans="2:12" x14ac:dyDescent="0.25">
      <c r="B201" s="36" t="s">
        <v>22</v>
      </c>
      <c r="C201" s="30">
        <v>44494</v>
      </c>
      <c r="D201" s="36" t="s">
        <v>189</v>
      </c>
      <c r="E201" s="36" t="s">
        <v>222</v>
      </c>
      <c r="F201" s="36" t="s">
        <v>191</v>
      </c>
      <c r="G201" s="36" t="s">
        <v>191</v>
      </c>
      <c r="H201" s="36">
        <v>1</v>
      </c>
      <c r="I201" t="s">
        <v>179</v>
      </c>
      <c r="J201">
        <f>YEAR(CONTROLE_PILHAS[[#This Row],[DATA]])</f>
        <v>2021</v>
      </c>
      <c r="K201">
        <f>MONTH(CONTROLE_PILHAS[[#This Row],[DATA]])</f>
        <v>10</v>
      </c>
      <c r="L201">
        <f>DAY(CONTROLE_PILHAS[[#This Row],[DATA]])</f>
        <v>25</v>
      </c>
    </row>
    <row r="202" spans="2:12" x14ac:dyDescent="0.25">
      <c r="B202" s="36" t="s">
        <v>98</v>
      </c>
      <c r="C202" s="30">
        <v>44495</v>
      </c>
      <c r="D202" s="36" t="s">
        <v>189</v>
      </c>
      <c r="E202" s="36" t="s">
        <v>462</v>
      </c>
      <c r="F202" s="36" t="s">
        <v>191</v>
      </c>
      <c r="G202" s="36" t="s">
        <v>191</v>
      </c>
      <c r="H202" s="36">
        <v>1</v>
      </c>
      <c r="I202" t="s">
        <v>179</v>
      </c>
      <c r="J202">
        <f>YEAR(CONTROLE_PILHAS[[#This Row],[DATA]])</f>
        <v>2021</v>
      </c>
      <c r="K202">
        <f>MONTH(CONTROLE_PILHAS[[#This Row],[DATA]])</f>
        <v>10</v>
      </c>
      <c r="L202">
        <f>DAY(CONTROLE_PILHAS[[#This Row],[DATA]])</f>
        <v>26</v>
      </c>
    </row>
    <row r="203" spans="2:12" x14ac:dyDescent="0.25">
      <c r="B203" s="36" t="s">
        <v>19</v>
      </c>
      <c r="C203" s="30">
        <v>44495</v>
      </c>
      <c r="D203" s="36" t="s">
        <v>189</v>
      </c>
      <c r="E203" s="36" t="s">
        <v>222</v>
      </c>
      <c r="F203" s="36" t="s">
        <v>191</v>
      </c>
      <c r="G203" s="36" t="s">
        <v>191</v>
      </c>
      <c r="H203" s="36">
        <v>1</v>
      </c>
      <c r="I203" t="s">
        <v>179</v>
      </c>
      <c r="J203">
        <f>YEAR(CONTROLE_PILHAS[[#This Row],[DATA]])</f>
        <v>2021</v>
      </c>
      <c r="K203">
        <f>MONTH(CONTROLE_PILHAS[[#This Row],[DATA]])</f>
        <v>10</v>
      </c>
      <c r="L203">
        <f>DAY(CONTROLE_PILHAS[[#This Row],[DATA]])</f>
        <v>26</v>
      </c>
    </row>
    <row r="204" spans="2:12" x14ac:dyDescent="0.25">
      <c r="B204" s="36" t="s">
        <v>17</v>
      </c>
      <c r="C204" s="30">
        <v>44495</v>
      </c>
      <c r="D204" s="36" t="s">
        <v>189</v>
      </c>
      <c r="E204" s="36" t="s">
        <v>222</v>
      </c>
      <c r="F204" s="36" t="s">
        <v>191</v>
      </c>
      <c r="G204" s="36" t="s">
        <v>191</v>
      </c>
      <c r="H204" s="36">
        <v>1</v>
      </c>
      <c r="I204" t="s">
        <v>179</v>
      </c>
      <c r="J204">
        <f>YEAR(CONTROLE_PILHAS[[#This Row],[DATA]])</f>
        <v>2021</v>
      </c>
      <c r="K204">
        <f>MONTH(CONTROLE_PILHAS[[#This Row],[DATA]])</f>
        <v>10</v>
      </c>
      <c r="L204">
        <f>DAY(CONTROLE_PILHAS[[#This Row],[DATA]])</f>
        <v>26</v>
      </c>
    </row>
    <row r="205" spans="2:12" x14ac:dyDescent="0.25">
      <c r="B205" s="36" t="s">
        <v>7</v>
      </c>
      <c r="C205" s="30">
        <v>44496</v>
      </c>
      <c r="D205" s="36" t="s">
        <v>189</v>
      </c>
      <c r="E205" s="36" t="s">
        <v>462</v>
      </c>
      <c r="F205" s="36" t="s">
        <v>191</v>
      </c>
      <c r="G205" s="36" t="s">
        <v>191</v>
      </c>
      <c r="H205" s="36">
        <v>1</v>
      </c>
      <c r="I205" t="s">
        <v>179</v>
      </c>
      <c r="J205">
        <f>YEAR(CONTROLE_PILHAS[[#This Row],[DATA]])</f>
        <v>2021</v>
      </c>
      <c r="K205">
        <f>MONTH(CONTROLE_PILHAS[[#This Row],[DATA]])</f>
        <v>10</v>
      </c>
      <c r="L205">
        <f>DAY(CONTROLE_PILHAS[[#This Row],[DATA]])</f>
        <v>27</v>
      </c>
    </row>
    <row r="206" spans="2:12" x14ac:dyDescent="0.25">
      <c r="B206" s="36" t="s">
        <v>16</v>
      </c>
      <c r="C206" s="30" t="s">
        <v>792</v>
      </c>
      <c r="D206" s="36" t="s">
        <v>189</v>
      </c>
      <c r="E206" s="36" t="s">
        <v>462</v>
      </c>
      <c r="F206" s="36" t="s">
        <v>793</v>
      </c>
      <c r="G206" s="36" t="s">
        <v>191</v>
      </c>
      <c r="H206" s="36">
        <v>1</v>
      </c>
      <c r="I206" t="s">
        <v>179</v>
      </c>
      <c r="J206">
        <f>YEAR(CONTROLE_PILHAS[[#This Row],[DATA]])</f>
        <v>2021</v>
      </c>
      <c r="K206">
        <f>MONTH(CONTROLE_PILHAS[[#This Row],[DATA]])</f>
        <v>10</v>
      </c>
      <c r="L206">
        <f>DAY(CONTROLE_PILHAS[[#This Row],[DATA]])</f>
        <v>27</v>
      </c>
    </row>
    <row r="207" spans="2:12" x14ac:dyDescent="0.25">
      <c r="B207" s="36" t="s">
        <v>21</v>
      </c>
      <c r="C207" s="30" t="s">
        <v>794</v>
      </c>
      <c r="D207" s="36" t="s">
        <v>189</v>
      </c>
      <c r="E207" s="36" t="s">
        <v>462</v>
      </c>
      <c r="F207" s="36" t="s">
        <v>191</v>
      </c>
      <c r="G207" s="36" t="s">
        <v>191</v>
      </c>
      <c r="H207" s="36">
        <v>1</v>
      </c>
      <c r="I207" t="s">
        <v>179</v>
      </c>
      <c r="J207">
        <f>YEAR(CONTROLE_PILHAS[[#This Row],[DATA]])</f>
        <v>2021</v>
      </c>
      <c r="K207">
        <f>MONTH(CONTROLE_PILHAS[[#This Row],[DATA]])</f>
        <v>10</v>
      </c>
      <c r="L207">
        <f>DAY(CONTROLE_PILHAS[[#This Row],[DATA]])</f>
        <v>28</v>
      </c>
    </row>
    <row r="208" spans="2:12" x14ac:dyDescent="0.25">
      <c r="B208" s="36" t="s">
        <v>4</v>
      </c>
      <c r="C208" s="30" t="s">
        <v>794</v>
      </c>
      <c r="D208" s="36" t="s">
        <v>189</v>
      </c>
      <c r="E208" s="36" t="s">
        <v>462</v>
      </c>
      <c r="F208" s="36" t="s">
        <v>191</v>
      </c>
      <c r="G208" s="36" t="s">
        <v>191</v>
      </c>
      <c r="H208" s="36">
        <v>1</v>
      </c>
      <c r="I208" t="s">
        <v>179</v>
      </c>
      <c r="J208">
        <f>YEAR(CONTROLE_PILHAS[[#This Row],[DATA]])</f>
        <v>2021</v>
      </c>
      <c r="K208">
        <f>MONTH(CONTROLE_PILHAS[[#This Row],[DATA]])</f>
        <v>10</v>
      </c>
      <c r="L208">
        <f>DAY(CONTROLE_PILHAS[[#This Row],[DATA]])</f>
        <v>28</v>
      </c>
    </row>
    <row r="209" spans="2:12" x14ac:dyDescent="0.25">
      <c r="B209" s="36" t="s">
        <v>10</v>
      </c>
      <c r="C209" s="30" t="s">
        <v>794</v>
      </c>
      <c r="D209" s="36" t="s">
        <v>189</v>
      </c>
      <c r="E209" s="36" t="s">
        <v>462</v>
      </c>
      <c r="F209" s="36" t="s">
        <v>191</v>
      </c>
      <c r="G209" s="36" t="s">
        <v>191</v>
      </c>
      <c r="H209" s="36">
        <v>1</v>
      </c>
      <c r="I209" t="s">
        <v>179</v>
      </c>
      <c r="J209">
        <f>YEAR(CONTROLE_PILHAS[[#This Row],[DATA]])</f>
        <v>2021</v>
      </c>
      <c r="K209">
        <f>MONTH(CONTROLE_PILHAS[[#This Row],[DATA]])</f>
        <v>10</v>
      </c>
      <c r="L209">
        <f>DAY(CONTROLE_PILHAS[[#This Row],[DATA]])</f>
        <v>28</v>
      </c>
    </row>
    <row r="210" spans="2:12" x14ac:dyDescent="0.25">
      <c r="B210" s="36" t="s">
        <v>20</v>
      </c>
      <c r="C210" s="30" t="s">
        <v>794</v>
      </c>
      <c r="D210" s="36" t="s">
        <v>189</v>
      </c>
      <c r="E210" s="36" t="s">
        <v>462</v>
      </c>
      <c r="F210" s="36" t="s">
        <v>191</v>
      </c>
      <c r="G210" s="36" t="s">
        <v>191</v>
      </c>
      <c r="H210" s="36">
        <v>1</v>
      </c>
      <c r="I210" t="s">
        <v>179</v>
      </c>
      <c r="J210">
        <f>YEAR(CONTROLE_PILHAS[[#This Row],[DATA]])</f>
        <v>2021</v>
      </c>
      <c r="K210">
        <f>MONTH(CONTROLE_PILHAS[[#This Row],[DATA]])</f>
        <v>10</v>
      </c>
      <c r="L210">
        <f>DAY(CONTROLE_PILHAS[[#This Row],[DATA]])</f>
        <v>28</v>
      </c>
    </row>
    <row r="211" spans="2:12" x14ac:dyDescent="0.25">
      <c r="B211" s="36" t="s">
        <v>16</v>
      </c>
      <c r="C211" s="30">
        <v>44498</v>
      </c>
      <c r="D211" s="36" t="s">
        <v>189</v>
      </c>
      <c r="E211" s="36" t="s">
        <v>222</v>
      </c>
      <c r="F211" s="36" t="s">
        <v>191</v>
      </c>
      <c r="G211" s="36" t="s">
        <v>191</v>
      </c>
      <c r="H211" s="36">
        <v>1</v>
      </c>
      <c r="I211" t="s">
        <v>179</v>
      </c>
      <c r="J211">
        <f>YEAR(CONTROLE_PILHAS[[#This Row],[DATA]])</f>
        <v>2021</v>
      </c>
      <c r="K211">
        <f>MONTH(CONTROLE_PILHAS[[#This Row],[DATA]])</f>
        <v>10</v>
      </c>
      <c r="L211">
        <f>DAY(CONTROLE_PILHAS[[#This Row],[DATA]])</f>
        <v>29</v>
      </c>
    </row>
    <row r="212" spans="2:12" x14ac:dyDescent="0.25">
      <c r="B212" s="36" t="s">
        <v>14</v>
      </c>
      <c r="C212" s="30">
        <v>44501</v>
      </c>
      <c r="D212" s="36" t="s">
        <v>189</v>
      </c>
      <c r="E212" s="36" t="s">
        <v>222</v>
      </c>
      <c r="F212" s="36" t="s">
        <v>191</v>
      </c>
      <c r="G212" s="36" t="s">
        <v>191</v>
      </c>
      <c r="H212" s="36">
        <v>1</v>
      </c>
      <c r="I212" t="s">
        <v>179</v>
      </c>
      <c r="J212">
        <f>YEAR(CONTROLE_PILHAS[[#This Row],[DATA]])</f>
        <v>2021</v>
      </c>
      <c r="K212">
        <f>MONTH(CONTROLE_PILHAS[[#This Row],[DATA]])</f>
        <v>11</v>
      </c>
      <c r="L212">
        <f>DAY(CONTROLE_PILHAS[[#This Row],[DATA]])</f>
        <v>1</v>
      </c>
    </row>
    <row r="213" spans="2:12" x14ac:dyDescent="0.25">
      <c r="B213" s="36" t="s">
        <v>9</v>
      </c>
      <c r="C213" s="30">
        <v>44501</v>
      </c>
      <c r="D213" s="36" t="s">
        <v>189</v>
      </c>
      <c r="E213" s="36" t="s">
        <v>462</v>
      </c>
      <c r="F213" s="36" t="s">
        <v>191</v>
      </c>
      <c r="G213" s="36" t="s">
        <v>191</v>
      </c>
      <c r="H213" s="36">
        <v>1</v>
      </c>
      <c r="I213" t="s">
        <v>179</v>
      </c>
      <c r="J213">
        <f>YEAR(CONTROLE_PILHAS[[#This Row],[DATA]])</f>
        <v>2021</v>
      </c>
      <c r="K213">
        <f>MONTH(CONTROLE_PILHAS[[#This Row],[DATA]])</f>
        <v>11</v>
      </c>
      <c r="L213">
        <f>DAY(CONTROLE_PILHAS[[#This Row],[DATA]])</f>
        <v>1</v>
      </c>
    </row>
    <row r="214" spans="2:12" x14ac:dyDescent="0.25">
      <c r="B214" s="36" t="s">
        <v>19</v>
      </c>
      <c r="C214" s="30">
        <v>44501</v>
      </c>
      <c r="D214" s="36" t="s">
        <v>189</v>
      </c>
      <c r="E214" s="36" t="s">
        <v>222</v>
      </c>
      <c r="F214" s="36" t="s">
        <v>793</v>
      </c>
      <c r="G214" s="36" t="s">
        <v>191</v>
      </c>
      <c r="H214" s="36">
        <v>1</v>
      </c>
      <c r="I214" t="s">
        <v>179</v>
      </c>
      <c r="J214">
        <f>YEAR(CONTROLE_PILHAS[[#This Row],[DATA]])</f>
        <v>2021</v>
      </c>
      <c r="K214">
        <f>MONTH(CONTROLE_PILHAS[[#This Row],[DATA]])</f>
        <v>11</v>
      </c>
      <c r="L214">
        <f>DAY(CONTROLE_PILHAS[[#This Row],[DATA]])</f>
        <v>1</v>
      </c>
    </row>
    <row r="215" spans="2:12" x14ac:dyDescent="0.25">
      <c r="B215" s="36" t="s">
        <v>22</v>
      </c>
      <c r="C215" s="30">
        <v>44503</v>
      </c>
      <c r="D215" s="36" t="s">
        <v>189</v>
      </c>
      <c r="E215" s="36" t="s">
        <v>462</v>
      </c>
      <c r="F215" s="36" t="s">
        <v>793</v>
      </c>
      <c r="G215" s="36" t="s">
        <v>191</v>
      </c>
      <c r="H215" s="36">
        <v>1</v>
      </c>
      <c r="I215" t="s">
        <v>179</v>
      </c>
      <c r="J215">
        <f>YEAR(CONTROLE_PILHAS[[#This Row],[DATA]])</f>
        <v>2021</v>
      </c>
      <c r="K215">
        <f>MONTH(CONTROLE_PILHAS[[#This Row],[DATA]])</f>
        <v>11</v>
      </c>
      <c r="L215">
        <f>DAY(CONTROLE_PILHAS[[#This Row],[DATA]])</f>
        <v>3</v>
      </c>
    </row>
    <row r="216" spans="2:12" x14ac:dyDescent="0.25">
      <c r="B216" s="36" t="s">
        <v>13</v>
      </c>
      <c r="C216" s="30">
        <v>44503</v>
      </c>
      <c r="D216" s="36" t="s">
        <v>189</v>
      </c>
      <c r="E216" s="36" t="s">
        <v>462</v>
      </c>
      <c r="F216" s="36" t="s">
        <v>793</v>
      </c>
      <c r="G216" s="36" t="s">
        <v>191</v>
      </c>
      <c r="H216" s="36">
        <v>1</v>
      </c>
      <c r="I216" t="s">
        <v>179</v>
      </c>
      <c r="J216">
        <f>YEAR(CONTROLE_PILHAS[[#This Row],[DATA]])</f>
        <v>2021</v>
      </c>
      <c r="K216">
        <f>MONTH(CONTROLE_PILHAS[[#This Row],[DATA]])</f>
        <v>11</v>
      </c>
      <c r="L216">
        <f>DAY(CONTROLE_PILHAS[[#This Row],[DATA]])</f>
        <v>3</v>
      </c>
    </row>
    <row r="217" spans="2:12" x14ac:dyDescent="0.25">
      <c r="B217" s="36" t="s">
        <v>7</v>
      </c>
      <c r="C217" s="30">
        <v>44504</v>
      </c>
      <c r="D217" s="36" t="s">
        <v>189</v>
      </c>
      <c r="E217" s="36" t="s">
        <v>222</v>
      </c>
      <c r="F217" s="36" t="s">
        <v>191</v>
      </c>
      <c r="G217" s="36" t="s">
        <v>191</v>
      </c>
      <c r="H217" s="36">
        <v>1</v>
      </c>
      <c r="I217" t="s">
        <v>179</v>
      </c>
      <c r="J217">
        <f>YEAR(CONTROLE_PILHAS[[#This Row],[DATA]])</f>
        <v>2021</v>
      </c>
      <c r="K217">
        <f>MONTH(CONTROLE_PILHAS[[#This Row],[DATA]])</f>
        <v>11</v>
      </c>
      <c r="L217">
        <f>DAY(CONTROLE_PILHAS[[#This Row],[DATA]])</f>
        <v>4</v>
      </c>
    </row>
    <row r="218" spans="2:12" x14ac:dyDescent="0.25">
      <c r="B218" s="36" t="s">
        <v>10</v>
      </c>
      <c r="C218" s="30">
        <v>44504</v>
      </c>
      <c r="D218" s="36" t="s">
        <v>189</v>
      </c>
      <c r="E218" s="36" t="s">
        <v>462</v>
      </c>
      <c r="F218" s="36" t="s">
        <v>191</v>
      </c>
      <c r="G218" s="36" t="s">
        <v>191</v>
      </c>
      <c r="H218" s="36">
        <v>1</v>
      </c>
      <c r="I218" t="s">
        <v>179</v>
      </c>
      <c r="J218">
        <f>YEAR(CONTROLE_PILHAS[[#This Row],[DATA]])</f>
        <v>2021</v>
      </c>
      <c r="K218">
        <f>MONTH(CONTROLE_PILHAS[[#This Row],[DATA]])</f>
        <v>11</v>
      </c>
      <c r="L218">
        <f>DAY(CONTROLE_PILHAS[[#This Row],[DATA]])</f>
        <v>4</v>
      </c>
    </row>
    <row r="219" spans="2:12" x14ac:dyDescent="0.25">
      <c r="B219" s="36" t="s">
        <v>6</v>
      </c>
      <c r="C219" s="30">
        <v>44505</v>
      </c>
      <c r="D219" s="36" t="s">
        <v>189</v>
      </c>
      <c r="E219" s="36" t="s">
        <v>462</v>
      </c>
      <c r="F219" s="36" t="s">
        <v>191</v>
      </c>
      <c r="G219" s="36" t="s">
        <v>191</v>
      </c>
      <c r="H219" s="36">
        <v>1</v>
      </c>
      <c r="I219" t="s">
        <v>179</v>
      </c>
      <c r="J219">
        <f>YEAR(CONTROLE_PILHAS[[#This Row],[DATA]])</f>
        <v>2021</v>
      </c>
      <c r="K219">
        <f>MONTH(CONTROLE_PILHAS[[#This Row],[DATA]])</f>
        <v>11</v>
      </c>
      <c r="L219">
        <f>DAY(CONTROLE_PILHAS[[#This Row],[DATA]])</f>
        <v>5</v>
      </c>
    </row>
    <row r="220" spans="2:12" x14ac:dyDescent="0.25">
      <c r="B220" s="36" t="s">
        <v>4</v>
      </c>
      <c r="C220" s="30">
        <v>44508</v>
      </c>
      <c r="D220" s="36" t="s">
        <v>189</v>
      </c>
      <c r="E220" s="36" t="s">
        <v>222</v>
      </c>
      <c r="F220" s="36" t="s">
        <v>191</v>
      </c>
      <c r="G220" s="36" t="s">
        <v>191</v>
      </c>
      <c r="H220" s="36">
        <v>1</v>
      </c>
      <c r="I220" t="s">
        <v>179</v>
      </c>
      <c r="J220">
        <f>YEAR(CONTROLE_PILHAS[[#This Row],[DATA]])</f>
        <v>2021</v>
      </c>
      <c r="K220">
        <f>MONTH(CONTROLE_PILHAS[[#This Row],[DATA]])</f>
        <v>11</v>
      </c>
      <c r="L220">
        <f>DAY(CONTROLE_PILHAS[[#This Row],[DATA]])</f>
        <v>8</v>
      </c>
    </row>
    <row r="221" spans="2:12" x14ac:dyDescent="0.25">
      <c r="B221" s="36" t="s">
        <v>98</v>
      </c>
      <c r="C221" s="30">
        <v>44508</v>
      </c>
      <c r="D221" s="36" t="s">
        <v>189</v>
      </c>
      <c r="E221" s="36" t="s">
        <v>462</v>
      </c>
      <c r="F221" s="36" t="s">
        <v>191</v>
      </c>
      <c r="G221" s="36" t="s">
        <v>191</v>
      </c>
      <c r="H221" s="36">
        <v>1</v>
      </c>
      <c r="I221" t="s">
        <v>179</v>
      </c>
      <c r="J221">
        <f>YEAR(CONTROLE_PILHAS[[#This Row],[DATA]])</f>
        <v>2021</v>
      </c>
      <c r="K221">
        <f>MONTH(CONTROLE_PILHAS[[#This Row],[DATA]])</f>
        <v>11</v>
      </c>
      <c r="L221">
        <f>DAY(CONTROLE_PILHAS[[#This Row],[DATA]])</f>
        <v>8</v>
      </c>
    </row>
    <row r="222" spans="2:12" x14ac:dyDescent="0.25">
      <c r="B222" s="36" t="s">
        <v>9</v>
      </c>
      <c r="C222" s="30">
        <v>44509</v>
      </c>
      <c r="D222" s="36" t="s">
        <v>189</v>
      </c>
      <c r="E222" s="36" t="s">
        <v>222</v>
      </c>
      <c r="F222" s="36" t="s">
        <v>191</v>
      </c>
      <c r="G222" s="36" t="s">
        <v>191</v>
      </c>
      <c r="H222" s="36">
        <v>1</v>
      </c>
      <c r="I222" t="s">
        <v>179</v>
      </c>
      <c r="J222">
        <f>YEAR(CONTROLE_PILHAS[[#This Row],[DATA]])</f>
        <v>2021</v>
      </c>
      <c r="K222">
        <f>MONTH(CONTROLE_PILHAS[[#This Row],[DATA]])</f>
        <v>11</v>
      </c>
      <c r="L222">
        <f>DAY(CONTROLE_PILHAS[[#This Row],[DATA]])</f>
        <v>9</v>
      </c>
    </row>
    <row r="223" spans="2:12" x14ac:dyDescent="0.25">
      <c r="B223" s="36" t="s">
        <v>6</v>
      </c>
      <c r="C223" s="30">
        <v>44511</v>
      </c>
      <c r="D223" s="36" t="s">
        <v>189</v>
      </c>
      <c r="E223" s="36" t="s">
        <v>462</v>
      </c>
      <c r="F223" s="36" t="s">
        <v>793</v>
      </c>
      <c r="G223" s="36" t="s">
        <v>191</v>
      </c>
      <c r="H223" s="36">
        <v>1</v>
      </c>
      <c r="I223" t="s">
        <v>179</v>
      </c>
      <c r="J223">
        <f>YEAR(CONTROLE_PILHAS[[#This Row],[DATA]])</f>
        <v>2021</v>
      </c>
      <c r="K223">
        <f>MONTH(CONTROLE_PILHAS[[#This Row],[DATA]])</f>
        <v>11</v>
      </c>
      <c r="L223">
        <f>DAY(CONTROLE_PILHAS[[#This Row],[DATA]])</f>
        <v>11</v>
      </c>
    </row>
    <row r="224" spans="2:12" x14ac:dyDescent="0.25">
      <c r="B224" s="36" t="s">
        <v>10</v>
      </c>
      <c r="C224" s="30">
        <v>44511</v>
      </c>
      <c r="D224" s="36" t="s">
        <v>189</v>
      </c>
      <c r="E224" s="36" t="s">
        <v>462</v>
      </c>
      <c r="F224" s="36" t="s">
        <v>191</v>
      </c>
      <c r="G224" s="36" t="s">
        <v>191</v>
      </c>
      <c r="H224" s="36">
        <v>1</v>
      </c>
      <c r="I224" t="s">
        <v>179</v>
      </c>
      <c r="J224">
        <f>YEAR(CONTROLE_PILHAS[[#This Row],[DATA]])</f>
        <v>2021</v>
      </c>
      <c r="K224">
        <f>MONTH(CONTROLE_PILHAS[[#This Row],[DATA]])</f>
        <v>11</v>
      </c>
      <c r="L224">
        <f>DAY(CONTROLE_PILHAS[[#This Row],[DATA]])</f>
        <v>11</v>
      </c>
    </row>
    <row r="225" spans="2:12" x14ac:dyDescent="0.25">
      <c r="B225" s="36" t="s">
        <v>4</v>
      </c>
      <c r="C225" s="30">
        <v>44516</v>
      </c>
      <c r="D225" s="36" t="s">
        <v>189</v>
      </c>
      <c r="E225" s="36" t="s">
        <v>462</v>
      </c>
      <c r="F225" s="36" t="s">
        <v>793</v>
      </c>
      <c r="G225" s="36" t="s">
        <v>191</v>
      </c>
      <c r="H225" s="36">
        <v>1</v>
      </c>
      <c r="I225" t="s">
        <v>179</v>
      </c>
      <c r="J225">
        <f>YEAR(CONTROLE_PILHAS[[#This Row],[DATA]])</f>
        <v>2021</v>
      </c>
      <c r="K225">
        <f>MONTH(CONTROLE_PILHAS[[#This Row],[DATA]])</f>
        <v>11</v>
      </c>
      <c r="L225">
        <f>DAY(CONTROLE_PILHAS[[#This Row],[DATA]])</f>
        <v>16</v>
      </c>
    </row>
    <row r="226" spans="2:12" x14ac:dyDescent="0.25">
      <c r="B226" s="36" t="s">
        <v>5</v>
      </c>
      <c r="C226" s="30">
        <v>44516</v>
      </c>
      <c r="D226" s="36" t="s">
        <v>189</v>
      </c>
      <c r="E226" s="36" t="s">
        <v>190</v>
      </c>
      <c r="F226" s="36" t="s">
        <v>793</v>
      </c>
      <c r="G226" s="36" t="s">
        <v>191</v>
      </c>
      <c r="H226" s="36">
        <v>1</v>
      </c>
      <c r="I226" t="s">
        <v>179</v>
      </c>
      <c r="J226">
        <f>YEAR(CONTROLE_PILHAS[[#This Row],[DATA]])</f>
        <v>2021</v>
      </c>
      <c r="K226">
        <f>MONTH(CONTROLE_PILHAS[[#This Row],[DATA]])</f>
        <v>11</v>
      </c>
      <c r="L226">
        <f>DAY(CONTROLE_PILHAS[[#This Row],[DATA]])</f>
        <v>16</v>
      </c>
    </row>
    <row r="227" spans="2:12" x14ac:dyDescent="0.25">
      <c r="B227" s="36" t="s">
        <v>7</v>
      </c>
      <c r="C227" s="30">
        <v>44516</v>
      </c>
      <c r="D227" s="36" t="s">
        <v>189</v>
      </c>
      <c r="E227" s="36" t="s">
        <v>462</v>
      </c>
      <c r="F227" s="36" t="s">
        <v>793</v>
      </c>
      <c r="G227" s="36" t="s">
        <v>191</v>
      </c>
      <c r="H227" s="36">
        <v>1</v>
      </c>
      <c r="I227" t="s">
        <v>179</v>
      </c>
      <c r="J227">
        <f>YEAR(CONTROLE_PILHAS[[#This Row],[DATA]])</f>
        <v>2021</v>
      </c>
      <c r="K227">
        <f>MONTH(CONTROLE_PILHAS[[#This Row],[DATA]])</f>
        <v>11</v>
      </c>
      <c r="L227">
        <f>DAY(CONTROLE_PILHAS[[#This Row],[DATA]])</f>
        <v>16</v>
      </c>
    </row>
    <row r="228" spans="2:12" x14ac:dyDescent="0.25">
      <c r="B228" s="36" t="s">
        <v>4</v>
      </c>
      <c r="C228" s="30">
        <v>44516</v>
      </c>
      <c r="D228" s="36" t="s">
        <v>189</v>
      </c>
      <c r="E228" s="36" t="s">
        <v>462</v>
      </c>
      <c r="F228" s="36" t="s">
        <v>793</v>
      </c>
      <c r="G228" s="36" t="s">
        <v>191</v>
      </c>
      <c r="H228" s="36">
        <v>1</v>
      </c>
      <c r="I228" t="s">
        <v>179</v>
      </c>
      <c r="J228">
        <f>YEAR(CONTROLE_PILHAS[[#This Row],[DATA]])</f>
        <v>2021</v>
      </c>
      <c r="K228">
        <f>MONTH(CONTROLE_PILHAS[[#This Row],[DATA]])</f>
        <v>11</v>
      </c>
      <c r="L228">
        <f>DAY(CONTROLE_PILHAS[[#This Row],[DATA]])</f>
        <v>16</v>
      </c>
    </row>
    <row r="229" spans="2:12" x14ac:dyDescent="0.25">
      <c r="B229" s="36" t="s">
        <v>14</v>
      </c>
      <c r="C229" s="30">
        <v>44517</v>
      </c>
      <c r="D229" s="36" t="s">
        <v>189</v>
      </c>
      <c r="E229" s="36" t="s">
        <v>222</v>
      </c>
      <c r="F229" s="36" t="s">
        <v>793</v>
      </c>
      <c r="G229" s="36" t="s">
        <v>191</v>
      </c>
      <c r="H229" s="36">
        <v>1</v>
      </c>
      <c r="I229" t="s">
        <v>179</v>
      </c>
      <c r="J229">
        <f>YEAR(CONTROLE_PILHAS[[#This Row],[DATA]])</f>
        <v>2021</v>
      </c>
      <c r="K229">
        <f>MONTH(CONTROLE_PILHAS[[#This Row],[DATA]])</f>
        <v>11</v>
      </c>
      <c r="L229">
        <f>DAY(CONTROLE_PILHAS[[#This Row],[DATA]])</f>
        <v>17</v>
      </c>
    </row>
    <row r="230" spans="2:12" x14ac:dyDescent="0.25">
      <c r="B230" s="36" t="s">
        <v>10</v>
      </c>
      <c r="C230" s="30">
        <v>44517</v>
      </c>
      <c r="D230" s="36" t="s">
        <v>189</v>
      </c>
      <c r="E230" s="36" t="s">
        <v>222</v>
      </c>
      <c r="F230" s="36" t="s">
        <v>793</v>
      </c>
      <c r="G230" s="36" t="s">
        <v>191</v>
      </c>
      <c r="H230" s="36">
        <v>1</v>
      </c>
      <c r="I230" t="s">
        <v>179</v>
      </c>
      <c r="J230">
        <f>YEAR(CONTROLE_PILHAS[[#This Row],[DATA]])</f>
        <v>2021</v>
      </c>
      <c r="K230">
        <f>MONTH(CONTROLE_PILHAS[[#This Row],[DATA]])</f>
        <v>11</v>
      </c>
      <c r="L230">
        <f>DAY(CONTROLE_PILHAS[[#This Row],[DATA]])</f>
        <v>17</v>
      </c>
    </row>
    <row r="231" spans="2:12" x14ac:dyDescent="0.25">
      <c r="B231" s="36" t="s">
        <v>8</v>
      </c>
      <c r="C231" s="30">
        <v>44517</v>
      </c>
      <c r="D231" s="36" t="s">
        <v>189</v>
      </c>
      <c r="E231" s="36" t="s">
        <v>462</v>
      </c>
      <c r="F231" s="36" t="s">
        <v>793</v>
      </c>
      <c r="G231" s="36" t="s">
        <v>191</v>
      </c>
      <c r="H231" s="36">
        <v>1</v>
      </c>
      <c r="I231" t="s">
        <v>179</v>
      </c>
      <c r="J231">
        <f>YEAR(CONTROLE_PILHAS[[#This Row],[DATA]])</f>
        <v>2021</v>
      </c>
      <c r="K231">
        <f>MONTH(CONTROLE_PILHAS[[#This Row],[DATA]])</f>
        <v>11</v>
      </c>
      <c r="L231">
        <f>DAY(CONTROLE_PILHAS[[#This Row],[DATA]])</f>
        <v>17</v>
      </c>
    </row>
    <row r="232" spans="2:12" x14ac:dyDescent="0.25">
      <c r="B232" s="36" t="s">
        <v>13</v>
      </c>
      <c r="C232" s="30">
        <v>44518</v>
      </c>
      <c r="D232" s="36" t="s">
        <v>189</v>
      </c>
      <c r="E232" s="36" t="s">
        <v>222</v>
      </c>
      <c r="F232" s="36" t="s">
        <v>793</v>
      </c>
      <c r="G232" s="36" t="s">
        <v>191</v>
      </c>
      <c r="H232" s="36">
        <v>1</v>
      </c>
      <c r="I232" t="s">
        <v>179</v>
      </c>
      <c r="J232">
        <f>YEAR(CONTROLE_PILHAS[[#This Row],[DATA]])</f>
        <v>2021</v>
      </c>
      <c r="K232">
        <f>MONTH(CONTROLE_PILHAS[[#This Row],[DATA]])</f>
        <v>11</v>
      </c>
      <c r="L232">
        <f>DAY(CONTROLE_PILHAS[[#This Row],[DATA]])</f>
        <v>18</v>
      </c>
    </row>
    <row r="233" spans="2:12" x14ac:dyDescent="0.25">
      <c r="B233" s="36" t="s">
        <v>16</v>
      </c>
      <c r="C233" s="30">
        <v>44518</v>
      </c>
      <c r="D233" s="36" t="s">
        <v>189</v>
      </c>
      <c r="E233" s="36" t="s">
        <v>222</v>
      </c>
      <c r="F233" s="36" t="s">
        <v>793</v>
      </c>
      <c r="G233" s="36" t="s">
        <v>191</v>
      </c>
      <c r="H233" s="36">
        <v>1</v>
      </c>
      <c r="I233" t="s">
        <v>179</v>
      </c>
      <c r="J233">
        <f>YEAR(CONTROLE_PILHAS[[#This Row],[DATA]])</f>
        <v>2021</v>
      </c>
      <c r="K233">
        <f>MONTH(CONTROLE_PILHAS[[#This Row],[DATA]])</f>
        <v>11</v>
      </c>
      <c r="L233">
        <f>DAY(CONTROLE_PILHAS[[#This Row],[DATA]])</f>
        <v>18</v>
      </c>
    </row>
    <row r="234" spans="2:12" x14ac:dyDescent="0.25">
      <c r="B234" s="36" t="s">
        <v>21</v>
      </c>
      <c r="C234" s="30">
        <v>44519</v>
      </c>
      <c r="D234" s="36" t="s">
        <v>189</v>
      </c>
      <c r="E234" s="36" t="s">
        <v>462</v>
      </c>
      <c r="F234" s="36" t="s">
        <v>793</v>
      </c>
      <c r="G234" s="36" t="s">
        <v>191</v>
      </c>
      <c r="H234" s="36">
        <v>1</v>
      </c>
      <c r="I234" t="s">
        <v>179</v>
      </c>
      <c r="J234">
        <f>YEAR(CONTROLE_PILHAS[[#This Row],[DATA]])</f>
        <v>2021</v>
      </c>
      <c r="K234">
        <f>MONTH(CONTROLE_PILHAS[[#This Row],[DATA]])</f>
        <v>11</v>
      </c>
      <c r="L234">
        <f>DAY(CONTROLE_PILHAS[[#This Row],[DATA]])</f>
        <v>19</v>
      </c>
    </row>
    <row r="235" spans="2:12" x14ac:dyDescent="0.25">
      <c r="B235" s="36" t="s">
        <v>7</v>
      </c>
      <c r="C235" s="30">
        <v>44519</v>
      </c>
      <c r="D235" s="36" t="s">
        <v>189</v>
      </c>
      <c r="E235" s="36" t="s">
        <v>222</v>
      </c>
      <c r="F235" s="36" t="s">
        <v>793</v>
      </c>
      <c r="G235" s="36" t="s">
        <v>191</v>
      </c>
      <c r="H235" s="36">
        <v>1</v>
      </c>
      <c r="I235" t="s">
        <v>179</v>
      </c>
      <c r="J235">
        <f>YEAR(CONTROLE_PILHAS[[#This Row],[DATA]])</f>
        <v>2021</v>
      </c>
      <c r="K235">
        <f>MONTH(CONTROLE_PILHAS[[#This Row],[DATA]])</f>
        <v>11</v>
      </c>
      <c r="L235">
        <f>DAY(CONTROLE_PILHAS[[#This Row],[DATA]])</f>
        <v>19</v>
      </c>
    </row>
    <row r="236" spans="2:12" x14ac:dyDescent="0.25">
      <c r="B236" s="36" t="s">
        <v>9</v>
      </c>
      <c r="C236" s="30">
        <v>44519</v>
      </c>
      <c r="D236" s="36" t="s">
        <v>189</v>
      </c>
      <c r="E236" s="36" t="s">
        <v>462</v>
      </c>
      <c r="F236" s="36" t="s">
        <v>793</v>
      </c>
      <c r="G236" s="36" t="s">
        <v>191</v>
      </c>
      <c r="H236" s="36">
        <v>1</v>
      </c>
      <c r="I236" t="s">
        <v>179</v>
      </c>
      <c r="J236">
        <f>YEAR(CONTROLE_PILHAS[[#This Row],[DATA]])</f>
        <v>2021</v>
      </c>
      <c r="K236">
        <f>MONTH(CONTROLE_PILHAS[[#This Row],[DATA]])</f>
        <v>11</v>
      </c>
      <c r="L236">
        <f>DAY(CONTROLE_PILHAS[[#This Row],[DATA]])</f>
        <v>19</v>
      </c>
    </row>
    <row r="237" spans="2:12" x14ac:dyDescent="0.25">
      <c r="B237" s="36" t="s">
        <v>13</v>
      </c>
      <c r="C237" s="30">
        <v>44520</v>
      </c>
      <c r="D237" s="36" t="s">
        <v>189</v>
      </c>
      <c r="E237" s="36" t="s">
        <v>222</v>
      </c>
      <c r="F237" s="36" t="s">
        <v>793</v>
      </c>
      <c r="G237" s="36" t="s">
        <v>191</v>
      </c>
      <c r="H237" s="36">
        <v>1</v>
      </c>
      <c r="I237" t="s">
        <v>179</v>
      </c>
      <c r="J237">
        <f>YEAR(CONTROLE_PILHAS[[#This Row],[DATA]])</f>
        <v>2021</v>
      </c>
      <c r="K237">
        <f>MONTH(CONTROLE_PILHAS[[#This Row],[DATA]])</f>
        <v>11</v>
      </c>
      <c r="L237">
        <f>DAY(CONTROLE_PILHAS[[#This Row],[DATA]])</f>
        <v>20</v>
      </c>
    </row>
    <row r="238" spans="2:12" x14ac:dyDescent="0.25">
      <c r="B238" s="36" t="s">
        <v>17</v>
      </c>
      <c r="C238" s="30">
        <v>44520</v>
      </c>
      <c r="D238" s="36" t="s">
        <v>189</v>
      </c>
      <c r="E238" s="36" t="s">
        <v>462</v>
      </c>
      <c r="F238" s="36" t="s">
        <v>793</v>
      </c>
      <c r="G238" s="36" t="s">
        <v>191</v>
      </c>
      <c r="H238" s="36">
        <v>1</v>
      </c>
      <c r="I238" t="s">
        <v>179</v>
      </c>
      <c r="J238">
        <f>YEAR(CONTROLE_PILHAS[[#This Row],[DATA]])</f>
        <v>2021</v>
      </c>
      <c r="K238">
        <f>MONTH(CONTROLE_PILHAS[[#This Row],[DATA]])</f>
        <v>11</v>
      </c>
      <c r="L238">
        <f>DAY(CONTROLE_PILHAS[[#This Row],[DATA]])</f>
        <v>20</v>
      </c>
    </row>
    <row r="239" spans="2:12" x14ac:dyDescent="0.25">
      <c r="B239" s="36" t="s">
        <v>98</v>
      </c>
      <c r="C239" s="30">
        <v>44520</v>
      </c>
      <c r="D239" s="36" t="s">
        <v>189</v>
      </c>
      <c r="E239" s="36" t="s">
        <v>462</v>
      </c>
      <c r="F239" s="36" t="s">
        <v>793</v>
      </c>
      <c r="G239" s="36" t="s">
        <v>191</v>
      </c>
      <c r="H239" s="36">
        <v>1</v>
      </c>
      <c r="I239" t="s">
        <v>179</v>
      </c>
      <c r="J239">
        <f>YEAR(CONTROLE_PILHAS[[#This Row],[DATA]])</f>
        <v>2021</v>
      </c>
      <c r="K239">
        <f>MONTH(CONTROLE_PILHAS[[#This Row],[DATA]])</f>
        <v>11</v>
      </c>
      <c r="L239">
        <f>DAY(CONTROLE_PILHAS[[#This Row],[DATA]])</f>
        <v>20</v>
      </c>
    </row>
    <row r="240" spans="2:12" x14ac:dyDescent="0.25">
      <c r="B240" s="36" t="s">
        <v>20</v>
      </c>
      <c r="C240" s="30">
        <v>44522</v>
      </c>
      <c r="D240" s="36" t="s">
        <v>189</v>
      </c>
      <c r="E240" s="36" t="s">
        <v>222</v>
      </c>
      <c r="F240" s="36" t="s">
        <v>793</v>
      </c>
      <c r="G240" s="36" t="s">
        <v>191</v>
      </c>
      <c r="H240" s="36">
        <v>1</v>
      </c>
      <c r="I240" t="s">
        <v>179</v>
      </c>
      <c r="J240">
        <f>YEAR(CONTROLE_PILHAS[[#This Row],[DATA]])</f>
        <v>2021</v>
      </c>
      <c r="K240">
        <f>MONTH(CONTROLE_PILHAS[[#This Row],[DATA]])</f>
        <v>11</v>
      </c>
      <c r="L240">
        <f>DAY(CONTROLE_PILHAS[[#This Row],[DATA]])</f>
        <v>22</v>
      </c>
    </row>
    <row r="241" spans="1:12" x14ac:dyDescent="0.25">
      <c r="B241" s="36" t="s">
        <v>40</v>
      </c>
      <c r="C241" s="30">
        <v>44522</v>
      </c>
      <c r="D241" s="36" t="s">
        <v>189</v>
      </c>
      <c r="E241" s="36" t="s">
        <v>222</v>
      </c>
      <c r="F241" s="36" t="s">
        <v>793</v>
      </c>
      <c r="G241" s="36" t="s">
        <v>191</v>
      </c>
      <c r="H241" s="36">
        <v>1</v>
      </c>
      <c r="I241" t="s">
        <v>179</v>
      </c>
      <c r="J241">
        <f>YEAR(CONTROLE_PILHAS[[#This Row],[DATA]])</f>
        <v>2021</v>
      </c>
      <c r="K241">
        <f>MONTH(CONTROLE_PILHAS[[#This Row],[DATA]])</f>
        <v>11</v>
      </c>
      <c r="L241">
        <f>DAY(CONTROLE_PILHAS[[#This Row],[DATA]])</f>
        <v>22</v>
      </c>
    </row>
    <row r="242" spans="1:12" x14ac:dyDescent="0.25">
      <c r="B242" s="36" t="s">
        <v>4</v>
      </c>
      <c r="C242" s="30">
        <v>44522</v>
      </c>
      <c r="D242" s="36" t="s">
        <v>189</v>
      </c>
      <c r="E242" s="36" t="s">
        <v>462</v>
      </c>
      <c r="F242" s="36" t="s">
        <v>793</v>
      </c>
      <c r="G242" s="36" t="s">
        <v>191</v>
      </c>
      <c r="H242" s="36">
        <v>1</v>
      </c>
      <c r="I242" t="s">
        <v>179</v>
      </c>
      <c r="J242">
        <f>YEAR(CONTROLE_PILHAS[[#This Row],[DATA]])</f>
        <v>2021</v>
      </c>
      <c r="K242">
        <f>MONTH(CONTROLE_PILHAS[[#This Row],[DATA]])</f>
        <v>11</v>
      </c>
      <c r="L242">
        <f>DAY(CONTROLE_PILHAS[[#This Row],[DATA]])</f>
        <v>22</v>
      </c>
    </row>
    <row r="243" spans="1:12" x14ac:dyDescent="0.25">
      <c r="B243" s="36" t="s">
        <v>21</v>
      </c>
      <c r="C243" s="30">
        <v>44523</v>
      </c>
      <c r="D243" s="36" t="s">
        <v>189</v>
      </c>
      <c r="E243" s="36" t="s">
        <v>222</v>
      </c>
      <c r="F243" s="36" t="s">
        <v>793</v>
      </c>
      <c r="G243" s="36" t="s">
        <v>191</v>
      </c>
      <c r="H243" s="36">
        <v>1</v>
      </c>
      <c r="I243" t="s">
        <v>179</v>
      </c>
      <c r="J243">
        <f>YEAR(CONTROLE_PILHAS[[#This Row],[DATA]])</f>
        <v>2021</v>
      </c>
      <c r="K243">
        <f>MONTH(CONTROLE_PILHAS[[#This Row],[DATA]])</f>
        <v>11</v>
      </c>
      <c r="L243">
        <f>DAY(CONTROLE_PILHAS[[#This Row],[DATA]])</f>
        <v>23</v>
      </c>
    </row>
    <row r="244" spans="1:12" x14ac:dyDescent="0.25">
      <c r="B244" s="36" t="s">
        <v>7</v>
      </c>
      <c r="C244" s="30">
        <v>44524</v>
      </c>
      <c r="D244" s="36" t="s">
        <v>189</v>
      </c>
      <c r="E244" s="36" t="s">
        <v>462</v>
      </c>
      <c r="F244" s="36" t="s">
        <v>793</v>
      </c>
      <c r="G244" s="36" t="s">
        <v>191</v>
      </c>
      <c r="H244" s="36">
        <v>1</v>
      </c>
      <c r="I244" t="s">
        <v>179</v>
      </c>
      <c r="J244">
        <f>YEAR(CONTROLE_PILHAS[[#This Row],[DATA]])</f>
        <v>2021</v>
      </c>
      <c r="K244">
        <f>MONTH(CONTROLE_PILHAS[[#This Row],[DATA]])</f>
        <v>11</v>
      </c>
      <c r="L244">
        <f>DAY(CONTROLE_PILHAS[[#This Row],[DATA]])</f>
        <v>24</v>
      </c>
    </row>
    <row r="245" spans="1:12" x14ac:dyDescent="0.25">
      <c r="A245" s="57"/>
      <c r="B245" s="56"/>
      <c r="C245" s="171"/>
      <c r="D245" s="56"/>
      <c r="E245" s="56"/>
      <c r="F245" s="56"/>
      <c r="G245" s="56"/>
      <c r="H245" s="56"/>
      <c r="I245" s="57"/>
      <c r="J245" s="57">
        <f>YEAR(CONTROLE_PILHAS[[#This Row],[DATA]])</f>
        <v>1900</v>
      </c>
      <c r="K245" s="57">
        <f>MONTH(CONTROLE_PILHAS[[#This Row],[DATA]])</f>
        <v>1</v>
      </c>
      <c r="L245" s="57">
        <f>DAY(CONTROLE_PILHAS[[#This Row],[DATA]])</f>
        <v>0</v>
      </c>
    </row>
    <row r="246" spans="1:12" x14ac:dyDescent="0.25">
      <c r="B246" s="36" t="s">
        <v>8</v>
      </c>
      <c r="C246" s="172" t="s">
        <v>923</v>
      </c>
      <c r="D246" s="36" t="s">
        <v>189</v>
      </c>
      <c r="E246" s="36" t="s">
        <v>222</v>
      </c>
      <c r="F246" s="36" t="s">
        <v>194</v>
      </c>
      <c r="G246" s="36" t="s">
        <v>191</v>
      </c>
      <c r="H246" s="36">
        <v>1</v>
      </c>
      <c r="I246" t="s">
        <v>179</v>
      </c>
      <c r="J246">
        <f>YEAR(CONTROLE_PILHAS[[#This Row],[DATA]])</f>
        <v>2022</v>
      </c>
      <c r="K246">
        <f>MONTH(CONTROLE_PILHAS[[#This Row],[DATA]])</f>
        <v>2</v>
      </c>
      <c r="L246">
        <f>DAY(CONTROLE_PILHAS[[#This Row],[DATA]])</f>
        <v>2</v>
      </c>
    </row>
    <row r="247" spans="1:12" x14ac:dyDescent="0.25">
      <c r="B247" s="36" t="s">
        <v>4</v>
      </c>
      <c r="C247" s="30">
        <v>44594</v>
      </c>
      <c r="D247" s="36" t="s">
        <v>189</v>
      </c>
      <c r="E247" s="36" t="s">
        <v>462</v>
      </c>
      <c r="F247" s="36" t="s">
        <v>194</v>
      </c>
      <c r="G247" s="36" t="s">
        <v>191</v>
      </c>
      <c r="H247" s="36">
        <v>1</v>
      </c>
      <c r="I247" t="s">
        <v>179</v>
      </c>
      <c r="J247">
        <f>YEAR(CONTROLE_PILHAS[[#This Row],[DATA]])</f>
        <v>2022</v>
      </c>
      <c r="K247">
        <f>MONTH(CONTROLE_PILHAS[[#This Row],[DATA]])</f>
        <v>2</v>
      </c>
      <c r="L247">
        <f>DAY(CONTROLE_PILHAS[[#This Row],[DATA]])</f>
        <v>2</v>
      </c>
    </row>
    <row r="248" spans="1:12" x14ac:dyDescent="0.25">
      <c r="B248" s="36" t="s">
        <v>16</v>
      </c>
      <c r="C248" s="30">
        <v>44594</v>
      </c>
      <c r="D248" s="36" t="s">
        <v>189</v>
      </c>
      <c r="E248" s="36" t="s">
        <v>462</v>
      </c>
      <c r="F248" s="36" t="s">
        <v>194</v>
      </c>
      <c r="G248" s="36" t="s">
        <v>191</v>
      </c>
      <c r="H248" s="36">
        <v>1</v>
      </c>
      <c r="I248" t="s">
        <v>179</v>
      </c>
      <c r="J248">
        <f>YEAR(CONTROLE_PILHAS[[#This Row],[DATA]])</f>
        <v>2022</v>
      </c>
      <c r="K248">
        <f>MONTH(CONTROLE_PILHAS[[#This Row],[DATA]])</f>
        <v>2</v>
      </c>
      <c r="L248">
        <f>DAY(CONTROLE_PILHAS[[#This Row],[DATA]])</f>
        <v>2</v>
      </c>
    </row>
    <row r="249" spans="1:12" x14ac:dyDescent="0.25">
      <c r="B249" s="36" t="s">
        <v>20</v>
      </c>
      <c r="C249" s="30">
        <v>44595</v>
      </c>
      <c r="D249" s="36" t="s">
        <v>189</v>
      </c>
      <c r="E249" s="36" t="s">
        <v>222</v>
      </c>
      <c r="F249" s="36" t="s">
        <v>194</v>
      </c>
      <c r="G249" s="36" t="s">
        <v>458</v>
      </c>
      <c r="H249" s="36">
        <v>1</v>
      </c>
      <c r="I249" t="s">
        <v>179</v>
      </c>
      <c r="J249">
        <f>YEAR(CONTROLE_PILHAS[[#This Row],[DATA]])</f>
        <v>2022</v>
      </c>
      <c r="K249">
        <f>MONTH(CONTROLE_PILHAS[[#This Row],[DATA]])</f>
        <v>2</v>
      </c>
      <c r="L249">
        <f>DAY(CONTROLE_PILHAS[[#This Row],[DATA]])</f>
        <v>3</v>
      </c>
    </row>
    <row r="250" spans="1:12" x14ac:dyDescent="0.25">
      <c r="B250" s="36" t="s">
        <v>10</v>
      </c>
      <c r="C250" s="30">
        <v>44595</v>
      </c>
      <c r="D250" s="36" t="s">
        <v>189</v>
      </c>
      <c r="E250" s="36" t="s">
        <v>462</v>
      </c>
      <c r="F250" s="36" t="s">
        <v>194</v>
      </c>
      <c r="G250" s="36" t="s">
        <v>458</v>
      </c>
      <c r="H250" s="36">
        <v>1</v>
      </c>
      <c r="I250" t="s">
        <v>179</v>
      </c>
      <c r="J250">
        <f>YEAR(CONTROLE_PILHAS[[#This Row],[DATA]])</f>
        <v>2022</v>
      </c>
      <c r="K250">
        <f>MONTH(CONTROLE_PILHAS[[#This Row],[DATA]])</f>
        <v>2</v>
      </c>
      <c r="L250">
        <f>DAY(CONTROLE_PILHAS[[#This Row],[DATA]])</f>
        <v>3</v>
      </c>
    </row>
    <row r="251" spans="1:12" x14ac:dyDescent="0.25">
      <c r="B251" s="36" t="s">
        <v>22</v>
      </c>
      <c r="C251" s="30">
        <v>44595</v>
      </c>
      <c r="D251" s="36" t="s">
        <v>189</v>
      </c>
      <c r="E251" s="36" t="s">
        <v>462</v>
      </c>
      <c r="F251" s="36" t="s">
        <v>191</v>
      </c>
      <c r="G251" s="36" t="s">
        <v>458</v>
      </c>
      <c r="H251" s="36">
        <v>1</v>
      </c>
      <c r="I251" t="s">
        <v>179</v>
      </c>
      <c r="J251">
        <f>YEAR(CONTROLE_PILHAS[[#This Row],[DATA]])</f>
        <v>2022</v>
      </c>
      <c r="K251">
        <f>MONTH(CONTROLE_PILHAS[[#This Row],[DATA]])</f>
        <v>2</v>
      </c>
      <c r="L251">
        <f>DAY(CONTROLE_PILHAS[[#This Row],[DATA]])</f>
        <v>3</v>
      </c>
    </row>
    <row r="252" spans="1:12" x14ac:dyDescent="0.25">
      <c r="B252" s="36" t="s">
        <v>17</v>
      </c>
      <c r="C252" s="30">
        <v>44595</v>
      </c>
      <c r="D252" s="36" t="s">
        <v>189</v>
      </c>
      <c r="E252" s="36" t="s">
        <v>462</v>
      </c>
      <c r="F252" s="36" t="s">
        <v>463</v>
      </c>
      <c r="G252" s="36" t="s">
        <v>458</v>
      </c>
      <c r="H252" s="36">
        <v>1</v>
      </c>
      <c r="I252" t="s">
        <v>179</v>
      </c>
      <c r="J252">
        <f>YEAR(CONTROLE_PILHAS[[#This Row],[DATA]])</f>
        <v>2022</v>
      </c>
      <c r="K252">
        <f>MONTH(CONTROLE_PILHAS[[#This Row],[DATA]])</f>
        <v>2</v>
      </c>
      <c r="L252">
        <f>DAY(CONTROLE_PILHAS[[#This Row],[DATA]])</f>
        <v>3</v>
      </c>
    </row>
    <row r="253" spans="1:12" x14ac:dyDescent="0.25">
      <c r="B253" s="36" t="s">
        <v>14</v>
      </c>
      <c r="C253" s="30">
        <v>44596</v>
      </c>
      <c r="D253" s="36" t="s">
        <v>189</v>
      </c>
      <c r="E253" s="36" t="s">
        <v>462</v>
      </c>
      <c r="F253" s="36" t="s">
        <v>194</v>
      </c>
      <c r="G253" s="36" t="s">
        <v>458</v>
      </c>
      <c r="H253" s="36">
        <v>1</v>
      </c>
      <c r="I253" t="s">
        <v>179</v>
      </c>
      <c r="J253">
        <f>YEAR(CONTROLE_PILHAS[[#This Row],[DATA]])</f>
        <v>2022</v>
      </c>
      <c r="K253">
        <f>MONTH(CONTROLE_PILHAS[[#This Row],[DATA]])</f>
        <v>2</v>
      </c>
      <c r="L253">
        <f>DAY(CONTROLE_PILHAS[[#This Row],[DATA]])</f>
        <v>4</v>
      </c>
    </row>
    <row r="254" spans="1:12" x14ac:dyDescent="0.25">
      <c r="B254" s="36" t="s">
        <v>40</v>
      </c>
      <c r="C254" s="30">
        <v>44599</v>
      </c>
      <c r="D254" s="36" t="s">
        <v>189</v>
      </c>
      <c r="E254" s="36" t="s">
        <v>462</v>
      </c>
      <c r="F254" s="36" t="s">
        <v>463</v>
      </c>
      <c r="G254" s="36" t="s">
        <v>458</v>
      </c>
      <c r="H254" s="36">
        <v>1</v>
      </c>
      <c r="I254" t="s">
        <v>179</v>
      </c>
      <c r="J254">
        <f>YEAR(CONTROLE_PILHAS[[#This Row],[DATA]])</f>
        <v>2022</v>
      </c>
      <c r="K254">
        <f>MONTH(CONTROLE_PILHAS[[#This Row],[DATA]])</f>
        <v>2</v>
      </c>
      <c r="L254">
        <f>DAY(CONTROLE_PILHAS[[#This Row],[DATA]])</f>
        <v>7</v>
      </c>
    </row>
    <row r="255" spans="1:12" x14ac:dyDescent="0.25">
      <c r="B255" s="36" t="s">
        <v>5</v>
      </c>
      <c r="C255" s="30">
        <v>44599</v>
      </c>
      <c r="D255" s="36" t="s">
        <v>189</v>
      </c>
      <c r="E255" s="36" t="s">
        <v>222</v>
      </c>
      <c r="F255" s="36" t="s">
        <v>194</v>
      </c>
      <c r="G255" s="36" t="s">
        <v>458</v>
      </c>
      <c r="H255" s="36">
        <v>1</v>
      </c>
      <c r="I255" t="s">
        <v>179</v>
      </c>
      <c r="J255">
        <f>YEAR(CONTROLE_PILHAS[[#This Row],[DATA]])</f>
        <v>2022</v>
      </c>
      <c r="K255">
        <f>MONTH(CONTROLE_PILHAS[[#This Row],[DATA]])</f>
        <v>2</v>
      </c>
      <c r="L255">
        <f>DAY(CONTROLE_PILHAS[[#This Row],[DATA]])</f>
        <v>7</v>
      </c>
    </row>
    <row r="256" spans="1:12" x14ac:dyDescent="0.25">
      <c r="B256" s="36" t="s">
        <v>9</v>
      </c>
      <c r="C256" s="30">
        <v>44599</v>
      </c>
      <c r="D256" s="36" t="s">
        <v>189</v>
      </c>
      <c r="E256" s="36" t="s">
        <v>222</v>
      </c>
      <c r="F256" s="36" t="s">
        <v>463</v>
      </c>
      <c r="G256" s="36" t="s">
        <v>458</v>
      </c>
      <c r="H256" s="36">
        <v>1</v>
      </c>
      <c r="I256" t="s">
        <v>179</v>
      </c>
      <c r="J256">
        <f>YEAR(CONTROLE_PILHAS[[#This Row],[DATA]])</f>
        <v>2022</v>
      </c>
      <c r="K256">
        <f>MONTH(CONTROLE_PILHAS[[#This Row],[DATA]])</f>
        <v>2</v>
      </c>
      <c r="L256">
        <f>DAY(CONTROLE_PILHAS[[#This Row],[DATA]])</f>
        <v>7</v>
      </c>
    </row>
    <row r="257" spans="2:12" x14ac:dyDescent="0.25">
      <c r="B257" s="36" t="s">
        <v>41</v>
      </c>
      <c r="C257" s="30">
        <v>44599</v>
      </c>
      <c r="D257" s="36" t="s">
        <v>189</v>
      </c>
      <c r="E257" s="36" t="s">
        <v>462</v>
      </c>
      <c r="F257" s="36" t="s">
        <v>463</v>
      </c>
      <c r="G257" s="36" t="s">
        <v>458</v>
      </c>
      <c r="H257" s="36">
        <v>1</v>
      </c>
      <c r="I257" t="s">
        <v>179</v>
      </c>
      <c r="J257">
        <f>YEAR(CONTROLE_PILHAS[[#This Row],[DATA]])</f>
        <v>2022</v>
      </c>
      <c r="K257">
        <f>MONTH(CONTROLE_PILHAS[[#This Row],[DATA]])</f>
        <v>2</v>
      </c>
      <c r="L257">
        <f>DAY(CONTROLE_PILHAS[[#This Row],[DATA]])</f>
        <v>7</v>
      </c>
    </row>
    <row r="258" spans="2:12" x14ac:dyDescent="0.25">
      <c r="B258" s="36" t="s">
        <v>98</v>
      </c>
      <c r="C258" s="30">
        <v>44599</v>
      </c>
      <c r="D258" s="36" t="s">
        <v>189</v>
      </c>
      <c r="E258" s="36" t="s">
        <v>462</v>
      </c>
      <c r="F258" s="36" t="s">
        <v>191</v>
      </c>
      <c r="G258" s="36" t="s">
        <v>458</v>
      </c>
      <c r="H258" s="36">
        <v>1</v>
      </c>
      <c r="I258" t="s">
        <v>179</v>
      </c>
      <c r="J258">
        <f>YEAR(CONTROLE_PILHAS[[#This Row],[DATA]])</f>
        <v>2022</v>
      </c>
      <c r="K258">
        <f>MONTH(CONTROLE_PILHAS[[#This Row],[DATA]])</f>
        <v>2</v>
      </c>
      <c r="L258">
        <f>DAY(CONTROLE_PILHAS[[#This Row],[DATA]])</f>
        <v>7</v>
      </c>
    </row>
    <row r="259" spans="2:12" x14ac:dyDescent="0.25">
      <c r="B259" s="36" t="s">
        <v>17</v>
      </c>
      <c r="C259" s="30">
        <v>44599</v>
      </c>
      <c r="D259" s="36" t="s">
        <v>189</v>
      </c>
      <c r="E259" s="36" t="s">
        <v>222</v>
      </c>
      <c r="F259" s="36" t="s">
        <v>194</v>
      </c>
      <c r="G259" s="36" t="s">
        <v>458</v>
      </c>
      <c r="H259" s="36">
        <v>1</v>
      </c>
      <c r="I259" t="s">
        <v>179</v>
      </c>
      <c r="J259">
        <f>YEAR(CONTROLE_PILHAS[[#This Row],[DATA]])</f>
        <v>2022</v>
      </c>
      <c r="K259">
        <f>MONTH(CONTROLE_PILHAS[[#This Row],[DATA]])</f>
        <v>2</v>
      </c>
      <c r="L259">
        <f>DAY(CONTROLE_PILHAS[[#This Row],[DATA]])</f>
        <v>7</v>
      </c>
    </row>
    <row r="260" spans="2:12" x14ac:dyDescent="0.25">
      <c r="B260" s="36" t="s">
        <v>4</v>
      </c>
      <c r="C260" s="30">
        <v>44600</v>
      </c>
      <c r="D260" s="36" t="s">
        <v>189</v>
      </c>
      <c r="E260" s="36" t="s">
        <v>462</v>
      </c>
      <c r="F260" s="36" t="s">
        <v>191</v>
      </c>
      <c r="G260" s="36" t="s">
        <v>458</v>
      </c>
      <c r="H260" s="36">
        <v>1</v>
      </c>
      <c r="I260" t="s">
        <v>179</v>
      </c>
      <c r="J260">
        <f>YEAR(CONTROLE_PILHAS[[#This Row],[DATA]])</f>
        <v>2022</v>
      </c>
      <c r="K260">
        <f>MONTH(CONTROLE_PILHAS[[#This Row],[DATA]])</f>
        <v>2</v>
      </c>
      <c r="L260">
        <f>DAY(CONTROLE_PILHAS[[#This Row],[DATA]])</f>
        <v>8</v>
      </c>
    </row>
    <row r="261" spans="2:12" x14ac:dyDescent="0.25">
      <c r="B261" s="36" t="s">
        <v>6</v>
      </c>
      <c r="C261" s="30">
        <v>44600</v>
      </c>
      <c r="D261" s="36" t="s">
        <v>189</v>
      </c>
      <c r="E261" s="36" t="s">
        <v>462</v>
      </c>
      <c r="F261" s="36" t="s">
        <v>191</v>
      </c>
      <c r="G261" s="36" t="s">
        <v>458</v>
      </c>
      <c r="H261" s="36">
        <v>1</v>
      </c>
      <c r="I261" t="s">
        <v>179</v>
      </c>
      <c r="J261">
        <f>YEAR(CONTROLE_PILHAS[[#This Row],[DATA]])</f>
        <v>2022</v>
      </c>
      <c r="K261">
        <f>MONTH(CONTROLE_PILHAS[[#This Row],[DATA]])</f>
        <v>2</v>
      </c>
      <c r="L261">
        <f>DAY(CONTROLE_PILHAS[[#This Row],[DATA]])</f>
        <v>8</v>
      </c>
    </row>
    <row r="262" spans="2:12" x14ac:dyDescent="0.25">
      <c r="B262" s="36" t="s">
        <v>15</v>
      </c>
      <c r="C262" s="30">
        <v>44601</v>
      </c>
      <c r="D262" s="36" t="s">
        <v>189</v>
      </c>
      <c r="E262" s="36" t="s">
        <v>222</v>
      </c>
      <c r="F262" s="36" t="s">
        <v>191</v>
      </c>
      <c r="G262" s="36" t="s">
        <v>458</v>
      </c>
      <c r="H262" s="36">
        <v>1</v>
      </c>
      <c r="I262" t="s">
        <v>179</v>
      </c>
      <c r="J262">
        <f>YEAR(CONTROLE_PILHAS[[#This Row],[DATA]])</f>
        <v>2022</v>
      </c>
      <c r="K262">
        <f>MONTH(CONTROLE_PILHAS[[#This Row],[DATA]])</f>
        <v>2</v>
      </c>
      <c r="L262">
        <f>DAY(CONTROLE_PILHAS[[#This Row],[DATA]])</f>
        <v>9</v>
      </c>
    </row>
    <row r="263" spans="2:12" x14ac:dyDescent="0.25">
      <c r="B263" s="36" t="s">
        <v>41</v>
      </c>
      <c r="C263" s="30">
        <v>44601</v>
      </c>
      <c r="D263" s="36" t="s">
        <v>189</v>
      </c>
      <c r="E263" s="36" t="s">
        <v>222</v>
      </c>
      <c r="F263" s="36" t="s">
        <v>191</v>
      </c>
      <c r="G263" s="36" t="s">
        <v>458</v>
      </c>
      <c r="H263" s="36">
        <v>1</v>
      </c>
      <c r="I263" t="s">
        <v>179</v>
      </c>
      <c r="J263">
        <f>YEAR(CONTROLE_PILHAS[[#This Row],[DATA]])</f>
        <v>2022</v>
      </c>
      <c r="K263">
        <f>MONTH(CONTROLE_PILHAS[[#This Row],[DATA]])</f>
        <v>2</v>
      </c>
      <c r="L263">
        <f>DAY(CONTROLE_PILHAS[[#This Row],[DATA]])</f>
        <v>9</v>
      </c>
    </row>
    <row r="264" spans="2:12" x14ac:dyDescent="0.25">
      <c r="B264" s="36" t="s">
        <v>40</v>
      </c>
      <c r="C264" s="30">
        <v>44601</v>
      </c>
      <c r="D264" s="36" t="s">
        <v>189</v>
      </c>
      <c r="E264" s="36" t="s">
        <v>462</v>
      </c>
      <c r="F264" s="36" t="s">
        <v>191</v>
      </c>
      <c r="G264" s="36" t="s">
        <v>458</v>
      </c>
      <c r="H264" s="36">
        <v>1</v>
      </c>
      <c r="I264" t="s">
        <v>179</v>
      </c>
      <c r="J264">
        <f>YEAR(CONTROLE_PILHAS[[#This Row],[DATA]])</f>
        <v>2022</v>
      </c>
      <c r="K264">
        <f>MONTH(CONTROLE_PILHAS[[#This Row],[DATA]])</f>
        <v>2</v>
      </c>
      <c r="L264">
        <f>DAY(CONTROLE_PILHAS[[#This Row],[DATA]])</f>
        <v>9</v>
      </c>
    </row>
    <row r="265" spans="2:12" x14ac:dyDescent="0.25">
      <c r="B265" s="36" t="s">
        <v>17</v>
      </c>
      <c r="C265" s="30">
        <v>44603</v>
      </c>
      <c r="D265" s="36" t="s">
        <v>189</v>
      </c>
      <c r="E265" s="36" t="s">
        <v>222</v>
      </c>
      <c r="F265" s="36" t="s">
        <v>191</v>
      </c>
      <c r="G265" s="36" t="s">
        <v>458</v>
      </c>
      <c r="H265" s="36">
        <v>1</v>
      </c>
      <c r="I265" t="s">
        <v>179</v>
      </c>
      <c r="J265">
        <f>YEAR(CONTROLE_PILHAS[[#This Row],[DATA]])</f>
        <v>2022</v>
      </c>
      <c r="K265">
        <f>MONTH(CONTROLE_PILHAS[[#This Row],[DATA]])</f>
        <v>2</v>
      </c>
      <c r="L265">
        <f>DAY(CONTROLE_PILHAS[[#This Row],[DATA]])</f>
        <v>11</v>
      </c>
    </row>
    <row r="266" spans="2:12" x14ac:dyDescent="0.25">
      <c r="B266" s="36" t="s">
        <v>18</v>
      </c>
      <c r="C266" s="30">
        <v>44603</v>
      </c>
      <c r="D266" s="36" t="s">
        <v>189</v>
      </c>
      <c r="E266" s="36" t="s">
        <v>462</v>
      </c>
      <c r="F266" s="36" t="s">
        <v>191</v>
      </c>
      <c r="G266" s="36" t="s">
        <v>458</v>
      </c>
      <c r="H266" s="36">
        <v>1</v>
      </c>
      <c r="I266" t="s">
        <v>179</v>
      </c>
      <c r="J266">
        <f>YEAR(CONTROLE_PILHAS[[#This Row],[DATA]])</f>
        <v>2022</v>
      </c>
      <c r="K266">
        <f>MONTH(CONTROLE_PILHAS[[#This Row],[DATA]])</f>
        <v>2</v>
      </c>
      <c r="L266">
        <f>DAY(CONTROLE_PILHAS[[#This Row],[DATA]])</f>
        <v>11</v>
      </c>
    </row>
    <row r="267" spans="2:12" x14ac:dyDescent="0.25">
      <c r="B267" s="36" t="s">
        <v>13</v>
      </c>
      <c r="C267" s="30">
        <v>44603</v>
      </c>
      <c r="D267" s="36" t="s">
        <v>189</v>
      </c>
      <c r="E267" s="36" t="s">
        <v>462</v>
      </c>
      <c r="F267" s="36" t="s">
        <v>191</v>
      </c>
      <c r="G267" s="36" t="s">
        <v>458</v>
      </c>
      <c r="H267" s="36">
        <v>1</v>
      </c>
      <c r="I267" t="s">
        <v>179</v>
      </c>
      <c r="J267">
        <f>YEAR(CONTROLE_PILHAS[[#This Row],[DATA]])</f>
        <v>2022</v>
      </c>
      <c r="K267">
        <f>MONTH(CONTROLE_PILHAS[[#This Row],[DATA]])</f>
        <v>2</v>
      </c>
      <c r="L267">
        <f>DAY(CONTROLE_PILHAS[[#This Row],[DATA]])</f>
        <v>11</v>
      </c>
    </row>
    <row r="268" spans="2:12" x14ac:dyDescent="0.25">
      <c r="B268" s="36" t="s">
        <v>41</v>
      </c>
      <c r="C268" s="30">
        <v>44603</v>
      </c>
      <c r="D268" s="36" t="s">
        <v>189</v>
      </c>
      <c r="E268" s="36" t="s">
        <v>462</v>
      </c>
      <c r="F268" s="36" t="s">
        <v>191</v>
      </c>
      <c r="G268" s="36" t="s">
        <v>458</v>
      </c>
      <c r="H268" s="36">
        <v>1</v>
      </c>
      <c r="I268" t="s">
        <v>179</v>
      </c>
      <c r="J268">
        <f>YEAR(CONTROLE_PILHAS[[#This Row],[DATA]])</f>
        <v>2022</v>
      </c>
      <c r="K268">
        <f>MONTH(CONTROLE_PILHAS[[#This Row],[DATA]])</f>
        <v>2</v>
      </c>
      <c r="L268">
        <f>DAY(CONTROLE_PILHAS[[#This Row],[DATA]])</f>
        <v>11</v>
      </c>
    </row>
    <row r="269" spans="2:12" x14ac:dyDescent="0.25">
      <c r="B269" s="36" t="s">
        <v>15</v>
      </c>
      <c r="C269" s="30">
        <v>44607</v>
      </c>
      <c r="D269" s="36" t="s">
        <v>189</v>
      </c>
      <c r="E269" s="36" t="s">
        <v>222</v>
      </c>
      <c r="F269" s="36" t="s">
        <v>191</v>
      </c>
      <c r="G269" s="36" t="s">
        <v>458</v>
      </c>
      <c r="H269" s="36">
        <v>1</v>
      </c>
      <c r="I269" t="s">
        <v>179</v>
      </c>
      <c r="J269">
        <f>YEAR(CONTROLE_PILHAS[[#This Row],[DATA]])</f>
        <v>2022</v>
      </c>
      <c r="K269">
        <f>MONTH(CONTROLE_PILHAS[[#This Row],[DATA]])</f>
        <v>2</v>
      </c>
      <c r="L269">
        <f>DAY(CONTROLE_PILHAS[[#This Row],[DATA]])</f>
        <v>15</v>
      </c>
    </row>
    <row r="270" spans="2:12" x14ac:dyDescent="0.25">
      <c r="B270" s="36" t="s">
        <v>19</v>
      </c>
      <c r="C270" s="30">
        <v>44607</v>
      </c>
      <c r="D270" s="36" t="s">
        <v>189</v>
      </c>
      <c r="E270" s="36" t="s">
        <v>222</v>
      </c>
      <c r="F270" s="36" t="s">
        <v>191</v>
      </c>
      <c r="G270" s="36" t="s">
        <v>458</v>
      </c>
      <c r="H270" s="36">
        <v>1</v>
      </c>
      <c r="I270" t="s">
        <v>179</v>
      </c>
      <c r="J270">
        <f>YEAR(CONTROLE_PILHAS[[#This Row],[DATA]])</f>
        <v>2022</v>
      </c>
      <c r="K270">
        <f>MONTH(CONTROLE_PILHAS[[#This Row],[DATA]])</f>
        <v>2</v>
      </c>
      <c r="L270">
        <f>DAY(CONTROLE_PILHAS[[#This Row],[DATA]])</f>
        <v>15</v>
      </c>
    </row>
    <row r="271" spans="2:12" x14ac:dyDescent="0.25">
      <c r="B271" s="36" t="s">
        <v>20</v>
      </c>
      <c r="C271" s="30">
        <v>44610</v>
      </c>
      <c r="D271" s="36" t="s">
        <v>189</v>
      </c>
      <c r="E271" s="36" t="s">
        <v>462</v>
      </c>
      <c r="F271" s="36" t="s">
        <v>191</v>
      </c>
      <c r="G271" s="36" t="s">
        <v>356</v>
      </c>
      <c r="H271" s="36">
        <v>1</v>
      </c>
      <c r="I271" t="s">
        <v>179</v>
      </c>
      <c r="J271">
        <f>YEAR(CONTROLE_PILHAS[[#This Row],[DATA]])</f>
        <v>2022</v>
      </c>
      <c r="K271">
        <f>MONTH(CONTROLE_PILHAS[[#This Row],[DATA]])</f>
        <v>2</v>
      </c>
      <c r="L271">
        <f>DAY(CONTROLE_PILHAS[[#This Row],[DATA]])</f>
        <v>18</v>
      </c>
    </row>
    <row r="272" spans="2:12" x14ac:dyDescent="0.25">
      <c r="B272" s="36" t="s">
        <v>9</v>
      </c>
      <c r="C272" s="30">
        <v>44610</v>
      </c>
      <c r="D272" s="36" t="s">
        <v>189</v>
      </c>
      <c r="E272" s="36" t="s">
        <v>462</v>
      </c>
      <c r="F272" s="36" t="s">
        <v>191</v>
      </c>
      <c r="G272" s="36" t="s">
        <v>191</v>
      </c>
      <c r="H272" s="36">
        <v>1</v>
      </c>
      <c r="I272" t="s">
        <v>179</v>
      </c>
      <c r="J272">
        <f>YEAR(CONTROLE_PILHAS[[#This Row],[DATA]])</f>
        <v>2022</v>
      </c>
      <c r="K272">
        <f>MONTH(CONTROLE_PILHAS[[#This Row],[DATA]])</f>
        <v>2</v>
      </c>
      <c r="L272">
        <f>DAY(CONTROLE_PILHAS[[#This Row],[DATA]])</f>
        <v>18</v>
      </c>
    </row>
    <row r="273" spans="2:12" x14ac:dyDescent="0.25">
      <c r="B273" s="36" t="s">
        <v>7</v>
      </c>
      <c r="C273" s="30">
        <v>44610</v>
      </c>
      <c r="D273" s="36" t="s">
        <v>189</v>
      </c>
      <c r="E273" s="36" t="s">
        <v>222</v>
      </c>
      <c r="F273" s="36" t="s">
        <v>191</v>
      </c>
      <c r="G273" s="36" t="s">
        <v>191</v>
      </c>
      <c r="H273" s="36">
        <v>1</v>
      </c>
      <c r="I273" t="s">
        <v>179</v>
      </c>
      <c r="J273">
        <f>YEAR(CONTROLE_PILHAS[[#This Row],[DATA]])</f>
        <v>2022</v>
      </c>
      <c r="K273">
        <f>MONTH(CONTROLE_PILHAS[[#This Row],[DATA]])</f>
        <v>2</v>
      </c>
      <c r="L273">
        <f>DAY(CONTROLE_PILHAS[[#This Row],[DATA]])</f>
        <v>18</v>
      </c>
    </row>
    <row r="274" spans="2:12" x14ac:dyDescent="0.25">
      <c r="B274" s="36" t="s">
        <v>5</v>
      </c>
      <c r="C274" s="30">
        <v>44614</v>
      </c>
      <c r="D274" s="36" t="s">
        <v>189</v>
      </c>
      <c r="E274" s="36" t="s">
        <v>222</v>
      </c>
      <c r="F274" s="36" t="s">
        <v>191</v>
      </c>
      <c r="G274" s="36" t="s">
        <v>356</v>
      </c>
      <c r="H274" s="36">
        <v>1</v>
      </c>
      <c r="I274" t="s">
        <v>179</v>
      </c>
      <c r="J274">
        <f>YEAR(CONTROLE_PILHAS[[#This Row],[DATA]])</f>
        <v>2022</v>
      </c>
      <c r="K274">
        <f>MONTH(CONTROLE_PILHAS[[#This Row],[DATA]])</f>
        <v>2</v>
      </c>
      <c r="L274">
        <f>DAY(CONTROLE_PILHAS[[#This Row],[DATA]])</f>
        <v>22</v>
      </c>
    </row>
    <row r="275" spans="2:12" x14ac:dyDescent="0.25">
      <c r="B275" s="36" t="s">
        <v>21</v>
      </c>
      <c r="C275" s="30">
        <v>44614</v>
      </c>
      <c r="D275" s="36" t="s">
        <v>189</v>
      </c>
      <c r="E275" s="36" t="s">
        <v>222</v>
      </c>
      <c r="F275" s="36" t="s">
        <v>191</v>
      </c>
      <c r="G275" s="36" t="s">
        <v>191</v>
      </c>
      <c r="H275" s="36">
        <v>1</v>
      </c>
      <c r="I275" t="s">
        <v>179</v>
      </c>
      <c r="J275">
        <f>YEAR(CONTROLE_PILHAS[[#This Row],[DATA]])</f>
        <v>2022</v>
      </c>
      <c r="K275">
        <f>MONTH(CONTROLE_PILHAS[[#This Row],[DATA]])</f>
        <v>2</v>
      </c>
      <c r="L275">
        <f>DAY(CONTROLE_PILHAS[[#This Row],[DATA]])</f>
        <v>22</v>
      </c>
    </row>
    <row r="276" spans="2:12" x14ac:dyDescent="0.25">
      <c r="B276" s="36" t="s">
        <v>14</v>
      </c>
      <c r="C276" s="30">
        <v>44614</v>
      </c>
      <c r="D276" s="36" t="s">
        <v>189</v>
      </c>
      <c r="E276" s="36" t="s">
        <v>462</v>
      </c>
      <c r="F276" s="36" t="s">
        <v>191</v>
      </c>
      <c r="G276" s="36" t="s">
        <v>191</v>
      </c>
      <c r="H276" s="36">
        <v>1</v>
      </c>
      <c r="I276" t="s">
        <v>179</v>
      </c>
      <c r="J276">
        <f>YEAR(CONTROLE_PILHAS[[#This Row],[DATA]])</f>
        <v>2022</v>
      </c>
      <c r="K276">
        <f>MONTH(CONTROLE_PILHAS[[#This Row],[DATA]])</f>
        <v>2</v>
      </c>
      <c r="L276">
        <f>DAY(CONTROLE_PILHAS[[#This Row],[DATA]])</f>
        <v>22</v>
      </c>
    </row>
    <row r="277" spans="2:12" x14ac:dyDescent="0.25">
      <c r="B277" s="36" t="s">
        <v>17</v>
      </c>
      <c r="C277" s="30">
        <v>44616</v>
      </c>
      <c r="D277" s="36" t="s">
        <v>189</v>
      </c>
      <c r="E277" s="36" t="s">
        <v>462</v>
      </c>
      <c r="F277" s="36" t="s">
        <v>191</v>
      </c>
      <c r="G277" s="36" t="s">
        <v>356</v>
      </c>
      <c r="H277" s="36">
        <v>1</v>
      </c>
      <c r="I277" t="s">
        <v>179</v>
      </c>
      <c r="J277">
        <f>YEAR(CONTROLE_PILHAS[[#This Row],[DATA]])</f>
        <v>2022</v>
      </c>
      <c r="K277">
        <f>MONTH(CONTROLE_PILHAS[[#This Row],[DATA]])</f>
        <v>2</v>
      </c>
      <c r="L277">
        <f>DAY(CONTROLE_PILHAS[[#This Row],[DATA]])</f>
        <v>24</v>
      </c>
    </row>
    <row r="278" spans="2:12" x14ac:dyDescent="0.25">
      <c r="B278" s="36" t="s">
        <v>18</v>
      </c>
      <c r="C278" s="30">
        <v>44616</v>
      </c>
      <c r="D278" s="36" t="s">
        <v>189</v>
      </c>
      <c r="E278" s="36" t="s">
        <v>462</v>
      </c>
      <c r="F278" s="36" t="s">
        <v>191</v>
      </c>
      <c r="G278" s="36" t="s">
        <v>356</v>
      </c>
      <c r="H278" s="36">
        <v>1</v>
      </c>
      <c r="I278" t="s">
        <v>179</v>
      </c>
      <c r="J278">
        <f>YEAR(CONTROLE_PILHAS[[#This Row],[DATA]])</f>
        <v>2022</v>
      </c>
      <c r="K278">
        <f>MONTH(CONTROLE_PILHAS[[#This Row],[DATA]])</f>
        <v>2</v>
      </c>
      <c r="L278">
        <f>DAY(CONTROLE_PILHAS[[#This Row],[DATA]])</f>
        <v>24</v>
      </c>
    </row>
    <row r="279" spans="2:12" x14ac:dyDescent="0.25">
      <c r="B279" s="36" t="s">
        <v>7</v>
      </c>
      <c r="C279" s="30">
        <v>44616</v>
      </c>
      <c r="D279" s="36" t="s">
        <v>189</v>
      </c>
      <c r="E279" s="36" t="s">
        <v>222</v>
      </c>
      <c r="F279" s="36" t="s">
        <v>191</v>
      </c>
      <c r="G279" s="36" t="s">
        <v>356</v>
      </c>
      <c r="H279" s="36">
        <v>1</v>
      </c>
      <c r="I279" t="s">
        <v>179</v>
      </c>
      <c r="J279">
        <f>YEAR(CONTROLE_PILHAS[[#This Row],[DATA]])</f>
        <v>2022</v>
      </c>
      <c r="K279">
        <f>MONTH(CONTROLE_PILHAS[[#This Row],[DATA]])</f>
        <v>2</v>
      </c>
      <c r="L279">
        <f>DAY(CONTROLE_PILHAS[[#This Row],[DATA]])</f>
        <v>24</v>
      </c>
    </row>
    <row r="280" spans="2:12" x14ac:dyDescent="0.25">
      <c r="B280" s="36" t="s">
        <v>6</v>
      </c>
      <c r="C280" s="30">
        <v>44616</v>
      </c>
      <c r="D280" s="36" t="s">
        <v>189</v>
      </c>
      <c r="E280" s="36" t="s">
        <v>462</v>
      </c>
      <c r="F280" s="36" t="s">
        <v>191</v>
      </c>
      <c r="G280" s="36" t="s">
        <v>356</v>
      </c>
      <c r="H280" s="36">
        <v>1</v>
      </c>
      <c r="I280" t="s">
        <v>179</v>
      </c>
      <c r="J280">
        <f>YEAR(CONTROLE_PILHAS[[#This Row],[DATA]])</f>
        <v>2022</v>
      </c>
      <c r="K280">
        <f>MONTH(CONTROLE_PILHAS[[#This Row],[DATA]])</f>
        <v>2</v>
      </c>
      <c r="L280">
        <f>DAY(CONTROLE_PILHAS[[#This Row],[DATA]])</f>
        <v>24</v>
      </c>
    </row>
    <row r="281" spans="2:12" x14ac:dyDescent="0.25">
      <c r="B281" s="36" t="s">
        <v>41</v>
      </c>
      <c r="C281" s="30">
        <v>44616</v>
      </c>
      <c r="D281" s="36" t="s">
        <v>189</v>
      </c>
      <c r="E281" s="36" t="s">
        <v>462</v>
      </c>
      <c r="F281" s="36" t="s">
        <v>191</v>
      </c>
      <c r="G281" s="36" t="s">
        <v>356</v>
      </c>
      <c r="H281" s="36">
        <v>1</v>
      </c>
      <c r="I281" t="s">
        <v>179</v>
      </c>
      <c r="J281">
        <f>YEAR(CONTROLE_PILHAS[[#This Row],[DATA]])</f>
        <v>2022</v>
      </c>
      <c r="K281">
        <f>MONTH(CONTROLE_PILHAS[[#This Row],[DATA]])</f>
        <v>2</v>
      </c>
      <c r="L281">
        <f>DAY(CONTROLE_PILHAS[[#This Row],[DATA]])</f>
        <v>24</v>
      </c>
    </row>
    <row r="282" spans="2:12" x14ac:dyDescent="0.25">
      <c r="B282" s="36" t="s">
        <v>7</v>
      </c>
      <c r="C282" s="30">
        <v>44616</v>
      </c>
      <c r="D282" s="36" t="s">
        <v>189</v>
      </c>
      <c r="E282" s="36" t="s">
        <v>222</v>
      </c>
      <c r="F282" s="36" t="s">
        <v>191</v>
      </c>
      <c r="G282" s="36" t="s">
        <v>191</v>
      </c>
      <c r="H282" s="36">
        <v>1</v>
      </c>
      <c r="I282" t="s">
        <v>179</v>
      </c>
      <c r="J282">
        <f>YEAR(CONTROLE_PILHAS[[#This Row],[DATA]])</f>
        <v>2022</v>
      </c>
      <c r="K282">
        <f>MONTH(CONTROLE_PILHAS[[#This Row],[DATA]])</f>
        <v>2</v>
      </c>
      <c r="L282">
        <f>DAY(CONTROLE_PILHAS[[#This Row],[DATA]])</f>
        <v>24</v>
      </c>
    </row>
    <row r="283" spans="2:12" x14ac:dyDescent="0.25">
      <c r="B283" s="36" t="s">
        <v>8</v>
      </c>
      <c r="C283" s="30">
        <v>44617</v>
      </c>
      <c r="D283" s="36" t="s">
        <v>189</v>
      </c>
      <c r="E283" s="36" t="s">
        <v>462</v>
      </c>
      <c r="F283" s="36" t="s">
        <v>191</v>
      </c>
      <c r="G283" s="36" t="s">
        <v>356</v>
      </c>
      <c r="H283" s="36">
        <v>1</v>
      </c>
      <c r="I283" t="s">
        <v>179</v>
      </c>
      <c r="J283">
        <f>YEAR(CONTROLE_PILHAS[[#This Row],[DATA]])</f>
        <v>2022</v>
      </c>
      <c r="K283">
        <f>MONTH(CONTROLE_PILHAS[[#This Row],[DATA]])</f>
        <v>2</v>
      </c>
      <c r="L283">
        <f>DAY(CONTROLE_PILHAS[[#This Row],[DATA]])</f>
        <v>25</v>
      </c>
    </row>
    <row r="284" spans="2:12" x14ac:dyDescent="0.25">
      <c r="B284" s="36" t="s">
        <v>4</v>
      </c>
      <c r="C284" s="30">
        <v>44620</v>
      </c>
      <c r="D284" s="36" t="s">
        <v>189</v>
      </c>
      <c r="E284" s="36" t="s">
        <v>222</v>
      </c>
      <c r="F284" s="36" t="s">
        <v>191</v>
      </c>
      <c r="G284" s="36" t="s">
        <v>356</v>
      </c>
      <c r="H284" s="36">
        <v>1</v>
      </c>
      <c r="I284" t="s">
        <v>179</v>
      </c>
      <c r="J284">
        <f>YEAR(CONTROLE_PILHAS[[#This Row],[DATA]])</f>
        <v>2022</v>
      </c>
      <c r="K284">
        <f>MONTH(CONTROLE_PILHAS[[#This Row],[DATA]])</f>
        <v>2</v>
      </c>
      <c r="L284">
        <f>DAY(CONTROLE_PILHAS[[#This Row],[DATA]])</f>
        <v>28</v>
      </c>
    </row>
    <row r="285" spans="2:12" x14ac:dyDescent="0.25">
      <c r="B285" s="36" t="s">
        <v>16</v>
      </c>
      <c r="C285" s="30">
        <v>44620</v>
      </c>
      <c r="D285" s="36" t="s">
        <v>189</v>
      </c>
      <c r="E285" s="36" t="s">
        <v>462</v>
      </c>
      <c r="F285" s="36" t="s">
        <v>191</v>
      </c>
      <c r="G285" s="36" t="s">
        <v>356</v>
      </c>
      <c r="H285" s="36">
        <v>1</v>
      </c>
      <c r="I285" t="s">
        <v>179</v>
      </c>
      <c r="J285">
        <f>YEAR(CONTROLE_PILHAS[[#This Row],[DATA]])</f>
        <v>2022</v>
      </c>
      <c r="K285">
        <f>MONTH(CONTROLE_PILHAS[[#This Row],[DATA]])</f>
        <v>2</v>
      </c>
      <c r="L285">
        <f>DAY(CONTROLE_PILHAS[[#This Row],[DATA]])</f>
        <v>28</v>
      </c>
    </row>
    <row r="286" spans="2:12" x14ac:dyDescent="0.25">
      <c r="B286" s="36" t="s">
        <v>20</v>
      </c>
      <c r="C286" s="30">
        <v>44620</v>
      </c>
      <c r="D286" s="36" t="s">
        <v>189</v>
      </c>
      <c r="E286" s="36" t="s">
        <v>222</v>
      </c>
      <c r="F286" s="36" t="s">
        <v>191</v>
      </c>
      <c r="G286" s="36" t="s">
        <v>356</v>
      </c>
      <c r="H286" s="36">
        <v>1</v>
      </c>
      <c r="I286" t="s">
        <v>179</v>
      </c>
      <c r="J286">
        <f>YEAR(CONTROLE_PILHAS[[#This Row],[DATA]])</f>
        <v>2022</v>
      </c>
      <c r="K286">
        <f>MONTH(CONTROLE_PILHAS[[#This Row],[DATA]])</f>
        <v>2</v>
      </c>
      <c r="L286">
        <f>DAY(CONTROLE_PILHAS[[#This Row],[DATA]])</f>
        <v>28</v>
      </c>
    </row>
    <row r="287" spans="2:12" x14ac:dyDescent="0.25">
      <c r="B287" s="36" t="s">
        <v>10</v>
      </c>
      <c r="C287" s="30">
        <v>44620</v>
      </c>
      <c r="D287" s="36" t="s">
        <v>189</v>
      </c>
      <c r="E287" s="36" t="s">
        <v>222</v>
      </c>
      <c r="F287" s="36" t="s">
        <v>191</v>
      </c>
      <c r="G287" s="36" t="s">
        <v>356</v>
      </c>
      <c r="H287" s="36">
        <v>1</v>
      </c>
      <c r="I287" t="s">
        <v>179</v>
      </c>
      <c r="J287">
        <f>YEAR(CONTROLE_PILHAS[[#This Row],[DATA]])</f>
        <v>2022</v>
      </c>
      <c r="K287">
        <f>MONTH(CONTROLE_PILHAS[[#This Row],[DATA]])</f>
        <v>2</v>
      </c>
      <c r="L287">
        <f>DAY(CONTROLE_PILHAS[[#This Row],[DATA]])</f>
        <v>28</v>
      </c>
    </row>
    <row r="288" spans="2:12" x14ac:dyDescent="0.25">
      <c r="B288" s="36" t="s">
        <v>22</v>
      </c>
      <c r="C288" s="30">
        <v>44620</v>
      </c>
      <c r="D288" s="36" t="s">
        <v>189</v>
      </c>
      <c r="E288" s="36" t="s">
        <v>462</v>
      </c>
      <c r="F288" s="36" t="s">
        <v>191</v>
      </c>
      <c r="G288" s="36" t="s">
        <v>356</v>
      </c>
      <c r="H288" s="36">
        <v>1</v>
      </c>
      <c r="I288" t="s">
        <v>179</v>
      </c>
      <c r="J288">
        <f>YEAR(CONTROLE_PILHAS[[#This Row],[DATA]])</f>
        <v>2022</v>
      </c>
      <c r="K288">
        <f>MONTH(CONTROLE_PILHAS[[#This Row],[DATA]])</f>
        <v>2</v>
      </c>
      <c r="L288">
        <f>DAY(CONTROLE_PILHAS[[#This Row],[DATA]])</f>
        <v>28</v>
      </c>
    </row>
    <row r="289" spans="2:12" x14ac:dyDescent="0.25">
      <c r="B289" s="36" t="s">
        <v>17</v>
      </c>
      <c r="C289" s="30">
        <v>44620</v>
      </c>
      <c r="D289" s="36" t="s">
        <v>189</v>
      </c>
      <c r="E289" s="36" t="s">
        <v>462</v>
      </c>
      <c r="F289" s="36" t="s">
        <v>191</v>
      </c>
      <c r="G289" s="36" t="s">
        <v>191</v>
      </c>
      <c r="H289" s="36">
        <v>1</v>
      </c>
      <c r="I289" t="s">
        <v>179</v>
      </c>
      <c r="J289">
        <f>YEAR(CONTROLE_PILHAS[[#This Row],[DATA]])</f>
        <v>2022</v>
      </c>
      <c r="K289">
        <f>MONTH(CONTROLE_PILHAS[[#This Row],[DATA]])</f>
        <v>2</v>
      </c>
      <c r="L289">
        <f>DAY(CONTROLE_PILHAS[[#This Row],[DATA]])</f>
        <v>28</v>
      </c>
    </row>
    <row r="290" spans="2:12" x14ac:dyDescent="0.25">
      <c r="B290" s="36" t="s">
        <v>14</v>
      </c>
      <c r="C290" s="30">
        <v>44620</v>
      </c>
      <c r="D290" s="36" t="s">
        <v>189</v>
      </c>
      <c r="E290" s="36" t="s">
        <v>462</v>
      </c>
      <c r="F290" s="36" t="s">
        <v>191</v>
      </c>
      <c r="G290" s="36" t="s">
        <v>356</v>
      </c>
      <c r="H290" s="36">
        <v>1</v>
      </c>
      <c r="I290" t="s">
        <v>179</v>
      </c>
      <c r="J290">
        <f>YEAR(CONTROLE_PILHAS[[#This Row],[DATA]])</f>
        <v>2022</v>
      </c>
      <c r="K290">
        <f>MONTH(CONTROLE_PILHAS[[#This Row],[DATA]])</f>
        <v>2</v>
      </c>
      <c r="L290">
        <f>DAY(CONTROLE_PILHAS[[#This Row],[DATA]])</f>
        <v>28</v>
      </c>
    </row>
    <row r="291" spans="2:12" x14ac:dyDescent="0.25">
      <c r="B291" s="36" t="s">
        <v>40</v>
      </c>
      <c r="C291" s="30">
        <v>44620</v>
      </c>
      <c r="D291" s="36" t="s">
        <v>189</v>
      </c>
      <c r="E291" s="36" t="s">
        <v>462</v>
      </c>
      <c r="F291" s="36" t="s">
        <v>191</v>
      </c>
      <c r="G291" s="36" t="s">
        <v>191</v>
      </c>
      <c r="H291" s="36">
        <v>1</v>
      </c>
      <c r="I291" t="s">
        <v>179</v>
      </c>
      <c r="J291">
        <f>YEAR(CONTROLE_PILHAS[[#This Row],[DATA]])</f>
        <v>2022</v>
      </c>
      <c r="K291">
        <f>MONTH(CONTROLE_PILHAS[[#This Row],[DATA]])</f>
        <v>2</v>
      </c>
      <c r="L291">
        <f>DAY(CONTROLE_PILHAS[[#This Row],[DATA]])</f>
        <v>28</v>
      </c>
    </row>
    <row r="292" spans="2:12" x14ac:dyDescent="0.25">
      <c r="B292" s="36" t="s">
        <v>5</v>
      </c>
      <c r="C292" s="30">
        <v>44620</v>
      </c>
      <c r="D292" s="36" t="s">
        <v>189</v>
      </c>
      <c r="E292" s="36" t="s">
        <v>462</v>
      </c>
      <c r="F292" s="36" t="s">
        <v>191</v>
      </c>
      <c r="G292" s="36" t="s">
        <v>191</v>
      </c>
      <c r="H292" s="36">
        <v>1</v>
      </c>
      <c r="I292" t="s">
        <v>179</v>
      </c>
      <c r="J292">
        <f>YEAR(CONTROLE_PILHAS[[#This Row],[DATA]])</f>
        <v>2022</v>
      </c>
      <c r="K292">
        <f>MONTH(CONTROLE_PILHAS[[#This Row],[DATA]])</f>
        <v>2</v>
      </c>
      <c r="L292">
        <f>DAY(CONTROLE_PILHAS[[#This Row],[DATA]])</f>
        <v>28</v>
      </c>
    </row>
    <row r="293" spans="2:12" x14ac:dyDescent="0.25">
      <c r="B293" s="36" t="s">
        <v>9</v>
      </c>
      <c r="C293" s="30">
        <v>44620</v>
      </c>
      <c r="D293" s="36" t="s">
        <v>189</v>
      </c>
      <c r="E293" s="36" t="s">
        <v>462</v>
      </c>
      <c r="F293" s="36" t="s">
        <v>191</v>
      </c>
      <c r="G293" s="36" t="s">
        <v>191</v>
      </c>
      <c r="H293" s="36">
        <v>1</v>
      </c>
      <c r="I293" t="s">
        <v>179</v>
      </c>
      <c r="J293">
        <f>YEAR(CONTROLE_PILHAS[[#This Row],[DATA]])</f>
        <v>2022</v>
      </c>
      <c r="K293">
        <f>MONTH(CONTROLE_PILHAS[[#This Row],[DATA]])</f>
        <v>2</v>
      </c>
      <c r="L293">
        <f>DAY(CONTROLE_PILHAS[[#This Row],[DATA]])</f>
        <v>28</v>
      </c>
    </row>
    <row r="294" spans="2:12" x14ac:dyDescent="0.25">
      <c r="B294" s="36" t="s">
        <v>41</v>
      </c>
      <c r="C294" s="30">
        <v>44620</v>
      </c>
      <c r="D294" s="36" t="s">
        <v>189</v>
      </c>
      <c r="E294" s="36" t="s">
        <v>222</v>
      </c>
      <c r="F294" s="36" t="s">
        <v>191</v>
      </c>
      <c r="G294" s="36" t="s">
        <v>191</v>
      </c>
      <c r="H294" s="36">
        <v>1</v>
      </c>
      <c r="I294" t="s">
        <v>179</v>
      </c>
      <c r="J294">
        <f>YEAR(CONTROLE_PILHAS[[#This Row],[DATA]])</f>
        <v>2022</v>
      </c>
      <c r="K294">
        <f>MONTH(CONTROLE_PILHAS[[#This Row],[DATA]])</f>
        <v>2</v>
      </c>
      <c r="L294">
        <f>DAY(CONTROLE_PILHAS[[#This Row],[DATA]])</f>
        <v>28</v>
      </c>
    </row>
    <row r="295" spans="2:12" x14ac:dyDescent="0.25">
      <c r="B295" s="36" t="s">
        <v>98</v>
      </c>
      <c r="C295" s="30">
        <v>44621</v>
      </c>
      <c r="D295" s="36" t="s">
        <v>189</v>
      </c>
      <c r="E295" s="36" t="s">
        <v>222</v>
      </c>
      <c r="F295" s="36" t="s">
        <v>191</v>
      </c>
      <c r="G295" s="36" t="s">
        <v>191</v>
      </c>
      <c r="H295" s="36">
        <v>1</v>
      </c>
      <c r="I295" t="s">
        <v>179</v>
      </c>
      <c r="J295">
        <f>YEAR(CONTROLE_PILHAS[[#This Row],[DATA]])</f>
        <v>2022</v>
      </c>
      <c r="K295">
        <f>MONTH(CONTROLE_PILHAS[[#This Row],[DATA]])</f>
        <v>3</v>
      </c>
      <c r="L295">
        <f>DAY(CONTROLE_PILHAS[[#This Row],[DATA]])</f>
        <v>1</v>
      </c>
    </row>
    <row r="296" spans="2:12" x14ac:dyDescent="0.25">
      <c r="B296" s="36" t="s">
        <v>17</v>
      </c>
      <c r="C296" s="30">
        <v>44621</v>
      </c>
      <c r="D296" s="36" t="s">
        <v>189</v>
      </c>
      <c r="E296" s="36" t="s">
        <v>462</v>
      </c>
      <c r="F296" s="36" t="s">
        <v>191</v>
      </c>
      <c r="G296" s="36" t="s">
        <v>191</v>
      </c>
      <c r="H296" s="36">
        <v>1</v>
      </c>
      <c r="I296" t="s">
        <v>179</v>
      </c>
      <c r="J296">
        <f>YEAR(CONTROLE_PILHAS[[#This Row],[DATA]])</f>
        <v>2022</v>
      </c>
      <c r="K296">
        <f>MONTH(CONTROLE_PILHAS[[#This Row],[DATA]])</f>
        <v>3</v>
      </c>
      <c r="L296">
        <f>DAY(CONTROLE_PILHAS[[#This Row],[DATA]])</f>
        <v>1</v>
      </c>
    </row>
    <row r="297" spans="2:12" x14ac:dyDescent="0.25">
      <c r="B297" s="36" t="s">
        <v>4</v>
      </c>
      <c r="C297" s="30">
        <v>44621</v>
      </c>
      <c r="D297" s="36" t="s">
        <v>189</v>
      </c>
      <c r="E297" s="36" t="s">
        <v>222</v>
      </c>
      <c r="F297" s="36" t="s">
        <v>191</v>
      </c>
      <c r="G297" s="36" t="s">
        <v>191</v>
      </c>
      <c r="H297" s="36">
        <v>1</v>
      </c>
      <c r="I297" t="s">
        <v>179</v>
      </c>
      <c r="J297">
        <f>YEAR(CONTROLE_PILHAS[[#This Row],[DATA]])</f>
        <v>2022</v>
      </c>
      <c r="K297">
        <f>MONTH(CONTROLE_PILHAS[[#This Row],[DATA]])</f>
        <v>3</v>
      </c>
      <c r="L297">
        <f>DAY(CONTROLE_PILHAS[[#This Row],[DATA]])</f>
        <v>1</v>
      </c>
    </row>
    <row r="298" spans="2:12" x14ac:dyDescent="0.25">
      <c r="B298" s="36" t="s">
        <v>15</v>
      </c>
      <c r="C298" s="30">
        <v>44621</v>
      </c>
      <c r="D298" s="36" t="s">
        <v>189</v>
      </c>
      <c r="E298" s="36" t="s">
        <v>462</v>
      </c>
      <c r="F298" s="36" t="s">
        <v>191</v>
      </c>
      <c r="G298" s="36" t="s">
        <v>191</v>
      </c>
      <c r="H298" s="36">
        <v>1</v>
      </c>
      <c r="I298" t="s">
        <v>179</v>
      </c>
      <c r="J298">
        <f>YEAR(CONTROLE_PILHAS[[#This Row],[DATA]])</f>
        <v>2022</v>
      </c>
      <c r="K298">
        <f>MONTH(CONTROLE_PILHAS[[#This Row],[DATA]])</f>
        <v>3</v>
      </c>
      <c r="L298">
        <f>DAY(CONTROLE_PILHAS[[#This Row],[DATA]])</f>
        <v>1</v>
      </c>
    </row>
    <row r="299" spans="2:12" x14ac:dyDescent="0.25">
      <c r="B299" s="36" t="s">
        <v>41</v>
      </c>
      <c r="C299" s="30">
        <v>44623</v>
      </c>
      <c r="D299" s="36" t="s">
        <v>189</v>
      </c>
      <c r="E299" s="36" t="s">
        <v>462</v>
      </c>
      <c r="F299" s="36" t="s">
        <v>191</v>
      </c>
      <c r="G299" s="36" t="s">
        <v>191</v>
      </c>
      <c r="H299" s="36">
        <v>1</v>
      </c>
      <c r="I299" t="s">
        <v>179</v>
      </c>
      <c r="J299">
        <f>YEAR(CONTROLE_PILHAS[[#This Row],[DATA]])</f>
        <v>2022</v>
      </c>
      <c r="K299">
        <f>MONTH(CONTROLE_PILHAS[[#This Row],[DATA]])</f>
        <v>3</v>
      </c>
      <c r="L299">
        <f>DAY(CONTROLE_PILHAS[[#This Row],[DATA]])</f>
        <v>3</v>
      </c>
    </row>
    <row r="300" spans="2:12" x14ac:dyDescent="0.25">
      <c r="B300" s="36" t="s">
        <v>19</v>
      </c>
      <c r="C300" s="30">
        <v>44623</v>
      </c>
      <c r="D300" s="36" t="s">
        <v>189</v>
      </c>
      <c r="E300" s="36" t="s">
        <v>222</v>
      </c>
      <c r="F300" s="36" t="s">
        <v>191</v>
      </c>
      <c r="G300" s="36" t="s">
        <v>191</v>
      </c>
      <c r="H300" s="36">
        <v>1</v>
      </c>
      <c r="I300" t="s">
        <v>179</v>
      </c>
      <c r="J300">
        <f>YEAR(CONTROLE_PILHAS[[#This Row],[DATA]])</f>
        <v>2022</v>
      </c>
      <c r="K300">
        <f>MONTH(CONTROLE_PILHAS[[#This Row],[DATA]])</f>
        <v>3</v>
      </c>
      <c r="L300">
        <f>DAY(CONTROLE_PILHAS[[#This Row],[DATA]])</f>
        <v>3</v>
      </c>
    </row>
    <row r="301" spans="2:12" x14ac:dyDescent="0.25">
      <c r="B301" s="36" t="s">
        <v>4</v>
      </c>
      <c r="C301" s="30">
        <v>44624</v>
      </c>
      <c r="D301" s="36" t="s">
        <v>189</v>
      </c>
      <c r="E301" s="36" t="s">
        <v>462</v>
      </c>
      <c r="F301" s="36" t="s">
        <v>191</v>
      </c>
      <c r="G301" s="36" t="s">
        <v>191</v>
      </c>
      <c r="H301" s="36">
        <v>1</v>
      </c>
      <c r="I301" t="s">
        <v>179</v>
      </c>
      <c r="J301">
        <f>YEAR(CONTROLE_PILHAS[[#This Row],[DATA]])</f>
        <v>2022</v>
      </c>
      <c r="K301">
        <f>MONTH(CONTROLE_PILHAS[[#This Row],[DATA]])</f>
        <v>3</v>
      </c>
      <c r="L301">
        <f>DAY(CONTROLE_PILHAS[[#This Row],[DATA]])</f>
        <v>4</v>
      </c>
    </row>
    <row r="302" spans="2:12" x14ac:dyDescent="0.25">
      <c r="B302" s="36" t="s">
        <v>18</v>
      </c>
      <c r="C302" s="30">
        <v>44624</v>
      </c>
      <c r="D302" s="36" t="s">
        <v>189</v>
      </c>
      <c r="E302" s="36" t="s">
        <v>462</v>
      </c>
      <c r="F302" s="36" t="s">
        <v>191</v>
      </c>
      <c r="G302" s="36" t="s">
        <v>191</v>
      </c>
      <c r="H302" s="36">
        <v>1</v>
      </c>
      <c r="I302" t="s">
        <v>179</v>
      </c>
      <c r="J302">
        <f>YEAR(CONTROLE_PILHAS[[#This Row],[DATA]])</f>
        <v>2022</v>
      </c>
      <c r="K302">
        <f>MONTH(CONTROLE_PILHAS[[#This Row],[DATA]])</f>
        <v>3</v>
      </c>
      <c r="L302">
        <f>DAY(CONTROLE_PILHAS[[#This Row],[DATA]])</f>
        <v>4</v>
      </c>
    </row>
    <row r="303" spans="2:12" x14ac:dyDescent="0.25">
      <c r="B303" s="36" t="s">
        <v>13</v>
      </c>
      <c r="C303" s="30">
        <v>44624</v>
      </c>
      <c r="D303" s="36" t="s">
        <v>189</v>
      </c>
      <c r="E303" s="36" t="s">
        <v>222</v>
      </c>
      <c r="F303" s="36" t="s">
        <v>191</v>
      </c>
      <c r="G303" s="36" t="s">
        <v>191</v>
      </c>
      <c r="H303" s="36">
        <v>1</v>
      </c>
      <c r="I303" t="s">
        <v>179</v>
      </c>
      <c r="J303">
        <f>YEAR(CONTROLE_PILHAS[[#This Row],[DATA]])</f>
        <v>2022</v>
      </c>
      <c r="K303">
        <f>MONTH(CONTROLE_PILHAS[[#This Row],[DATA]])</f>
        <v>3</v>
      </c>
      <c r="L303">
        <f>DAY(CONTROLE_PILHAS[[#This Row],[DATA]])</f>
        <v>4</v>
      </c>
    </row>
    <row r="304" spans="2:12" x14ac:dyDescent="0.25">
      <c r="B304" s="36" t="s">
        <v>41</v>
      </c>
      <c r="C304" s="30">
        <v>44628</v>
      </c>
      <c r="D304" s="36" t="s">
        <v>189</v>
      </c>
      <c r="E304" s="36" t="s">
        <v>462</v>
      </c>
      <c r="F304" s="36" t="s">
        <v>793</v>
      </c>
      <c r="G304" s="36" t="s">
        <v>191</v>
      </c>
      <c r="H304" s="36">
        <v>1</v>
      </c>
      <c r="I304" t="s">
        <v>179</v>
      </c>
      <c r="J304">
        <f>YEAR(CONTROLE_PILHAS[[#This Row],[DATA]])</f>
        <v>2022</v>
      </c>
      <c r="K304">
        <f>MONTH(CONTROLE_PILHAS[[#This Row],[DATA]])</f>
        <v>3</v>
      </c>
      <c r="L304">
        <f>DAY(CONTROLE_PILHAS[[#This Row],[DATA]])</f>
        <v>8</v>
      </c>
    </row>
    <row r="305" spans="2:12" x14ac:dyDescent="0.25">
      <c r="B305" s="36" t="s">
        <v>15</v>
      </c>
      <c r="C305" s="30">
        <v>44628</v>
      </c>
      <c r="D305" s="36" t="s">
        <v>189</v>
      </c>
      <c r="E305" s="36" t="s">
        <v>222</v>
      </c>
      <c r="F305" s="36" t="s">
        <v>191</v>
      </c>
      <c r="G305" s="36" t="s">
        <v>191</v>
      </c>
      <c r="H305" s="36">
        <v>1</v>
      </c>
      <c r="I305" t="s">
        <v>179</v>
      </c>
      <c r="J305">
        <f>YEAR(CONTROLE_PILHAS[[#This Row],[DATA]])</f>
        <v>2022</v>
      </c>
      <c r="K305">
        <f>MONTH(CONTROLE_PILHAS[[#This Row],[DATA]])</f>
        <v>3</v>
      </c>
      <c r="L305">
        <f>DAY(CONTROLE_PILHAS[[#This Row],[DATA]])</f>
        <v>8</v>
      </c>
    </row>
    <row r="306" spans="2:12" x14ac:dyDescent="0.25">
      <c r="B306" s="36" t="s">
        <v>19</v>
      </c>
      <c r="C306" s="30">
        <v>44628</v>
      </c>
      <c r="D306" s="36" t="s">
        <v>189</v>
      </c>
      <c r="E306" s="36" t="s">
        <v>462</v>
      </c>
      <c r="F306" s="36" t="s">
        <v>191</v>
      </c>
      <c r="G306" s="36" t="s">
        <v>191</v>
      </c>
      <c r="H306" s="36">
        <v>1</v>
      </c>
      <c r="I306" t="s">
        <v>179</v>
      </c>
      <c r="J306">
        <f>YEAR(CONTROLE_PILHAS[[#This Row],[DATA]])</f>
        <v>2022</v>
      </c>
      <c r="K306">
        <f>MONTH(CONTROLE_PILHAS[[#This Row],[DATA]])</f>
        <v>3</v>
      </c>
      <c r="L306">
        <f>DAY(CONTROLE_PILHAS[[#This Row],[DATA]])</f>
        <v>8</v>
      </c>
    </row>
    <row r="307" spans="2:12" x14ac:dyDescent="0.25">
      <c r="B307" s="36" t="s">
        <v>20</v>
      </c>
      <c r="C307" s="30">
        <v>44628</v>
      </c>
      <c r="D307" s="36" t="s">
        <v>189</v>
      </c>
      <c r="E307" s="36" t="s">
        <v>462</v>
      </c>
      <c r="F307" s="36" t="s">
        <v>191</v>
      </c>
      <c r="G307" s="36" t="s">
        <v>191</v>
      </c>
      <c r="H307" s="36">
        <v>1</v>
      </c>
      <c r="I307" t="s">
        <v>179</v>
      </c>
      <c r="J307">
        <f>YEAR(CONTROLE_PILHAS[[#This Row],[DATA]])</f>
        <v>2022</v>
      </c>
      <c r="K307">
        <f>MONTH(CONTROLE_PILHAS[[#This Row],[DATA]])</f>
        <v>3</v>
      </c>
      <c r="L307">
        <f>DAY(CONTROLE_PILHAS[[#This Row],[DATA]])</f>
        <v>8</v>
      </c>
    </row>
    <row r="308" spans="2:12" x14ac:dyDescent="0.25">
      <c r="B308" s="36" t="s">
        <v>9</v>
      </c>
      <c r="C308" s="30">
        <v>44628</v>
      </c>
      <c r="D308" s="36" t="s">
        <v>189</v>
      </c>
      <c r="E308" s="36" t="s">
        <v>462</v>
      </c>
      <c r="F308" s="36" t="s">
        <v>191</v>
      </c>
      <c r="G308" s="36" t="s">
        <v>191</v>
      </c>
      <c r="H308" s="36">
        <v>1</v>
      </c>
      <c r="I308" t="s">
        <v>179</v>
      </c>
      <c r="J308">
        <f>YEAR(CONTROLE_PILHAS[[#This Row],[DATA]])</f>
        <v>2022</v>
      </c>
      <c r="K308">
        <f>MONTH(CONTROLE_PILHAS[[#This Row],[DATA]])</f>
        <v>3</v>
      </c>
      <c r="L308">
        <f>DAY(CONTROLE_PILHAS[[#This Row],[DATA]])</f>
        <v>8</v>
      </c>
    </row>
    <row r="309" spans="2:12" x14ac:dyDescent="0.25">
      <c r="B309" s="36" t="s">
        <v>7</v>
      </c>
      <c r="C309" s="30">
        <v>44628</v>
      </c>
      <c r="D309" s="36" t="s">
        <v>189</v>
      </c>
      <c r="E309" s="36" t="s">
        <v>190</v>
      </c>
      <c r="F309" s="36" t="s">
        <v>191</v>
      </c>
      <c r="G309" s="36" t="s">
        <v>191</v>
      </c>
      <c r="H309" s="36">
        <v>1</v>
      </c>
      <c r="I309" t="s">
        <v>179</v>
      </c>
      <c r="J309">
        <f>YEAR(CONTROLE_PILHAS[[#This Row],[DATA]])</f>
        <v>2022</v>
      </c>
      <c r="K309">
        <f>MONTH(CONTROLE_PILHAS[[#This Row],[DATA]])</f>
        <v>3</v>
      </c>
      <c r="L309">
        <f>DAY(CONTROLE_PILHAS[[#This Row],[DATA]])</f>
        <v>8</v>
      </c>
    </row>
    <row r="310" spans="2:12" x14ac:dyDescent="0.25">
      <c r="B310" s="36" t="s">
        <v>5</v>
      </c>
      <c r="C310" s="30">
        <v>44631</v>
      </c>
      <c r="D310" s="36" t="s">
        <v>189</v>
      </c>
      <c r="E310" s="36" t="s">
        <v>462</v>
      </c>
      <c r="F310" s="36" t="s">
        <v>191</v>
      </c>
      <c r="G310" s="36" t="s">
        <v>191</v>
      </c>
      <c r="H310" s="36">
        <v>1</v>
      </c>
      <c r="I310" t="s">
        <v>179</v>
      </c>
      <c r="J310">
        <f>YEAR(CONTROLE_PILHAS[[#This Row],[DATA]])</f>
        <v>2022</v>
      </c>
      <c r="K310">
        <f>MONTH(CONTROLE_PILHAS[[#This Row],[DATA]])</f>
        <v>3</v>
      </c>
      <c r="L310">
        <f>DAY(CONTROLE_PILHAS[[#This Row],[DATA]])</f>
        <v>11</v>
      </c>
    </row>
    <row r="311" spans="2:12" x14ac:dyDescent="0.25">
      <c r="B311" s="36" t="s">
        <v>21</v>
      </c>
      <c r="C311" s="30">
        <v>44631</v>
      </c>
      <c r="D311" s="36" t="s">
        <v>189</v>
      </c>
      <c r="E311" s="36" t="s">
        <v>462</v>
      </c>
      <c r="F311" s="36" t="s">
        <v>191</v>
      </c>
      <c r="G311" s="36" t="s">
        <v>191</v>
      </c>
      <c r="H311" s="36">
        <v>1</v>
      </c>
      <c r="I311" t="s">
        <v>179</v>
      </c>
      <c r="J311">
        <f>YEAR(CONTROLE_PILHAS[[#This Row],[DATA]])</f>
        <v>2022</v>
      </c>
      <c r="K311">
        <f>MONTH(CONTROLE_PILHAS[[#This Row],[DATA]])</f>
        <v>3</v>
      </c>
      <c r="L311">
        <f>DAY(CONTROLE_PILHAS[[#This Row],[DATA]])</f>
        <v>11</v>
      </c>
    </row>
    <row r="312" spans="2:12" x14ac:dyDescent="0.25">
      <c r="B312" s="36" t="s">
        <v>14</v>
      </c>
      <c r="C312" s="30">
        <v>44631</v>
      </c>
      <c r="D312" s="36" t="s">
        <v>189</v>
      </c>
      <c r="E312" s="36" t="s">
        <v>222</v>
      </c>
      <c r="F312" s="36" t="s">
        <v>191</v>
      </c>
      <c r="G312" s="36" t="s">
        <v>191</v>
      </c>
      <c r="H312" s="36">
        <v>1</v>
      </c>
      <c r="I312" t="s">
        <v>179</v>
      </c>
      <c r="J312">
        <f>YEAR(CONTROLE_PILHAS[[#This Row],[DATA]])</f>
        <v>2022</v>
      </c>
      <c r="K312">
        <f>MONTH(CONTROLE_PILHAS[[#This Row],[DATA]])</f>
        <v>3</v>
      </c>
      <c r="L312">
        <f>DAY(CONTROLE_PILHAS[[#This Row],[DATA]])</f>
        <v>11</v>
      </c>
    </row>
    <row r="313" spans="2:12" x14ac:dyDescent="0.25">
      <c r="B313" s="36" t="s">
        <v>17</v>
      </c>
      <c r="C313" s="30">
        <v>44634</v>
      </c>
      <c r="D313" s="36" t="s">
        <v>189</v>
      </c>
      <c r="E313" s="36" t="s">
        <v>222</v>
      </c>
      <c r="F313" s="36" t="s">
        <v>191</v>
      </c>
      <c r="G313" s="36" t="s">
        <v>191</v>
      </c>
      <c r="H313" s="36">
        <v>1</v>
      </c>
      <c r="I313" t="s">
        <v>179</v>
      </c>
      <c r="J313">
        <f>YEAR(CONTROLE_PILHAS[[#This Row],[DATA]])</f>
        <v>2022</v>
      </c>
      <c r="K313">
        <f>MONTH(CONTROLE_PILHAS[[#This Row],[DATA]])</f>
        <v>3</v>
      </c>
      <c r="L313">
        <f>DAY(CONTROLE_PILHAS[[#This Row],[DATA]])</f>
        <v>14</v>
      </c>
    </row>
    <row r="314" spans="2:12" x14ac:dyDescent="0.25">
      <c r="B314" s="36" t="s">
        <v>18</v>
      </c>
      <c r="C314" s="30">
        <v>44634</v>
      </c>
      <c r="D314" s="36" t="s">
        <v>189</v>
      </c>
      <c r="E314" s="36" t="s">
        <v>462</v>
      </c>
      <c r="F314" s="36" t="s">
        <v>191</v>
      </c>
      <c r="G314" s="36" t="s">
        <v>191</v>
      </c>
      <c r="H314" s="36">
        <v>1</v>
      </c>
      <c r="I314" t="s">
        <v>179</v>
      </c>
      <c r="J314">
        <f>YEAR(CONTROLE_PILHAS[[#This Row],[DATA]])</f>
        <v>2022</v>
      </c>
      <c r="K314">
        <f>MONTH(CONTROLE_PILHAS[[#This Row],[DATA]])</f>
        <v>3</v>
      </c>
      <c r="L314">
        <f>DAY(CONTROLE_PILHAS[[#This Row],[DATA]])</f>
        <v>14</v>
      </c>
    </row>
    <row r="315" spans="2:12" x14ac:dyDescent="0.25">
      <c r="B315" s="36" t="s">
        <v>22</v>
      </c>
      <c r="C315" s="30">
        <v>44636</v>
      </c>
      <c r="D315" s="36" t="s">
        <v>189</v>
      </c>
      <c r="E315" s="36" t="s">
        <v>222</v>
      </c>
      <c r="F315" s="36" t="s">
        <v>793</v>
      </c>
      <c r="G315" s="36" t="s">
        <v>191</v>
      </c>
      <c r="H315" s="36">
        <v>1</v>
      </c>
      <c r="I315" t="s">
        <v>179</v>
      </c>
      <c r="J315">
        <f>YEAR(CONTROLE_PILHAS[[#This Row],[DATA]])</f>
        <v>2022</v>
      </c>
      <c r="K315">
        <f>MONTH(CONTROLE_PILHAS[[#This Row],[DATA]])</f>
        <v>3</v>
      </c>
      <c r="L315">
        <f>DAY(CONTROLE_PILHAS[[#This Row],[DATA]])</f>
        <v>16</v>
      </c>
    </row>
    <row r="316" spans="2:12" x14ac:dyDescent="0.25">
      <c r="B316" s="36" t="s">
        <v>19</v>
      </c>
      <c r="C316" s="30">
        <v>44636</v>
      </c>
      <c r="D316" s="36" t="s">
        <v>189</v>
      </c>
      <c r="E316" s="36" t="s">
        <v>222</v>
      </c>
      <c r="F316" s="36" t="s">
        <v>191</v>
      </c>
      <c r="G316" s="36" t="s">
        <v>191</v>
      </c>
      <c r="H316" s="36">
        <v>1</v>
      </c>
      <c r="I316" t="s">
        <v>179</v>
      </c>
      <c r="J316">
        <f>YEAR(CONTROLE_PILHAS[[#This Row],[DATA]])</f>
        <v>2022</v>
      </c>
      <c r="K316">
        <f>MONTH(CONTROLE_PILHAS[[#This Row],[DATA]])</f>
        <v>3</v>
      </c>
      <c r="L316">
        <f>DAY(CONTROLE_PILHAS[[#This Row],[DATA]])</f>
        <v>16</v>
      </c>
    </row>
    <row r="317" spans="2:12" x14ac:dyDescent="0.25">
      <c r="B317" s="36" t="s">
        <v>41</v>
      </c>
      <c r="C317" s="30">
        <v>44636</v>
      </c>
      <c r="D317" s="36" t="s">
        <v>189</v>
      </c>
      <c r="E317" s="36" t="s">
        <v>462</v>
      </c>
      <c r="F317" s="36" t="s">
        <v>191</v>
      </c>
      <c r="G317" s="36" t="s">
        <v>191</v>
      </c>
      <c r="H317" s="36">
        <v>1</v>
      </c>
      <c r="I317" t="s">
        <v>179</v>
      </c>
      <c r="J317">
        <f>YEAR(CONTROLE_PILHAS[[#This Row],[DATA]])</f>
        <v>2022</v>
      </c>
      <c r="K317">
        <f>MONTH(CONTROLE_PILHAS[[#This Row],[DATA]])</f>
        <v>3</v>
      </c>
      <c r="L317">
        <f>DAY(CONTROLE_PILHAS[[#This Row],[DATA]])</f>
        <v>16</v>
      </c>
    </row>
    <row r="318" spans="2:12" x14ac:dyDescent="0.25">
      <c r="B318" s="36" t="s">
        <v>7</v>
      </c>
      <c r="C318" s="30">
        <v>44636</v>
      </c>
      <c r="D318" s="36" t="s">
        <v>189</v>
      </c>
      <c r="E318" s="36" t="s">
        <v>222</v>
      </c>
      <c r="F318" s="36" t="s">
        <v>191</v>
      </c>
      <c r="G318" s="36" t="s">
        <v>191</v>
      </c>
      <c r="H318" s="36">
        <v>1</v>
      </c>
      <c r="I318" t="s">
        <v>179</v>
      </c>
      <c r="J318">
        <f>YEAR(CONTROLE_PILHAS[[#This Row],[DATA]])</f>
        <v>2022</v>
      </c>
      <c r="K318">
        <f>MONTH(CONTROLE_PILHAS[[#This Row],[DATA]])</f>
        <v>3</v>
      </c>
      <c r="L318">
        <f>DAY(CONTROLE_PILHAS[[#This Row],[DATA]])</f>
        <v>16</v>
      </c>
    </row>
    <row r="319" spans="2:12" x14ac:dyDescent="0.25">
      <c r="B319" s="36" t="s">
        <v>10</v>
      </c>
      <c r="C319" s="30">
        <v>44636</v>
      </c>
      <c r="D319" s="36" t="s">
        <v>189</v>
      </c>
      <c r="E319" s="36" t="s">
        <v>462</v>
      </c>
      <c r="F319" s="36" t="s">
        <v>191</v>
      </c>
      <c r="G319" s="36" t="s">
        <v>191</v>
      </c>
      <c r="H319" s="36">
        <v>1</v>
      </c>
      <c r="I319" t="s">
        <v>179</v>
      </c>
      <c r="J319">
        <f>YEAR(CONTROLE_PILHAS[[#This Row],[DATA]])</f>
        <v>2022</v>
      </c>
      <c r="K319">
        <f>MONTH(CONTROLE_PILHAS[[#This Row],[DATA]])</f>
        <v>3</v>
      </c>
      <c r="L319">
        <f>DAY(CONTROLE_PILHAS[[#This Row],[DATA]])</f>
        <v>16</v>
      </c>
    </row>
    <row r="320" spans="2:12" x14ac:dyDescent="0.25">
      <c r="B320" s="36" t="s">
        <v>5</v>
      </c>
      <c r="C320" s="30">
        <v>44636</v>
      </c>
      <c r="D320" s="36" t="s">
        <v>189</v>
      </c>
      <c r="E320" s="36" t="s">
        <v>222</v>
      </c>
      <c r="F320" s="36" t="s">
        <v>191</v>
      </c>
      <c r="G320" s="36" t="s">
        <v>191</v>
      </c>
      <c r="H320" s="36">
        <v>1</v>
      </c>
      <c r="I320" t="s">
        <v>179</v>
      </c>
      <c r="J320">
        <f>YEAR(CONTROLE_PILHAS[[#This Row],[DATA]])</f>
        <v>2022</v>
      </c>
      <c r="K320">
        <f>MONTH(CONTROLE_PILHAS[[#This Row],[DATA]])</f>
        <v>3</v>
      </c>
      <c r="L320">
        <f>DAY(CONTROLE_PILHAS[[#This Row],[DATA]])</f>
        <v>16</v>
      </c>
    </row>
    <row r="321" spans="2:12" x14ac:dyDescent="0.25">
      <c r="B321" s="36" t="s">
        <v>112</v>
      </c>
      <c r="C321" s="30">
        <v>44642</v>
      </c>
      <c r="D321" s="36" t="s">
        <v>189</v>
      </c>
      <c r="E321" s="36" t="s">
        <v>462</v>
      </c>
      <c r="F321" s="36" t="s">
        <v>191</v>
      </c>
      <c r="G321" s="36" t="s">
        <v>191</v>
      </c>
      <c r="H321" s="36">
        <v>1</v>
      </c>
      <c r="I321" t="s">
        <v>179</v>
      </c>
      <c r="J321">
        <f>YEAR(CONTROLE_PILHAS[[#This Row],[DATA]])</f>
        <v>2022</v>
      </c>
      <c r="K321">
        <f>MONTH(CONTROLE_PILHAS[[#This Row],[DATA]])</f>
        <v>3</v>
      </c>
      <c r="L321">
        <f>DAY(CONTROLE_PILHAS[[#This Row],[DATA]])</f>
        <v>22</v>
      </c>
    </row>
    <row r="322" spans="2:12" x14ac:dyDescent="0.25">
      <c r="B322" s="36" t="s">
        <v>98</v>
      </c>
      <c r="C322" s="30">
        <v>44642</v>
      </c>
      <c r="D322" s="36" t="s">
        <v>189</v>
      </c>
      <c r="E322" s="36" t="s">
        <v>462</v>
      </c>
      <c r="F322" s="36" t="s">
        <v>191</v>
      </c>
      <c r="G322" s="36" t="s">
        <v>191</v>
      </c>
      <c r="H322" s="36">
        <v>1</v>
      </c>
      <c r="I322" t="s">
        <v>179</v>
      </c>
      <c r="J322">
        <f>YEAR(CONTROLE_PILHAS[[#This Row],[DATA]])</f>
        <v>2022</v>
      </c>
      <c r="K322">
        <f>MONTH(CONTROLE_PILHAS[[#This Row],[DATA]])</f>
        <v>3</v>
      </c>
      <c r="L322">
        <f>DAY(CONTROLE_PILHAS[[#This Row],[DATA]])</f>
        <v>22</v>
      </c>
    </row>
    <row r="323" spans="2:12" x14ac:dyDescent="0.25">
      <c r="B323" s="36" t="s">
        <v>20</v>
      </c>
      <c r="C323" s="30">
        <v>44642</v>
      </c>
      <c r="D323" s="36" t="s">
        <v>189</v>
      </c>
      <c r="E323" s="36" t="s">
        <v>222</v>
      </c>
      <c r="F323" s="36" t="s">
        <v>793</v>
      </c>
      <c r="G323" s="36" t="s">
        <v>191</v>
      </c>
      <c r="H323" s="36">
        <v>1</v>
      </c>
      <c r="I323" t="s">
        <v>179</v>
      </c>
      <c r="J323">
        <f>YEAR(CONTROLE_PILHAS[[#This Row],[DATA]])</f>
        <v>2022</v>
      </c>
      <c r="K323">
        <f>MONTH(CONTROLE_PILHAS[[#This Row],[DATA]])</f>
        <v>3</v>
      </c>
      <c r="L323">
        <f>DAY(CONTROLE_PILHAS[[#This Row],[DATA]])</f>
        <v>22</v>
      </c>
    </row>
    <row r="324" spans="2:12" x14ac:dyDescent="0.25">
      <c r="B324" s="36" t="s">
        <v>21</v>
      </c>
      <c r="C324" s="30">
        <v>44644</v>
      </c>
      <c r="D324" s="36" t="s">
        <v>189</v>
      </c>
      <c r="E324" s="36" t="s">
        <v>222</v>
      </c>
      <c r="F324" s="36" t="s">
        <v>793</v>
      </c>
      <c r="G324" s="36" t="s">
        <v>191</v>
      </c>
      <c r="H324" s="36">
        <v>1</v>
      </c>
      <c r="I324" t="s">
        <v>179</v>
      </c>
      <c r="J324">
        <f>YEAR(CONTROLE_PILHAS[[#This Row],[DATA]])</f>
        <v>2022</v>
      </c>
      <c r="K324">
        <f>MONTH(CONTROLE_PILHAS[[#This Row],[DATA]])</f>
        <v>3</v>
      </c>
      <c r="L324">
        <f>DAY(CONTROLE_PILHAS[[#This Row],[DATA]])</f>
        <v>24</v>
      </c>
    </row>
    <row r="325" spans="2:12" x14ac:dyDescent="0.25">
      <c r="B325" s="36" t="s">
        <v>112</v>
      </c>
      <c r="C325" s="30">
        <v>44644</v>
      </c>
      <c r="D325" s="36" t="s">
        <v>189</v>
      </c>
      <c r="E325" s="36" t="s">
        <v>462</v>
      </c>
      <c r="F325" s="36" t="s">
        <v>793</v>
      </c>
      <c r="G325" s="36" t="s">
        <v>191</v>
      </c>
      <c r="H325" s="36">
        <v>1</v>
      </c>
      <c r="I325" t="s">
        <v>179</v>
      </c>
      <c r="J325">
        <f>YEAR(CONTROLE_PILHAS[[#This Row],[DATA]])</f>
        <v>2022</v>
      </c>
      <c r="K325">
        <f>MONTH(CONTROLE_PILHAS[[#This Row],[DATA]])</f>
        <v>3</v>
      </c>
      <c r="L325">
        <f>DAY(CONTROLE_PILHAS[[#This Row],[DATA]])</f>
        <v>24</v>
      </c>
    </row>
    <row r="326" spans="2:12" x14ac:dyDescent="0.25">
      <c r="B326" s="36" t="s">
        <v>14</v>
      </c>
      <c r="C326" s="30">
        <v>44644</v>
      </c>
      <c r="D326" s="36" t="s">
        <v>189</v>
      </c>
      <c r="E326" s="36" t="s">
        <v>222</v>
      </c>
      <c r="F326" s="36" t="s">
        <v>191</v>
      </c>
      <c r="G326" s="36" t="s">
        <v>191</v>
      </c>
      <c r="H326" s="36">
        <v>1</v>
      </c>
      <c r="I326" t="s">
        <v>179</v>
      </c>
      <c r="J326">
        <f>YEAR(CONTROLE_PILHAS[[#This Row],[DATA]])</f>
        <v>2022</v>
      </c>
      <c r="K326">
        <f>MONTH(CONTROLE_PILHAS[[#This Row],[DATA]])</f>
        <v>3</v>
      </c>
      <c r="L326">
        <f>DAY(CONTROLE_PILHAS[[#This Row],[DATA]])</f>
        <v>24</v>
      </c>
    </row>
    <row r="327" spans="2:12" x14ac:dyDescent="0.25">
      <c r="B327" s="36" t="s">
        <v>18</v>
      </c>
      <c r="C327" s="30">
        <v>44649</v>
      </c>
      <c r="D327" s="36" t="s">
        <v>189</v>
      </c>
      <c r="E327" s="36" t="s">
        <v>462</v>
      </c>
      <c r="F327" s="36" t="s">
        <v>191</v>
      </c>
      <c r="G327" s="36" t="s">
        <v>191</v>
      </c>
      <c r="H327" s="36">
        <v>1</v>
      </c>
      <c r="I327" t="s">
        <v>179</v>
      </c>
      <c r="J327">
        <f>YEAR(CONTROLE_PILHAS[[#This Row],[DATA]])</f>
        <v>2022</v>
      </c>
      <c r="K327">
        <f>MONTH(CONTROLE_PILHAS[[#This Row],[DATA]])</f>
        <v>3</v>
      </c>
      <c r="L327">
        <f>DAY(CONTROLE_PILHAS[[#This Row],[DATA]])</f>
        <v>29</v>
      </c>
    </row>
    <row r="328" spans="2:12" x14ac:dyDescent="0.25">
      <c r="B328" s="36" t="s">
        <v>9</v>
      </c>
      <c r="C328" s="30">
        <v>44649</v>
      </c>
      <c r="D328" s="36" t="s">
        <v>189</v>
      </c>
      <c r="E328" s="36" t="s">
        <v>222</v>
      </c>
      <c r="F328" s="36" t="s">
        <v>191</v>
      </c>
      <c r="G328" s="36" t="s">
        <v>191</v>
      </c>
      <c r="H328" s="36">
        <v>1</v>
      </c>
      <c r="I328" t="s">
        <v>179</v>
      </c>
      <c r="J328">
        <f>YEAR(CONTROLE_PILHAS[[#This Row],[DATA]])</f>
        <v>2022</v>
      </c>
      <c r="K328">
        <f>MONTH(CONTROLE_PILHAS[[#This Row],[DATA]])</f>
        <v>3</v>
      </c>
      <c r="L328">
        <f>DAY(CONTROLE_PILHAS[[#This Row],[DATA]])</f>
        <v>29</v>
      </c>
    </row>
    <row r="329" spans="2:12" x14ac:dyDescent="0.25">
      <c r="B329" s="36" t="s">
        <v>8</v>
      </c>
      <c r="C329" s="30">
        <v>44651</v>
      </c>
      <c r="D329" s="36" t="s">
        <v>189</v>
      </c>
      <c r="E329" s="36" t="s">
        <v>222</v>
      </c>
      <c r="F329" s="36" t="s">
        <v>191</v>
      </c>
      <c r="G329" s="36" t="s">
        <v>191</v>
      </c>
      <c r="H329" s="36">
        <v>1</v>
      </c>
      <c r="I329" t="s">
        <v>179</v>
      </c>
      <c r="J329">
        <f>YEAR(CONTROLE_PILHAS[[#This Row],[DATA]])</f>
        <v>2022</v>
      </c>
      <c r="K329">
        <f>MONTH(CONTROLE_PILHAS[[#This Row],[DATA]])</f>
        <v>3</v>
      </c>
      <c r="L329">
        <f>DAY(CONTROLE_PILHAS[[#This Row],[DATA]])</f>
        <v>31</v>
      </c>
    </row>
    <row r="330" spans="2:12" x14ac:dyDescent="0.25">
      <c r="B330" s="36" t="s">
        <v>7</v>
      </c>
      <c r="C330" s="30">
        <v>44651</v>
      </c>
      <c r="D330" s="36" t="s">
        <v>189</v>
      </c>
      <c r="E330" s="36" t="s">
        <v>462</v>
      </c>
      <c r="F330" s="36" t="s">
        <v>191</v>
      </c>
      <c r="G330" s="36" t="s">
        <v>191</v>
      </c>
      <c r="H330" s="36">
        <v>1</v>
      </c>
      <c r="I330" t="s">
        <v>179</v>
      </c>
      <c r="J330">
        <f>YEAR(CONTROLE_PILHAS[[#This Row],[DATA]])</f>
        <v>2022</v>
      </c>
      <c r="K330">
        <f>MONTH(CONTROLE_PILHAS[[#This Row],[DATA]])</f>
        <v>3</v>
      </c>
      <c r="L330">
        <f>DAY(CONTROLE_PILHAS[[#This Row],[DATA]])</f>
        <v>31</v>
      </c>
    </row>
    <row r="331" spans="2:12" x14ac:dyDescent="0.25">
      <c r="B331" s="36" t="s">
        <v>16</v>
      </c>
      <c r="C331" s="30">
        <v>44651</v>
      </c>
      <c r="D331" s="36" t="s">
        <v>189</v>
      </c>
      <c r="E331" s="36" t="s">
        <v>462</v>
      </c>
      <c r="F331" s="36" t="s">
        <v>191</v>
      </c>
      <c r="G331" s="36" t="s">
        <v>191</v>
      </c>
      <c r="H331" s="36">
        <v>1</v>
      </c>
      <c r="I331" t="s">
        <v>179</v>
      </c>
      <c r="J331">
        <f>YEAR(CONTROLE_PILHAS[[#This Row],[DATA]])</f>
        <v>2022</v>
      </c>
      <c r="K331">
        <f>MONTH(CONTROLE_PILHAS[[#This Row],[DATA]])</f>
        <v>3</v>
      </c>
      <c r="L331">
        <f>DAY(CONTROLE_PILHAS[[#This Row],[DATA]])</f>
        <v>31</v>
      </c>
    </row>
    <row r="332" spans="2:12" x14ac:dyDescent="0.25">
      <c r="B332" s="36" t="s">
        <v>13</v>
      </c>
      <c r="C332" s="30">
        <v>44652</v>
      </c>
      <c r="D332" s="36" t="s">
        <v>189</v>
      </c>
      <c r="E332" s="36" t="s">
        <v>222</v>
      </c>
      <c r="F332" s="36" t="s">
        <v>793</v>
      </c>
      <c r="G332" s="36" t="s">
        <v>191</v>
      </c>
      <c r="H332" s="36">
        <v>1</v>
      </c>
      <c r="I332" t="s">
        <v>179</v>
      </c>
      <c r="J332">
        <f>YEAR(CONTROLE_PILHAS[[#This Row],[DATA]])</f>
        <v>2022</v>
      </c>
      <c r="K332">
        <f>MONTH(CONTROLE_PILHAS[[#This Row],[DATA]])</f>
        <v>4</v>
      </c>
      <c r="L332">
        <f>DAY(CONTROLE_PILHAS[[#This Row],[DATA]])</f>
        <v>1</v>
      </c>
    </row>
    <row r="333" spans="2:12" x14ac:dyDescent="0.25">
      <c r="B333" s="36" t="s">
        <v>18</v>
      </c>
      <c r="C333" s="30">
        <v>44656</v>
      </c>
      <c r="D333" s="36" t="s">
        <v>189</v>
      </c>
      <c r="E333" s="36" t="s">
        <v>462</v>
      </c>
      <c r="F333" s="36" t="s">
        <v>191</v>
      </c>
      <c r="G333" s="36" t="s">
        <v>191</v>
      </c>
      <c r="H333" s="36">
        <v>1</v>
      </c>
      <c r="I333" t="s">
        <v>179</v>
      </c>
      <c r="J333">
        <f>YEAR(CONTROLE_PILHAS[[#This Row],[DATA]])</f>
        <v>2022</v>
      </c>
      <c r="K333">
        <f>MONTH(CONTROLE_PILHAS[[#This Row],[DATA]])</f>
        <v>4</v>
      </c>
      <c r="L333">
        <f>DAY(CONTROLE_PILHAS[[#This Row],[DATA]])</f>
        <v>5</v>
      </c>
    </row>
    <row r="334" spans="2:12" x14ac:dyDescent="0.25">
      <c r="B334" s="36" t="s">
        <v>10</v>
      </c>
      <c r="C334" s="30">
        <v>44656</v>
      </c>
      <c r="D334" s="36" t="s">
        <v>189</v>
      </c>
      <c r="E334" s="36" t="s">
        <v>462</v>
      </c>
      <c r="F334" s="36" t="s">
        <v>793</v>
      </c>
      <c r="G334" s="36" t="s">
        <v>191</v>
      </c>
      <c r="H334" s="36">
        <v>1</v>
      </c>
      <c r="I334" t="s">
        <v>179</v>
      </c>
      <c r="J334">
        <f>YEAR(CONTROLE_PILHAS[[#This Row],[DATA]])</f>
        <v>2022</v>
      </c>
      <c r="K334">
        <f>MONTH(CONTROLE_PILHAS[[#This Row],[DATA]])</f>
        <v>4</v>
      </c>
      <c r="L334">
        <f>DAY(CONTROLE_PILHAS[[#This Row],[DATA]])</f>
        <v>5</v>
      </c>
    </row>
    <row r="335" spans="2:12" x14ac:dyDescent="0.25">
      <c r="B335" s="36" t="s">
        <v>5</v>
      </c>
      <c r="C335" s="30">
        <v>44656</v>
      </c>
      <c r="D335" s="36" t="s">
        <v>189</v>
      </c>
      <c r="E335" s="36" t="s">
        <v>222</v>
      </c>
      <c r="F335" s="36" t="s">
        <v>793</v>
      </c>
      <c r="G335" s="36" t="s">
        <v>191</v>
      </c>
      <c r="H335" s="36">
        <v>1</v>
      </c>
      <c r="I335" t="s">
        <v>179</v>
      </c>
      <c r="J335">
        <f>YEAR(CONTROLE_PILHAS[[#This Row],[DATA]])</f>
        <v>2022</v>
      </c>
      <c r="K335">
        <f>MONTH(CONTROLE_PILHAS[[#This Row],[DATA]])</f>
        <v>4</v>
      </c>
      <c r="L335">
        <f>DAY(CONTROLE_PILHAS[[#This Row],[DATA]])</f>
        <v>5</v>
      </c>
    </row>
    <row r="336" spans="2:12" x14ac:dyDescent="0.25">
      <c r="B336" s="36" t="s">
        <v>8</v>
      </c>
      <c r="C336" s="30">
        <v>44656</v>
      </c>
      <c r="D336" s="36" t="s">
        <v>189</v>
      </c>
      <c r="E336" s="36" t="s">
        <v>222</v>
      </c>
      <c r="F336" s="36" t="s">
        <v>793</v>
      </c>
      <c r="G336" s="36" t="s">
        <v>191</v>
      </c>
      <c r="H336" s="36">
        <v>1</v>
      </c>
      <c r="I336" t="s">
        <v>179</v>
      </c>
      <c r="J336">
        <f>YEAR(CONTROLE_PILHAS[[#This Row],[DATA]])</f>
        <v>2022</v>
      </c>
      <c r="K336">
        <f>MONTH(CONTROLE_PILHAS[[#This Row],[DATA]])</f>
        <v>4</v>
      </c>
      <c r="L336">
        <f>DAY(CONTROLE_PILHAS[[#This Row],[DATA]])</f>
        <v>5</v>
      </c>
    </row>
    <row r="337" spans="2:12" x14ac:dyDescent="0.25">
      <c r="B337" s="36" t="s">
        <v>10</v>
      </c>
      <c r="C337" s="30">
        <v>44656</v>
      </c>
      <c r="D337" s="36" t="s">
        <v>189</v>
      </c>
      <c r="E337" s="36" t="s">
        <v>462</v>
      </c>
      <c r="F337" s="36" t="s">
        <v>793</v>
      </c>
      <c r="G337" s="36" t="s">
        <v>191</v>
      </c>
      <c r="H337" s="36">
        <v>1</v>
      </c>
      <c r="I337" t="s">
        <v>179</v>
      </c>
      <c r="J337">
        <f>YEAR(CONTROLE_PILHAS[[#This Row],[DATA]])</f>
        <v>2022</v>
      </c>
      <c r="K337">
        <f>MONTH(CONTROLE_PILHAS[[#This Row],[DATA]])</f>
        <v>4</v>
      </c>
      <c r="L337">
        <f>DAY(CONTROLE_PILHAS[[#This Row],[DATA]])</f>
        <v>5</v>
      </c>
    </row>
    <row r="338" spans="2:12" x14ac:dyDescent="0.25">
      <c r="B338" s="36" t="s">
        <v>9</v>
      </c>
      <c r="C338" s="30">
        <v>44656</v>
      </c>
      <c r="D338" s="36" t="s">
        <v>189</v>
      </c>
      <c r="E338" s="36" t="s">
        <v>222</v>
      </c>
      <c r="F338" s="36" t="s">
        <v>793</v>
      </c>
      <c r="G338" s="36" t="s">
        <v>191</v>
      </c>
      <c r="H338" s="36">
        <v>1</v>
      </c>
      <c r="I338" t="s">
        <v>179</v>
      </c>
      <c r="J338">
        <f>YEAR(CONTROLE_PILHAS[[#This Row],[DATA]])</f>
        <v>2022</v>
      </c>
      <c r="K338">
        <f>MONTH(CONTROLE_PILHAS[[#This Row],[DATA]])</f>
        <v>4</v>
      </c>
      <c r="L338">
        <f>DAY(CONTROLE_PILHAS[[#This Row],[DATA]])</f>
        <v>5</v>
      </c>
    </row>
    <row r="339" spans="2:12" x14ac:dyDescent="0.25">
      <c r="B339" s="36" t="s">
        <v>112</v>
      </c>
      <c r="C339" s="30">
        <v>44656</v>
      </c>
      <c r="D339" s="36" t="s">
        <v>189</v>
      </c>
      <c r="E339" s="36" t="s">
        <v>462</v>
      </c>
      <c r="F339" s="36" t="s">
        <v>793</v>
      </c>
      <c r="G339" s="36" t="s">
        <v>191</v>
      </c>
      <c r="H339" s="36">
        <v>1</v>
      </c>
      <c r="I339" t="s">
        <v>179</v>
      </c>
      <c r="J339">
        <f>YEAR(CONTROLE_PILHAS[[#This Row],[DATA]])</f>
        <v>2022</v>
      </c>
      <c r="K339">
        <f>MONTH(CONTROLE_PILHAS[[#This Row],[DATA]])</f>
        <v>4</v>
      </c>
      <c r="L339">
        <f>DAY(CONTROLE_PILHAS[[#This Row],[DATA]])</f>
        <v>5</v>
      </c>
    </row>
    <row r="340" spans="2:12" x14ac:dyDescent="0.25">
      <c r="B340" s="36" t="s">
        <v>98</v>
      </c>
      <c r="C340" s="30">
        <v>44657</v>
      </c>
      <c r="D340" s="36" t="s">
        <v>189</v>
      </c>
      <c r="E340" s="36" t="s">
        <v>462</v>
      </c>
      <c r="F340" s="36" t="s">
        <v>793</v>
      </c>
      <c r="G340" s="36" t="s">
        <v>191</v>
      </c>
      <c r="H340" s="36">
        <v>1</v>
      </c>
      <c r="I340" t="s">
        <v>179</v>
      </c>
      <c r="J340">
        <f>YEAR(CONTROLE_PILHAS[[#This Row],[DATA]])</f>
        <v>2022</v>
      </c>
      <c r="K340">
        <f>MONTH(CONTROLE_PILHAS[[#This Row],[DATA]])</f>
        <v>4</v>
      </c>
      <c r="L340">
        <f>DAY(CONTROLE_PILHAS[[#This Row],[DATA]])</f>
        <v>6</v>
      </c>
    </row>
    <row r="341" spans="2:12" x14ac:dyDescent="0.25">
      <c r="B341" s="36" t="s">
        <v>20</v>
      </c>
      <c r="C341" s="30">
        <v>44657</v>
      </c>
      <c r="D341" s="36" t="s">
        <v>189</v>
      </c>
      <c r="E341" s="36" t="s">
        <v>462</v>
      </c>
      <c r="F341" s="36" t="s">
        <v>793</v>
      </c>
      <c r="G341" s="36" t="s">
        <v>191</v>
      </c>
      <c r="H341" s="36">
        <v>1</v>
      </c>
      <c r="I341" t="s">
        <v>179</v>
      </c>
      <c r="J341">
        <f>YEAR(CONTROLE_PILHAS[[#This Row],[DATA]])</f>
        <v>2022</v>
      </c>
      <c r="K341">
        <f>MONTH(CONTROLE_PILHAS[[#This Row],[DATA]])</f>
        <v>4</v>
      </c>
      <c r="L341">
        <f>DAY(CONTROLE_PILHAS[[#This Row],[DATA]])</f>
        <v>6</v>
      </c>
    </row>
    <row r="342" spans="2:12" x14ac:dyDescent="0.25">
      <c r="B342" s="36" t="s">
        <v>21</v>
      </c>
      <c r="C342" s="30">
        <v>44657</v>
      </c>
      <c r="D342" s="36" t="s">
        <v>189</v>
      </c>
      <c r="E342" s="36" t="s">
        <v>222</v>
      </c>
      <c r="F342" s="36" t="s">
        <v>793</v>
      </c>
      <c r="G342" s="36" t="s">
        <v>191</v>
      </c>
      <c r="H342" s="36">
        <v>1</v>
      </c>
      <c r="I342" t="s">
        <v>179</v>
      </c>
      <c r="J342">
        <f>YEAR(CONTROLE_PILHAS[[#This Row],[DATA]])</f>
        <v>2022</v>
      </c>
      <c r="K342">
        <f>MONTH(CONTROLE_PILHAS[[#This Row],[DATA]])</f>
        <v>4</v>
      </c>
      <c r="L342">
        <f>DAY(CONTROLE_PILHAS[[#This Row],[DATA]])</f>
        <v>6</v>
      </c>
    </row>
    <row r="343" spans="2:12" x14ac:dyDescent="0.25">
      <c r="B343" s="36" t="s">
        <v>112</v>
      </c>
      <c r="C343" s="30">
        <v>44657</v>
      </c>
      <c r="D343" s="36" t="s">
        <v>189</v>
      </c>
      <c r="E343" s="36" t="s">
        <v>222</v>
      </c>
      <c r="F343" s="36" t="s">
        <v>793</v>
      </c>
      <c r="G343" s="36" t="s">
        <v>191</v>
      </c>
      <c r="H343" s="36">
        <v>1</v>
      </c>
      <c r="I343" t="s">
        <v>179</v>
      </c>
      <c r="J343">
        <f>YEAR(CONTROLE_PILHAS[[#This Row],[DATA]])</f>
        <v>2022</v>
      </c>
      <c r="K343">
        <f>MONTH(CONTROLE_PILHAS[[#This Row],[DATA]])</f>
        <v>4</v>
      </c>
      <c r="L343">
        <f>DAY(CONTROLE_PILHAS[[#This Row],[DATA]])</f>
        <v>6</v>
      </c>
    </row>
    <row r="344" spans="2:12" x14ac:dyDescent="0.25">
      <c r="B344" s="36" t="s">
        <v>14</v>
      </c>
      <c r="C344" s="30">
        <v>44657</v>
      </c>
      <c r="D344" s="36" t="s">
        <v>189</v>
      </c>
      <c r="E344" s="36" t="s">
        <v>462</v>
      </c>
      <c r="F344" s="36" t="s">
        <v>793</v>
      </c>
      <c r="G344" s="36" t="s">
        <v>191</v>
      </c>
      <c r="H344" s="36">
        <v>1</v>
      </c>
      <c r="I344" t="s">
        <v>179</v>
      </c>
      <c r="J344">
        <f>YEAR(CONTROLE_PILHAS[[#This Row],[DATA]])</f>
        <v>2022</v>
      </c>
      <c r="K344">
        <f>MONTH(CONTROLE_PILHAS[[#This Row],[DATA]])</f>
        <v>4</v>
      </c>
      <c r="L344">
        <f>DAY(CONTROLE_PILHAS[[#This Row],[DATA]])</f>
        <v>6</v>
      </c>
    </row>
    <row r="345" spans="2:12" x14ac:dyDescent="0.25">
      <c r="B345" s="36" t="s">
        <v>5</v>
      </c>
      <c r="C345" s="30">
        <v>44658</v>
      </c>
      <c r="D345" s="36" t="s">
        <v>189</v>
      </c>
      <c r="E345" s="36" t="s">
        <v>462</v>
      </c>
      <c r="F345" s="36" t="s">
        <v>793</v>
      </c>
      <c r="G345" s="36" t="s">
        <v>191</v>
      </c>
      <c r="H345" s="36">
        <v>1</v>
      </c>
      <c r="I345" t="s">
        <v>179</v>
      </c>
      <c r="J345">
        <f>YEAR(CONTROLE_PILHAS[[#This Row],[DATA]])</f>
        <v>2022</v>
      </c>
      <c r="K345">
        <f>MONTH(CONTROLE_PILHAS[[#This Row],[DATA]])</f>
        <v>4</v>
      </c>
      <c r="L345">
        <f>DAY(CONTROLE_PILHAS[[#This Row],[DATA]])</f>
        <v>7</v>
      </c>
    </row>
    <row r="346" spans="2:12" x14ac:dyDescent="0.25">
      <c r="B346" s="36" t="s">
        <v>8</v>
      </c>
      <c r="C346" s="30">
        <v>44658</v>
      </c>
      <c r="D346" s="36" t="s">
        <v>189</v>
      </c>
      <c r="E346" s="36" t="s">
        <v>222</v>
      </c>
      <c r="F346" s="36" t="s">
        <v>793</v>
      </c>
      <c r="G346" s="36" t="s">
        <v>191</v>
      </c>
      <c r="H346" s="36">
        <v>1</v>
      </c>
      <c r="I346" t="s">
        <v>179</v>
      </c>
      <c r="J346">
        <f>YEAR(CONTROLE_PILHAS[[#This Row],[DATA]])</f>
        <v>2022</v>
      </c>
      <c r="K346">
        <f>MONTH(CONTROLE_PILHAS[[#This Row],[DATA]])</f>
        <v>4</v>
      </c>
      <c r="L346">
        <f>DAY(CONTROLE_PILHAS[[#This Row],[DATA]])</f>
        <v>7</v>
      </c>
    </row>
    <row r="347" spans="2:12" x14ac:dyDescent="0.25">
      <c r="B347" s="36" t="s">
        <v>7</v>
      </c>
      <c r="C347" s="30">
        <v>44658</v>
      </c>
      <c r="D347" s="36" t="s">
        <v>189</v>
      </c>
      <c r="E347" s="36" t="s">
        <v>222</v>
      </c>
      <c r="F347" s="36" t="s">
        <v>793</v>
      </c>
      <c r="G347" s="36" t="s">
        <v>191</v>
      </c>
      <c r="H347" s="36">
        <v>1</v>
      </c>
      <c r="I347" t="s">
        <v>179</v>
      </c>
      <c r="J347">
        <f>YEAR(CONTROLE_PILHAS[[#This Row],[DATA]])</f>
        <v>2022</v>
      </c>
      <c r="K347">
        <f>MONTH(CONTROLE_PILHAS[[#This Row],[DATA]])</f>
        <v>4</v>
      </c>
      <c r="L347">
        <f>DAY(CONTROLE_PILHAS[[#This Row],[DATA]])</f>
        <v>7</v>
      </c>
    </row>
    <row r="348" spans="2:12" x14ac:dyDescent="0.25">
      <c r="B348" s="36" t="s">
        <v>9</v>
      </c>
      <c r="C348" s="30">
        <v>44658</v>
      </c>
      <c r="D348" s="36" t="s">
        <v>189</v>
      </c>
      <c r="E348" s="36" t="s">
        <v>222</v>
      </c>
      <c r="F348" s="36" t="s">
        <v>793</v>
      </c>
      <c r="G348" s="36" t="s">
        <v>191</v>
      </c>
      <c r="H348" s="36">
        <v>1</v>
      </c>
      <c r="I348" t="s">
        <v>179</v>
      </c>
      <c r="J348">
        <f>YEAR(CONTROLE_PILHAS[[#This Row],[DATA]])</f>
        <v>2022</v>
      </c>
      <c r="K348">
        <f>MONTH(CONTROLE_PILHAS[[#This Row],[DATA]])</f>
        <v>4</v>
      </c>
      <c r="L348">
        <f>DAY(CONTROLE_PILHAS[[#This Row],[DATA]])</f>
        <v>7</v>
      </c>
    </row>
    <row r="349" spans="2:12" x14ac:dyDescent="0.25">
      <c r="B349" s="36" t="s">
        <v>4</v>
      </c>
      <c r="C349" s="30">
        <v>44658</v>
      </c>
      <c r="D349" s="36" t="s">
        <v>189</v>
      </c>
      <c r="E349" s="36" t="s">
        <v>462</v>
      </c>
      <c r="F349" s="36" t="s">
        <v>793</v>
      </c>
      <c r="G349" s="36" t="s">
        <v>191</v>
      </c>
      <c r="H349" s="36">
        <v>1</v>
      </c>
      <c r="I349" t="s">
        <v>179</v>
      </c>
      <c r="J349">
        <f>YEAR(CONTROLE_PILHAS[[#This Row],[DATA]])</f>
        <v>2022</v>
      </c>
      <c r="K349">
        <f>MONTH(CONTROLE_PILHAS[[#This Row],[DATA]])</f>
        <v>4</v>
      </c>
      <c r="L349">
        <f>DAY(CONTROLE_PILHAS[[#This Row],[DATA]])</f>
        <v>7</v>
      </c>
    </row>
    <row r="350" spans="2:12" x14ac:dyDescent="0.25">
      <c r="B350" s="36" t="s">
        <v>5</v>
      </c>
      <c r="C350" s="30">
        <v>44659</v>
      </c>
      <c r="D350" s="36" t="s">
        <v>189</v>
      </c>
      <c r="E350" s="36" t="s">
        <v>462</v>
      </c>
      <c r="F350" s="36" t="s">
        <v>793</v>
      </c>
      <c r="G350" s="36" t="s">
        <v>191</v>
      </c>
      <c r="H350" s="36">
        <v>1</v>
      </c>
      <c r="I350" t="s">
        <v>179</v>
      </c>
      <c r="J350">
        <f>YEAR(CONTROLE_PILHAS[[#This Row],[DATA]])</f>
        <v>2022</v>
      </c>
      <c r="K350">
        <f>MONTH(CONTROLE_PILHAS[[#This Row],[DATA]])</f>
        <v>4</v>
      </c>
      <c r="L350">
        <f>DAY(CONTROLE_PILHAS[[#This Row],[DATA]])</f>
        <v>8</v>
      </c>
    </row>
    <row r="351" spans="2:12" x14ac:dyDescent="0.25">
      <c r="B351" s="36" t="s">
        <v>21</v>
      </c>
      <c r="C351" s="30">
        <v>44659</v>
      </c>
      <c r="D351" s="36" t="s">
        <v>189</v>
      </c>
      <c r="E351" s="36" t="s">
        <v>462</v>
      </c>
      <c r="F351" s="36" t="s">
        <v>793</v>
      </c>
      <c r="G351" s="36" t="s">
        <v>191</v>
      </c>
      <c r="H351" s="36">
        <v>1</v>
      </c>
      <c r="I351" t="s">
        <v>179</v>
      </c>
      <c r="J351">
        <f>YEAR(CONTROLE_PILHAS[[#This Row],[DATA]])</f>
        <v>2022</v>
      </c>
      <c r="K351">
        <f>MONTH(CONTROLE_PILHAS[[#This Row],[DATA]])</f>
        <v>4</v>
      </c>
      <c r="L351">
        <f>DAY(CONTROLE_PILHAS[[#This Row],[DATA]])</f>
        <v>8</v>
      </c>
    </row>
    <row r="352" spans="2:12" x14ac:dyDescent="0.25">
      <c r="B352" s="36" t="s">
        <v>14</v>
      </c>
      <c r="C352" s="30">
        <v>44663</v>
      </c>
      <c r="D352" s="36" t="s">
        <v>189</v>
      </c>
      <c r="E352" s="36" t="s">
        <v>222</v>
      </c>
      <c r="F352" s="36" t="s">
        <v>793</v>
      </c>
      <c r="G352" s="36" t="s">
        <v>191</v>
      </c>
      <c r="H352" s="36">
        <v>1</v>
      </c>
      <c r="I352" t="s">
        <v>179</v>
      </c>
      <c r="J352">
        <f>YEAR(CONTROLE_PILHAS[[#This Row],[DATA]])</f>
        <v>2022</v>
      </c>
      <c r="K352">
        <f>MONTH(CONTROLE_PILHAS[[#This Row],[DATA]])</f>
        <v>4</v>
      </c>
      <c r="L352">
        <f>DAY(CONTROLE_PILHAS[[#This Row],[DATA]])</f>
        <v>12</v>
      </c>
    </row>
    <row r="353" spans="2:12" x14ac:dyDescent="0.25">
      <c r="B353" s="36" t="s">
        <v>17</v>
      </c>
      <c r="C353" s="30">
        <v>44663</v>
      </c>
      <c r="D353" s="36" t="s">
        <v>189</v>
      </c>
      <c r="E353" s="36" t="s">
        <v>462</v>
      </c>
      <c r="F353" s="36" t="s">
        <v>793</v>
      </c>
      <c r="G353" s="36" t="s">
        <v>191</v>
      </c>
      <c r="H353" s="36">
        <v>1</v>
      </c>
      <c r="I353" t="s">
        <v>179</v>
      </c>
      <c r="J353">
        <f>YEAR(CONTROLE_PILHAS[[#This Row],[DATA]])</f>
        <v>2022</v>
      </c>
      <c r="K353">
        <f>MONTH(CONTROLE_PILHAS[[#This Row],[DATA]])</f>
        <v>4</v>
      </c>
      <c r="L353">
        <f>DAY(CONTROLE_PILHAS[[#This Row],[DATA]])</f>
        <v>12</v>
      </c>
    </row>
    <row r="354" spans="2:12" x14ac:dyDescent="0.25">
      <c r="B354" s="36" t="s">
        <v>18</v>
      </c>
      <c r="C354" s="30">
        <v>44663</v>
      </c>
      <c r="D354" s="36" t="s">
        <v>189</v>
      </c>
      <c r="E354" s="36" t="s">
        <v>462</v>
      </c>
      <c r="F354" s="36" t="s">
        <v>191</v>
      </c>
      <c r="G354" s="36" t="s">
        <v>191</v>
      </c>
      <c r="H354" s="36">
        <v>1</v>
      </c>
      <c r="I354" t="s">
        <v>179</v>
      </c>
      <c r="J354">
        <f>YEAR(CONTROLE_PILHAS[[#This Row],[DATA]])</f>
        <v>2022</v>
      </c>
      <c r="K354">
        <f>MONTH(CONTROLE_PILHAS[[#This Row],[DATA]])</f>
        <v>4</v>
      </c>
      <c r="L354">
        <f>DAY(CONTROLE_PILHAS[[#This Row],[DATA]])</f>
        <v>12</v>
      </c>
    </row>
    <row r="355" spans="2:12" x14ac:dyDescent="0.25">
      <c r="B355" s="36" t="s">
        <v>7</v>
      </c>
      <c r="C355" s="30">
        <v>44663</v>
      </c>
      <c r="D355" s="36" t="s">
        <v>189</v>
      </c>
      <c r="E355" s="36" t="s">
        <v>222</v>
      </c>
      <c r="F355" s="36" t="s">
        <v>191</v>
      </c>
      <c r="G355" s="36" t="s">
        <v>191</v>
      </c>
      <c r="H355" s="36">
        <v>1</v>
      </c>
      <c r="I355" t="s">
        <v>179</v>
      </c>
      <c r="J355">
        <f>YEAR(CONTROLE_PILHAS[[#This Row],[DATA]])</f>
        <v>2022</v>
      </c>
      <c r="K355">
        <f>MONTH(CONTROLE_PILHAS[[#This Row],[DATA]])</f>
        <v>4</v>
      </c>
      <c r="L355">
        <f>DAY(CONTROLE_PILHAS[[#This Row],[DATA]])</f>
        <v>12</v>
      </c>
    </row>
    <row r="356" spans="2:12" x14ac:dyDescent="0.25">
      <c r="B356" s="36" t="s">
        <v>6</v>
      </c>
      <c r="C356" s="30">
        <v>44663</v>
      </c>
      <c r="D356" s="36" t="s">
        <v>189</v>
      </c>
      <c r="E356" s="36" t="s">
        <v>462</v>
      </c>
      <c r="F356" s="36" t="s">
        <v>191</v>
      </c>
      <c r="G356" s="36" t="s">
        <v>191</v>
      </c>
      <c r="H356" s="36">
        <v>1</v>
      </c>
      <c r="I356" t="s">
        <v>179</v>
      </c>
      <c r="J356">
        <f>YEAR(CONTROLE_PILHAS[[#This Row],[DATA]])</f>
        <v>2022</v>
      </c>
      <c r="K356">
        <f>MONTH(CONTROLE_PILHAS[[#This Row],[DATA]])</f>
        <v>4</v>
      </c>
      <c r="L356">
        <f>DAY(CONTROLE_PILHAS[[#This Row],[DATA]])</f>
        <v>12</v>
      </c>
    </row>
    <row r="357" spans="2:12" x14ac:dyDescent="0.25">
      <c r="B357" s="36" t="s">
        <v>41</v>
      </c>
      <c r="C357" s="30">
        <v>44663</v>
      </c>
      <c r="D357" s="36" t="s">
        <v>189</v>
      </c>
      <c r="E357" s="36" t="s">
        <v>222</v>
      </c>
      <c r="F357" s="36" t="s">
        <v>191</v>
      </c>
      <c r="G357" s="36" t="s">
        <v>191</v>
      </c>
      <c r="H357" s="36">
        <v>1</v>
      </c>
      <c r="I357" t="s">
        <v>179</v>
      </c>
      <c r="J357">
        <f>YEAR(CONTROLE_PILHAS[[#This Row],[DATA]])</f>
        <v>2022</v>
      </c>
      <c r="K357">
        <f>MONTH(CONTROLE_PILHAS[[#This Row],[DATA]])</f>
        <v>4</v>
      </c>
      <c r="L357">
        <f>DAY(CONTROLE_PILHAS[[#This Row],[DATA]])</f>
        <v>12</v>
      </c>
    </row>
    <row r="358" spans="2:12" x14ac:dyDescent="0.25">
      <c r="B358" s="36" t="s">
        <v>7</v>
      </c>
      <c r="C358" s="30">
        <v>44665</v>
      </c>
      <c r="D358" s="36" t="s">
        <v>189</v>
      </c>
      <c r="E358" s="36" t="s">
        <v>462</v>
      </c>
      <c r="F358" s="36" t="s">
        <v>191</v>
      </c>
      <c r="G358" s="36" t="s">
        <v>191</v>
      </c>
      <c r="H358" s="36">
        <v>1</v>
      </c>
      <c r="I358" t="s">
        <v>179</v>
      </c>
      <c r="J358">
        <f>YEAR(CONTROLE_PILHAS[[#This Row],[DATA]])</f>
        <v>2022</v>
      </c>
      <c r="K358">
        <f>MONTH(CONTROLE_PILHAS[[#This Row],[DATA]])</f>
        <v>4</v>
      </c>
      <c r="L358">
        <f>DAY(CONTROLE_PILHAS[[#This Row],[DATA]])</f>
        <v>14</v>
      </c>
    </row>
    <row r="359" spans="2:12" x14ac:dyDescent="0.25">
      <c r="B359" s="36" t="s">
        <v>8</v>
      </c>
      <c r="C359" s="30">
        <v>44665</v>
      </c>
      <c r="D359" s="36" t="s">
        <v>189</v>
      </c>
      <c r="E359" s="36" t="s">
        <v>222</v>
      </c>
      <c r="F359" s="36" t="s">
        <v>191</v>
      </c>
      <c r="G359" s="36" t="s">
        <v>191</v>
      </c>
      <c r="H359" s="36">
        <v>1</v>
      </c>
      <c r="I359" t="s">
        <v>179</v>
      </c>
      <c r="J359">
        <f>YEAR(CONTROLE_PILHAS[[#This Row],[DATA]])</f>
        <v>2022</v>
      </c>
      <c r="K359">
        <f>MONTH(CONTROLE_PILHAS[[#This Row],[DATA]])</f>
        <v>4</v>
      </c>
      <c r="L359">
        <f>DAY(CONTROLE_PILHAS[[#This Row],[DATA]])</f>
        <v>14</v>
      </c>
    </row>
    <row r="360" spans="2:12" x14ac:dyDescent="0.25">
      <c r="B360" s="36" t="s">
        <v>4</v>
      </c>
      <c r="C360" s="30">
        <v>44666</v>
      </c>
      <c r="D360" s="36" t="s">
        <v>189</v>
      </c>
      <c r="E360" s="36" t="s">
        <v>222</v>
      </c>
      <c r="F360" s="36" t="s">
        <v>191</v>
      </c>
      <c r="G360" s="36" t="s">
        <v>191</v>
      </c>
      <c r="H360" s="36">
        <v>1</v>
      </c>
      <c r="I360" t="s">
        <v>179</v>
      </c>
      <c r="J360">
        <f>YEAR(CONTROLE_PILHAS[[#This Row],[DATA]])</f>
        <v>2022</v>
      </c>
      <c r="K360">
        <f>MONTH(CONTROLE_PILHAS[[#This Row],[DATA]])</f>
        <v>4</v>
      </c>
      <c r="L360">
        <f>DAY(CONTROLE_PILHAS[[#This Row],[DATA]])</f>
        <v>15</v>
      </c>
    </row>
    <row r="361" spans="2:12" x14ac:dyDescent="0.25">
      <c r="B361" s="36" t="s">
        <v>16</v>
      </c>
      <c r="C361" s="30">
        <v>44669</v>
      </c>
      <c r="D361" s="36" t="s">
        <v>189</v>
      </c>
      <c r="E361" s="36" t="s">
        <v>462</v>
      </c>
      <c r="F361" s="36" t="s">
        <v>191</v>
      </c>
      <c r="G361" s="36" t="s">
        <v>191</v>
      </c>
      <c r="H361" s="36">
        <v>1</v>
      </c>
      <c r="I361" t="s">
        <v>179</v>
      </c>
      <c r="J361">
        <f>YEAR(CONTROLE_PILHAS[[#This Row],[DATA]])</f>
        <v>2022</v>
      </c>
      <c r="K361">
        <f>MONTH(CONTROLE_PILHAS[[#This Row],[DATA]])</f>
        <v>4</v>
      </c>
      <c r="L361">
        <f>DAY(CONTROLE_PILHAS[[#This Row],[DATA]])</f>
        <v>18</v>
      </c>
    </row>
    <row r="362" spans="2:12" x14ac:dyDescent="0.25">
      <c r="B362" s="36" t="s">
        <v>20</v>
      </c>
      <c r="C362" s="30">
        <v>44670</v>
      </c>
      <c r="D362" s="36" t="s">
        <v>189</v>
      </c>
      <c r="E362" s="36" t="s">
        <v>462</v>
      </c>
      <c r="F362" s="36" t="s">
        <v>793</v>
      </c>
      <c r="G362" s="36" t="s">
        <v>191</v>
      </c>
      <c r="H362" s="36">
        <v>1</v>
      </c>
      <c r="I362" t="s">
        <v>179</v>
      </c>
      <c r="J362">
        <f>YEAR(CONTROLE_PILHAS[[#This Row],[DATA]])</f>
        <v>2022</v>
      </c>
      <c r="K362">
        <f>MONTH(CONTROLE_PILHAS[[#This Row],[DATA]])</f>
        <v>4</v>
      </c>
      <c r="L362">
        <f>DAY(CONTROLE_PILHAS[[#This Row],[DATA]])</f>
        <v>19</v>
      </c>
    </row>
    <row r="363" spans="2:12" x14ac:dyDescent="0.25">
      <c r="B363" s="36" t="s">
        <v>10</v>
      </c>
      <c r="C363" s="30">
        <v>44672</v>
      </c>
      <c r="D363" s="36" t="s">
        <v>189</v>
      </c>
      <c r="E363" s="36" t="s">
        <v>462</v>
      </c>
      <c r="F363" s="36" t="s">
        <v>191</v>
      </c>
      <c r="G363" s="36" t="s">
        <v>191</v>
      </c>
      <c r="H363" s="36">
        <v>1</v>
      </c>
      <c r="I363" t="s">
        <v>179</v>
      </c>
      <c r="J363">
        <f>YEAR(CONTROLE_PILHAS[[#This Row],[DATA]])</f>
        <v>2022</v>
      </c>
      <c r="K363">
        <f>MONTH(CONTROLE_PILHAS[[#This Row],[DATA]])</f>
        <v>4</v>
      </c>
      <c r="L363">
        <f>DAY(CONTROLE_PILHAS[[#This Row],[DATA]])</f>
        <v>21</v>
      </c>
    </row>
    <row r="364" spans="2:12" x14ac:dyDescent="0.25">
      <c r="B364" s="36" t="s">
        <v>22</v>
      </c>
      <c r="C364" s="30">
        <v>44672</v>
      </c>
      <c r="D364" s="36" t="s">
        <v>189</v>
      </c>
      <c r="E364" s="36" t="s">
        <v>462</v>
      </c>
      <c r="F364" s="36" t="s">
        <v>191</v>
      </c>
      <c r="G364" s="36" t="s">
        <v>191</v>
      </c>
      <c r="H364" s="36">
        <v>1</v>
      </c>
      <c r="I364" t="s">
        <v>179</v>
      </c>
      <c r="J364">
        <f>YEAR(CONTROLE_PILHAS[[#This Row],[DATA]])</f>
        <v>2022</v>
      </c>
      <c r="K364">
        <f>MONTH(CONTROLE_PILHAS[[#This Row],[DATA]])</f>
        <v>4</v>
      </c>
      <c r="L364">
        <f>DAY(CONTROLE_PILHAS[[#This Row],[DATA]])</f>
        <v>21</v>
      </c>
    </row>
    <row r="365" spans="2:12" x14ac:dyDescent="0.25">
      <c r="B365" s="36" t="s">
        <v>20</v>
      </c>
      <c r="C365" s="30">
        <v>44672</v>
      </c>
      <c r="D365" s="36" t="s">
        <v>189</v>
      </c>
      <c r="E365" s="36" t="s">
        <v>462</v>
      </c>
      <c r="F365" s="36" t="s">
        <v>191</v>
      </c>
      <c r="G365" s="36" t="s">
        <v>191</v>
      </c>
      <c r="H365" s="36">
        <v>1</v>
      </c>
      <c r="I365" t="s">
        <v>179</v>
      </c>
      <c r="J365">
        <f>YEAR(CONTROLE_PILHAS[[#This Row],[DATA]])</f>
        <v>2022</v>
      </c>
      <c r="K365">
        <f>MONTH(CONTROLE_PILHAS[[#This Row],[DATA]])</f>
        <v>4</v>
      </c>
      <c r="L365">
        <f>DAY(CONTROLE_PILHAS[[#This Row],[DATA]])</f>
        <v>21</v>
      </c>
    </row>
    <row r="366" spans="2:12" x14ac:dyDescent="0.25">
      <c r="B366" s="36" t="s">
        <v>10</v>
      </c>
      <c r="C366" s="30">
        <v>44672</v>
      </c>
      <c r="D366" s="36" t="s">
        <v>189</v>
      </c>
      <c r="E366" s="36" t="s">
        <v>462</v>
      </c>
      <c r="F366" s="36" t="s">
        <v>191</v>
      </c>
      <c r="G366" s="36" t="s">
        <v>191</v>
      </c>
      <c r="H366" s="36">
        <v>1</v>
      </c>
      <c r="I366" t="s">
        <v>179</v>
      </c>
      <c r="J366">
        <f>YEAR(CONTROLE_PILHAS[[#This Row],[DATA]])</f>
        <v>2022</v>
      </c>
      <c r="K366">
        <f>MONTH(CONTROLE_PILHAS[[#This Row],[DATA]])</f>
        <v>4</v>
      </c>
      <c r="L366">
        <f>DAY(CONTROLE_PILHAS[[#This Row],[DATA]])</f>
        <v>21</v>
      </c>
    </row>
    <row r="367" spans="2:12" x14ac:dyDescent="0.25">
      <c r="B367" s="36" t="s">
        <v>22</v>
      </c>
      <c r="C367" s="30">
        <v>44672</v>
      </c>
      <c r="D367" s="36" t="s">
        <v>189</v>
      </c>
      <c r="E367" s="36" t="s">
        <v>222</v>
      </c>
      <c r="F367" s="36" t="s">
        <v>191</v>
      </c>
      <c r="G367" s="36" t="s">
        <v>191</v>
      </c>
      <c r="H367" s="36">
        <v>1</v>
      </c>
      <c r="I367" t="s">
        <v>179</v>
      </c>
      <c r="J367">
        <f>YEAR(CONTROLE_PILHAS[[#This Row],[DATA]])</f>
        <v>2022</v>
      </c>
      <c r="K367">
        <f>MONTH(CONTROLE_PILHAS[[#This Row],[DATA]])</f>
        <v>4</v>
      </c>
      <c r="L367">
        <f>DAY(CONTROLE_PILHAS[[#This Row],[DATA]])</f>
        <v>21</v>
      </c>
    </row>
    <row r="368" spans="2:12" x14ac:dyDescent="0.25">
      <c r="B368" s="36" t="s">
        <v>17</v>
      </c>
      <c r="C368" s="30">
        <v>44672</v>
      </c>
      <c r="D368" s="36" t="s">
        <v>189</v>
      </c>
      <c r="E368" s="36" t="s">
        <v>222</v>
      </c>
      <c r="F368" s="36" t="s">
        <v>191</v>
      </c>
      <c r="G368" s="36" t="s">
        <v>191</v>
      </c>
      <c r="H368" s="36">
        <v>1</v>
      </c>
      <c r="I368" t="s">
        <v>179</v>
      </c>
      <c r="J368">
        <f>YEAR(CONTROLE_PILHAS[[#This Row],[DATA]])</f>
        <v>2022</v>
      </c>
      <c r="K368">
        <f>MONTH(CONTROLE_PILHAS[[#This Row],[DATA]])</f>
        <v>4</v>
      </c>
      <c r="L368">
        <f>DAY(CONTROLE_PILHAS[[#This Row],[DATA]])</f>
        <v>21</v>
      </c>
    </row>
    <row r="369" spans="2:12" x14ac:dyDescent="0.25">
      <c r="B369" s="36" t="s">
        <v>14</v>
      </c>
      <c r="C369" s="30">
        <v>44672</v>
      </c>
      <c r="D369" s="36" t="s">
        <v>189</v>
      </c>
      <c r="E369" s="36" t="s">
        <v>462</v>
      </c>
      <c r="F369" s="36" t="s">
        <v>191</v>
      </c>
      <c r="G369" s="36" t="s">
        <v>191</v>
      </c>
      <c r="H369" s="36">
        <v>1</v>
      </c>
      <c r="I369" t="s">
        <v>179</v>
      </c>
      <c r="J369">
        <f>YEAR(CONTROLE_PILHAS[[#This Row],[DATA]])</f>
        <v>2022</v>
      </c>
      <c r="K369">
        <f>MONTH(CONTROLE_PILHAS[[#This Row],[DATA]])</f>
        <v>4</v>
      </c>
      <c r="L369">
        <f>DAY(CONTROLE_PILHAS[[#This Row],[DATA]])</f>
        <v>21</v>
      </c>
    </row>
    <row r="370" spans="2:12" x14ac:dyDescent="0.25">
      <c r="B370" s="36" t="s">
        <v>40</v>
      </c>
      <c r="C370" s="30">
        <v>44677</v>
      </c>
      <c r="D370" s="36" t="s">
        <v>189</v>
      </c>
      <c r="E370" s="36" t="s">
        <v>222</v>
      </c>
      <c r="F370" s="36" t="s">
        <v>793</v>
      </c>
      <c r="G370" s="36" t="s">
        <v>191</v>
      </c>
      <c r="H370" s="36">
        <v>1</v>
      </c>
      <c r="I370" t="s">
        <v>179</v>
      </c>
      <c r="J370">
        <f>YEAR(CONTROLE_PILHAS[[#This Row],[DATA]])</f>
        <v>2022</v>
      </c>
      <c r="K370">
        <f>MONTH(CONTROLE_PILHAS[[#This Row],[DATA]])</f>
        <v>4</v>
      </c>
      <c r="L370">
        <f>DAY(CONTROLE_PILHAS[[#This Row],[DATA]])</f>
        <v>26</v>
      </c>
    </row>
    <row r="371" spans="2:12" x14ac:dyDescent="0.25">
      <c r="B371" s="36" t="s">
        <v>5</v>
      </c>
      <c r="C371" s="30">
        <v>44679</v>
      </c>
      <c r="D371" s="36" t="s">
        <v>189</v>
      </c>
      <c r="E371" s="36" t="s">
        <v>462</v>
      </c>
      <c r="F371" s="36" t="s">
        <v>793</v>
      </c>
      <c r="G371" s="36" t="s">
        <v>191</v>
      </c>
      <c r="H371" s="36">
        <v>1</v>
      </c>
      <c r="I371" t="s">
        <v>179</v>
      </c>
      <c r="J371">
        <f>YEAR(CONTROLE_PILHAS[[#This Row],[DATA]])</f>
        <v>2022</v>
      </c>
      <c r="K371">
        <f>MONTH(CONTROLE_PILHAS[[#This Row],[DATA]])</f>
        <v>4</v>
      </c>
      <c r="L371">
        <f>DAY(CONTROLE_PILHAS[[#This Row],[DATA]])</f>
        <v>28</v>
      </c>
    </row>
    <row r="372" spans="2:12" x14ac:dyDescent="0.25">
      <c r="B372" s="36" t="s">
        <v>9</v>
      </c>
      <c r="C372" s="30">
        <v>44679</v>
      </c>
      <c r="D372" s="36" t="s">
        <v>189</v>
      </c>
      <c r="E372" s="36" t="s">
        <v>462</v>
      </c>
      <c r="F372" s="36" t="s">
        <v>793</v>
      </c>
      <c r="G372" s="36" t="s">
        <v>191</v>
      </c>
      <c r="H372" s="36">
        <v>1</v>
      </c>
      <c r="I372" t="s">
        <v>179</v>
      </c>
      <c r="J372">
        <f>YEAR(CONTROLE_PILHAS[[#This Row],[DATA]])</f>
        <v>2022</v>
      </c>
      <c r="K372">
        <f>MONTH(CONTROLE_PILHAS[[#This Row],[DATA]])</f>
        <v>4</v>
      </c>
      <c r="L372">
        <f>DAY(CONTROLE_PILHAS[[#This Row],[DATA]])</f>
        <v>28</v>
      </c>
    </row>
    <row r="373" spans="2:12" x14ac:dyDescent="0.25">
      <c r="B373" s="36" t="s">
        <v>41</v>
      </c>
      <c r="C373" s="30">
        <v>44680</v>
      </c>
      <c r="D373" s="36" t="s">
        <v>189</v>
      </c>
      <c r="E373" s="36" t="s">
        <v>222</v>
      </c>
      <c r="F373" s="36" t="s">
        <v>191</v>
      </c>
      <c r="G373" s="36" t="s">
        <v>191</v>
      </c>
      <c r="H373" s="36">
        <v>1</v>
      </c>
      <c r="I373" t="s">
        <v>179</v>
      </c>
      <c r="J373">
        <f>YEAR(CONTROLE_PILHAS[[#This Row],[DATA]])</f>
        <v>2022</v>
      </c>
      <c r="K373">
        <f>MONTH(CONTROLE_PILHAS[[#This Row],[DATA]])</f>
        <v>4</v>
      </c>
      <c r="L373">
        <f>DAY(CONTROLE_PILHAS[[#This Row],[DATA]])</f>
        <v>29</v>
      </c>
    </row>
    <row r="374" spans="2:12" x14ac:dyDescent="0.25">
      <c r="B374" s="36" t="s">
        <v>98</v>
      </c>
      <c r="C374" s="30">
        <v>44680</v>
      </c>
      <c r="D374" s="36" t="s">
        <v>189</v>
      </c>
      <c r="E374" s="36" t="s">
        <v>462</v>
      </c>
      <c r="F374" s="36" t="s">
        <v>191</v>
      </c>
      <c r="G374" s="36" t="s">
        <v>191</v>
      </c>
      <c r="H374" s="36">
        <v>1</v>
      </c>
      <c r="I374" t="s">
        <v>179</v>
      </c>
      <c r="J374">
        <f>YEAR(CONTROLE_PILHAS[[#This Row],[DATA]])</f>
        <v>2022</v>
      </c>
      <c r="K374">
        <f>MONTH(CONTROLE_PILHAS[[#This Row],[DATA]])</f>
        <v>4</v>
      </c>
      <c r="L374">
        <f>DAY(CONTROLE_PILHAS[[#This Row],[DATA]])</f>
        <v>29</v>
      </c>
    </row>
    <row r="375" spans="2:12" x14ac:dyDescent="0.25">
      <c r="B375" s="36" t="s">
        <v>17</v>
      </c>
      <c r="C375" s="30">
        <v>44680</v>
      </c>
      <c r="D375" s="36" t="s">
        <v>189</v>
      </c>
      <c r="E375" s="36" t="s">
        <v>462</v>
      </c>
      <c r="F375" s="36" t="s">
        <v>191</v>
      </c>
      <c r="G375" s="36" t="s">
        <v>191</v>
      </c>
      <c r="H375" s="36">
        <v>1</v>
      </c>
      <c r="I375" t="s">
        <v>179</v>
      </c>
      <c r="J375">
        <f>YEAR(CONTROLE_PILHAS[[#This Row],[DATA]])</f>
        <v>2022</v>
      </c>
      <c r="K375">
        <f>MONTH(CONTROLE_PILHAS[[#This Row],[DATA]])</f>
        <v>4</v>
      </c>
      <c r="L375">
        <f>DAY(CONTROLE_PILHAS[[#This Row],[DATA]])</f>
        <v>29</v>
      </c>
    </row>
    <row r="376" spans="2:12" x14ac:dyDescent="0.25">
      <c r="B376" s="36" t="s">
        <v>4</v>
      </c>
      <c r="C376" s="30">
        <v>44680</v>
      </c>
      <c r="D376" s="36" t="s">
        <v>189</v>
      </c>
      <c r="E376" s="36" t="s">
        <v>222</v>
      </c>
      <c r="F376" s="36" t="s">
        <v>191</v>
      </c>
      <c r="G376" s="36" t="s">
        <v>191</v>
      </c>
      <c r="H376" s="36">
        <v>1</v>
      </c>
      <c r="I376" t="s">
        <v>179</v>
      </c>
      <c r="J376">
        <f>YEAR(CONTROLE_PILHAS[[#This Row],[DATA]])</f>
        <v>2022</v>
      </c>
      <c r="K376">
        <f>MONTH(CONTROLE_PILHAS[[#This Row],[DATA]])</f>
        <v>4</v>
      </c>
      <c r="L376">
        <f>DAY(CONTROLE_PILHAS[[#This Row],[DATA]])</f>
        <v>29</v>
      </c>
    </row>
    <row r="377" spans="2:12" x14ac:dyDescent="0.25">
      <c r="B377" s="36" t="s">
        <v>40</v>
      </c>
      <c r="C377" s="30">
        <v>44683</v>
      </c>
      <c r="D377" s="36" t="s">
        <v>189</v>
      </c>
      <c r="E377" s="36" t="s">
        <v>462</v>
      </c>
      <c r="F377" s="36" t="s">
        <v>191</v>
      </c>
      <c r="G377" s="36" t="s">
        <v>191</v>
      </c>
      <c r="H377" s="36">
        <v>1</v>
      </c>
      <c r="I377" t="s">
        <v>179</v>
      </c>
      <c r="J377">
        <f>YEAR(CONTROLE_PILHAS[[#This Row],[DATA]])</f>
        <v>2022</v>
      </c>
      <c r="K377">
        <f>MONTH(CONTROLE_PILHAS[[#This Row],[DATA]])</f>
        <v>5</v>
      </c>
      <c r="L377">
        <f>DAY(CONTROLE_PILHAS[[#This Row],[DATA]])</f>
        <v>2</v>
      </c>
    </row>
    <row r="378" spans="2:12" x14ac:dyDescent="0.25">
      <c r="B378" s="36" t="s">
        <v>18</v>
      </c>
      <c r="C378" s="30">
        <v>44687</v>
      </c>
      <c r="D378" s="36" t="s">
        <v>189</v>
      </c>
      <c r="E378" s="36" t="s">
        <v>222</v>
      </c>
      <c r="F378" s="36" t="s">
        <v>191</v>
      </c>
      <c r="G378" s="36" t="s">
        <v>191</v>
      </c>
      <c r="H378" s="36">
        <v>1</v>
      </c>
      <c r="I378" t="s">
        <v>179</v>
      </c>
      <c r="J378">
        <f>YEAR(CONTROLE_PILHAS[[#This Row],[DATA]])</f>
        <v>2022</v>
      </c>
      <c r="K378">
        <f>MONTH(CONTROLE_PILHAS[[#This Row],[DATA]])</f>
        <v>5</v>
      </c>
      <c r="L378">
        <f>DAY(CONTROLE_PILHAS[[#This Row],[DATA]])</f>
        <v>6</v>
      </c>
    </row>
    <row r="379" spans="2:12" x14ac:dyDescent="0.25">
      <c r="B379" s="36" t="s">
        <v>40</v>
      </c>
      <c r="C379" s="30">
        <v>44687</v>
      </c>
      <c r="D379" s="36" t="s">
        <v>189</v>
      </c>
      <c r="E379" s="36" t="s">
        <v>462</v>
      </c>
      <c r="F379" s="36" t="s">
        <v>793</v>
      </c>
      <c r="G379" s="36" t="s">
        <v>191</v>
      </c>
      <c r="H379" s="36">
        <v>1</v>
      </c>
      <c r="I379" t="s">
        <v>179</v>
      </c>
      <c r="J379">
        <f>YEAR(CONTROLE_PILHAS[[#This Row],[DATA]])</f>
        <v>2022</v>
      </c>
      <c r="K379">
        <f>MONTH(CONTROLE_PILHAS[[#This Row],[DATA]])</f>
        <v>5</v>
      </c>
      <c r="L379">
        <f>DAY(CONTROLE_PILHAS[[#This Row],[DATA]])</f>
        <v>6</v>
      </c>
    </row>
    <row r="380" spans="2:12" x14ac:dyDescent="0.25">
      <c r="B380" s="36" t="s">
        <v>98</v>
      </c>
      <c r="C380" s="30">
        <v>44687</v>
      </c>
      <c r="D380" s="36" t="s">
        <v>189</v>
      </c>
      <c r="E380" s="36" t="s">
        <v>462</v>
      </c>
      <c r="F380" s="36" t="s">
        <v>191</v>
      </c>
      <c r="G380" s="36" t="s">
        <v>191</v>
      </c>
      <c r="H380" s="36">
        <v>1</v>
      </c>
      <c r="I380" t="s">
        <v>179</v>
      </c>
      <c r="J380">
        <f>YEAR(CONTROLE_PILHAS[[#This Row],[DATA]])</f>
        <v>2022</v>
      </c>
      <c r="K380">
        <f>MONTH(CONTROLE_PILHAS[[#This Row],[DATA]])</f>
        <v>5</v>
      </c>
      <c r="L380">
        <f>DAY(CONTROLE_PILHAS[[#This Row],[DATA]])</f>
        <v>6</v>
      </c>
    </row>
    <row r="381" spans="2:12" x14ac:dyDescent="0.25">
      <c r="B381" s="36" t="s">
        <v>18</v>
      </c>
      <c r="C381" s="30">
        <v>44687</v>
      </c>
      <c r="D381" s="36" t="s">
        <v>189</v>
      </c>
      <c r="E381" s="36" t="s">
        <v>462</v>
      </c>
      <c r="F381" s="36" t="s">
        <v>793</v>
      </c>
      <c r="G381" s="36" t="s">
        <v>191</v>
      </c>
      <c r="H381" s="36">
        <v>1</v>
      </c>
      <c r="I381" t="s">
        <v>179</v>
      </c>
      <c r="J381">
        <f>YEAR(CONTROLE_PILHAS[[#This Row],[DATA]])</f>
        <v>2022</v>
      </c>
      <c r="K381">
        <f>MONTH(CONTROLE_PILHAS[[#This Row],[DATA]])</f>
        <v>5</v>
      </c>
      <c r="L381">
        <f>DAY(CONTROLE_PILHAS[[#This Row],[DATA]])</f>
        <v>6</v>
      </c>
    </row>
    <row r="382" spans="2:12" x14ac:dyDescent="0.25">
      <c r="B382" s="36" t="s">
        <v>13</v>
      </c>
      <c r="C382" s="30">
        <v>44691</v>
      </c>
      <c r="D382" s="36" t="s">
        <v>189</v>
      </c>
      <c r="E382" s="36" t="s">
        <v>190</v>
      </c>
      <c r="F382" s="36" t="s">
        <v>793</v>
      </c>
      <c r="G382" s="36" t="s">
        <v>191</v>
      </c>
      <c r="H382" s="36">
        <v>1</v>
      </c>
      <c r="I382" t="s">
        <v>179</v>
      </c>
      <c r="J382">
        <f>YEAR(CONTROLE_PILHAS[[#This Row],[DATA]])</f>
        <v>2022</v>
      </c>
      <c r="K382">
        <f>MONTH(CONTROLE_PILHAS[[#This Row],[DATA]])</f>
        <v>5</v>
      </c>
      <c r="L382">
        <f>DAY(CONTROLE_PILHAS[[#This Row],[DATA]])</f>
        <v>10</v>
      </c>
    </row>
    <row r="383" spans="2:12" x14ac:dyDescent="0.25">
      <c r="B383" s="36" t="s">
        <v>9</v>
      </c>
      <c r="C383" s="30">
        <v>44693</v>
      </c>
      <c r="D383" s="36" t="s">
        <v>189</v>
      </c>
      <c r="E383" s="36" t="s">
        <v>462</v>
      </c>
      <c r="F383" s="36" t="s">
        <v>793</v>
      </c>
      <c r="G383" s="36" t="s">
        <v>191</v>
      </c>
      <c r="H383" s="36">
        <v>1</v>
      </c>
      <c r="I383" t="s">
        <v>179</v>
      </c>
      <c r="J383">
        <f>YEAR(CONTROLE_PILHAS[[#This Row],[DATA]])</f>
        <v>2022</v>
      </c>
      <c r="K383">
        <f>MONTH(CONTROLE_PILHAS[[#This Row],[DATA]])</f>
        <v>5</v>
      </c>
      <c r="L383">
        <f>DAY(CONTROLE_PILHAS[[#This Row],[DATA]])</f>
        <v>12</v>
      </c>
    </row>
    <row r="384" spans="2:12" x14ac:dyDescent="0.25">
      <c r="B384" s="36" t="s">
        <v>20</v>
      </c>
      <c r="C384" s="30">
        <v>44694</v>
      </c>
      <c r="D384" s="36" t="s">
        <v>189</v>
      </c>
      <c r="E384" s="36" t="s">
        <v>462</v>
      </c>
      <c r="F384" s="36" t="s">
        <v>793</v>
      </c>
      <c r="G384" s="36" t="s">
        <v>191</v>
      </c>
      <c r="H384" s="36">
        <v>1</v>
      </c>
      <c r="I384" t="s">
        <v>179</v>
      </c>
      <c r="J384">
        <f>YEAR(CONTROLE_PILHAS[[#This Row],[DATA]])</f>
        <v>2022</v>
      </c>
      <c r="K384">
        <f>MONTH(CONTROLE_PILHAS[[#This Row],[DATA]])</f>
        <v>5</v>
      </c>
      <c r="L384">
        <f>DAY(CONTROLE_PILHAS[[#This Row],[DATA]])</f>
        <v>13</v>
      </c>
    </row>
    <row r="385" spans="2:12" x14ac:dyDescent="0.25">
      <c r="B385" s="36" t="s">
        <v>21</v>
      </c>
      <c r="C385" s="30">
        <v>44697</v>
      </c>
      <c r="D385" s="36" t="s">
        <v>189</v>
      </c>
      <c r="E385" s="36" t="s">
        <v>222</v>
      </c>
      <c r="F385" s="36" t="s">
        <v>793</v>
      </c>
      <c r="G385" s="36" t="s">
        <v>356</v>
      </c>
      <c r="H385" s="36">
        <v>1</v>
      </c>
      <c r="I385" t="s">
        <v>179</v>
      </c>
      <c r="J385">
        <f>YEAR(CONTROLE_PILHAS[[#This Row],[DATA]])</f>
        <v>2022</v>
      </c>
      <c r="K385">
        <f>MONTH(CONTROLE_PILHAS[[#This Row],[DATA]])</f>
        <v>5</v>
      </c>
      <c r="L385">
        <f>DAY(CONTROLE_PILHAS[[#This Row],[DATA]])</f>
        <v>16</v>
      </c>
    </row>
    <row r="386" spans="2:12" x14ac:dyDescent="0.25">
      <c r="B386" s="36" t="s">
        <v>7</v>
      </c>
      <c r="C386" s="30">
        <v>44697</v>
      </c>
      <c r="D386" s="36" t="s">
        <v>189</v>
      </c>
      <c r="E386" s="36" t="s">
        <v>222</v>
      </c>
      <c r="F386" s="36" t="s">
        <v>793</v>
      </c>
      <c r="G386" s="36" t="s">
        <v>191</v>
      </c>
      <c r="H386" s="36">
        <v>1</v>
      </c>
      <c r="I386" t="s">
        <v>179</v>
      </c>
      <c r="J386">
        <f>YEAR(CONTROLE_PILHAS[[#This Row],[DATA]])</f>
        <v>2022</v>
      </c>
      <c r="K386">
        <f>MONTH(CONTROLE_PILHAS[[#This Row],[DATA]])</f>
        <v>5</v>
      </c>
      <c r="L386">
        <f>DAY(CONTROLE_PILHAS[[#This Row],[DATA]])</f>
        <v>16</v>
      </c>
    </row>
    <row r="387" spans="2:12" x14ac:dyDescent="0.25">
      <c r="B387" s="36" t="s">
        <v>14</v>
      </c>
      <c r="C387" s="30">
        <v>44697</v>
      </c>
      <c r="D387" s="36" t="s">
        <v>189</v>
      </c>
      <c r="E387" s="36" t="s">
        <v>462</v>
      </c>
      <c r="F387" s="36" t="s">
        <v>793</v>
      </c>
      <c r="G387" s="36" t="s">
        <v>191</v>
      </c>
      <c r="H387" s="36">
        <v>1</v>
      </c>
      <c r="I387" t="s">
        <v>179</v>
      </c>
      <c r="J387">
        <f>YEAR(CONTROLE_PILHAS[[#This Row],[DATA]])</f>
        <v>2022</v>
      </c>
      <c r="K387">
        <f>MONTH(CONTROLE_PILHAS[[#This Row],[DATA]])</f>
        <v>5</v>
      </c>
      <c r="L387">
        <f>DAY(CONTROLE_PILHAS[[#This Row],[DATA]])</f>
        <v>16</v>
      </c>
    </row>
    <row r="388" spans="2:12" x14ac:dyDescent="0.25">
      <c r="B388" s="36" t="s">
        <v>18</v>
      </c>
      <c r="C388" s="30">
        <v>44700</v>
      </c>
      <c r="D388" s="36" t="s">
        <v>189</v>
      </c>
      <c r="E388" s="36" t="s">
        <v>222</v>
      </c>
      <c r="F388" s="36" t="s">
        <v>793</v>
      </c>
      <c r="G388" s="36" t="s">
        <v>356</v>
      </c>
      <c r="H388" s="36">
        <v>1</v>
      </c>
      <c r="I388" t="s">
        <v>179</v>
      </c>
      <c r="J388">
        <f>YEAR(CONTROLE_PILHAS[[#This Row],[DATA]])</f>
        <v>2022</v>
      </c>
      <c r="K388">
        <f>MONTH(CONTROLE_PILHAS[[#This Row],[DATA]])</f>
        <v>5</v>
      </c>
      <c r="L388">
        <f>DAY(CONTROLE_PILHAS[[#This Row],[DATA]])</f>
        <v>19</v>
      </c>
    </row>
    <row r="389" spans="2:12" x14ac:dyDescent="0.25">
      <c r="B389" s="36" t="s">
        <v>15</v>
      </c>
      <c r="C389" s="30">
        <v>44701</v>
      </c>
      <c r="D389" s="36" t="s">
        <v>189</v>
      </c>
      <c r="E389" s="36" t="s">
        <v>222</v>
      </c>
      <c r="F389" s="36" t="s">
        <v>793</v>
      </c>
      <c r="G389" s="36" t="s">
        <v>191</v>
      </c>
      <c r="H389" s="36">
        <v>1</v>
      </c>
      <c r="I389" t="s">
        <v>179</v>
      </c>
      <c r="J389">
        <f>YEAR(CONTROLE_PILHAS[[#This Row],[DATA]])</f>
        <v>2022</v>
      </c>
      <c r="K389">
        <f>MONTH(CONTROLE_PILHAS[[#This Row],[DATA]])</f>
        <v>5</v>
      </c>
      <c r="L389">
        <f>DAY(CONTROLE_PILHAS[[#This Row],[DATA]])</f>
        <v>20</v>
      </c>
    </row>
    <row r="390" spans="2:12" x14ac:dyDescent="0.25">
      <c r="B390" s="36" t="s">
        <v>8</v>
      </c>
      <c r="C390" s="30">
        <v>44701</v>
      </c>
      <c r="D390" s="36" t="s">
        <v>189</v>
      </c>
      <c r="E390" s="36" t="s">
        <v>462</v>
      </c>
      <c r="F390" s="36" t="s">
        <v>793</v>
      </c>
      <c r="G390" s="36" t="s">
        <v>191</v>
      </c>
      <c r="H390" s="36">
        <v>1</v>
      </c>
      <c r="I390" t="s">
        <v>179</v>
      </c>
      <c r="J390">
        <f>YEAR(CONTROLE_PILHAS[[#This Row],[DATA]])</f>
        <v>2022</v>
      </c>
      <c r="K390">
        <f>MONTH(CONTROLE_PILHAS[[#This Row],[DATA]])</f>
        <v>5</v>
      </c>
      <c r="L390">
        <f>DAY(CONTROLE_PILHAS[[#This Row],[DATA]])</f>
        <v>20</v>
      </c>
    </row>
    <row r="391" spans="2:12" x14ac:dyDescent="0.25">
      <c r="B391" s="36" t="s">
        <v>7</v>
      </c>
      <c r="C391" s="30">
        <v>44705</v>
      </c>
      <c r="D391" s="36" t="s">
        <v>189</v>
      </c>
      <c r="E391" s="36" t="s">
        <v>222</v>
      </c>
      <c r="F391" s="36" t="s">
        <v>793</v>
      </c>
      <c r="G391" s="36" t="s">
        <v>356</v>
      </c>
      <c r="H391" s="36">
        <v>1</v>
      </c>
      <c r="I391" t="s">
        <v>179</v>
      </c>
      <c r="J391">
        <f>YEAR(CONTROLE_PILHAS[[#This Row],[DATA]])</f>
        <v>2022</v>
      </c>
      <c r="K391">
        <f>MONTH(CONTROLE_PILHAS[[#This Row],[DATA]])</f>
        <v>5</v>
      </c>
      <c r="L391">
        <f>DAY(CONTROLE_PILHAS[[#This Row],[DATA]])</f>
        <v>24</v>
      </c>
    </row>
    <row r="392" spans="2:12" x14ac:dyDescent="0.25">
      <c r="B392" s="36" t="s">
        <v>14</v>
      </c>
      <c r="C392" s="30">
        <v>44705</v>
      </c>
      <c r="D392" s="36" t="s">
        <v>189</v>
      </c>
      <c r="E392" s="36" t="s">
        <v>462</v>
      </c>
      <c r="F392" s="36" t="s">
        <v>793</v>
      </c>
      <c r="G392" s="36" t="s">
        <v>356</v>
      </c>
      <c r="H392" s="36">
        <v>1</v>
      </c>
      <c r="I392" t="s">
        <v>179</v>
      </c>
      <c r="J392">
        <f>YEAR(CONTROLE_PILHAS[[#This Row],[DATA]])</f>
        <v>2022</v>
      </c>
      <c r="K392">
        <f>MONTH(CONTROLE_PILHAS[[#This Row],[DATA]])</f>
        <v>5</v>
      </c>
      <c r="L392">
        <f>DAY(CONTROLE_PILHAS[[#This Row],[DATA]])</f>
        <v>24</v>
      </c>
    </row>
    <row r="393" spans="2:12" x14ac:dyDescent="0.25">
      <c r="B393" s="36" t="s">
        <v>16</v>
      </c>
      <c r="C393" s="30">
        <v>44705</v>
      </c>
      <c r="D393" s="36" t="s">
        <v>189</v>
      </c>
      <c r="E393" s="36" t="s">
        <v>222</v>
      </c>
      <c r="F393" s="36" t="s">
        <v>793</v>
      </c>
      <c r="G393" s="36" t="s">
        <v>356</v>
      </c>
      <c r="H393" s="36">
        <v>1</v>
      </c>
      <c r="I393" t="s">
        <v>179</v>
      </c>
      <c r="J393">
        <f>YEAR(CONTROLE_PILHAS[[#This Row],[DATA]])</f>
        <v>2022</v>
      </c>
      <c r="K393">
        <f>MONTH(CONTROLE_PILHAS[[#This Row],[DATA]])</f>
        <v>5</v>
      </c>
      <c r="L393">
        <f>DAY(CONTROLE_PILHAS[[#This Row],[DATA]])</f>
        <v>24</v>
      </c>
    </row>
    <row r="394" spans="2:12" x14ac:dyDescent="0.25">
      <c r="B394" s="36" t="s">
        <v>5</v>
      </c>
      <c r="C394" s="30">
        <v>44708</v>
      </c>
      <c r="D394" s="36" t="s">
        <v>189</v>
      </c>
      <c r="E394" s="36" t="s">
        <v>462</v>
      </c>
      <c r="F394" s="36" t="s">
        <v>793</v>
      </c>
      <c r="G394" s="36" t="s">
        <v>356</v>
      </c>
      <c r="H394" s="36">
        <v>1</v>
      </c>
      <c r="I394" t="s">
        <v>179</v>
      </c>
      <c r="J394">
        <f>YEAR(CONTROLE_PILHAS[[#This Row],[DATA]])</f>
        <v>2022</v>
      </c>
      <c r="K394">
        <f>MONTH(CONTROLE_PILHAS[[#This Row],[DATA]])</f>
        <v>5</v>
      </c>
      <c r="L394">
        <f>DAY(CONTROLE_PILHAS[[#This Row],[DATA]])</f>
        <v>27</v>
      </c>
    </row>
    <row r="395" spans="2:12" x14ac:dyDescent="0.25">
      <c r="B395" s="36" t="s">
        <v>9</v>
      </c>
      <c r="C395" s="30">
        <v>44708</v>
      </c>
      <c r="D395" s="36" t="s">
        <v>189</v>
      </c>
      <c r="E395" s="36" t="s">
        <v>462</v>
      </c>
      <c r="F395" s="36" t="s">
        <v>793</v>
      </c>
      <c r="G395" s="36" t="s">
        <v>356</v>
      </c>
      <c r="H395" s="36">
        <v>1</v>
      </c>
      <c r="I395" t="s">
        <v>179</v>
      </c>
      <c r="J395">
        <f>YEAR(CONTROLE_PILHAS[[#This Row],[DATA]])</f>
        <v>2022</v>
      </c>
      <c r="K395">
        <f>MONTH(CONTROLE_PILHAS[[#This Row],[DATA]])</f>
        <v>5</v>
      </c>
      <c r="L395">
        <f>DAY(CONTROLE_PILHAS[[#This Row],[DATA]])</f>
        <v>27</v>
      </c>
    </row>
    <row r="396" spans="2:12" x14ac:dyDescent="0.25">
      <c r="B396" s="36" t="s">
        <v>41</v>
      </c>
      <c r="C396" s="30">
        <v>44711</v>
      </c>
      <c r="D396" s="36" t="s">
        <v>189</v>
      </c>
      <c r="E396" s="36" t="s">
        <v>222</v>
      </c>
      <c r="F396" s="36" t="s">
        <v>793</v>
      </c>
      <c r="G396" s="36" t="s">
        <v>191</v>
      </c>
      <c r="H396" s="36">
        <v>1</v>
      </c>
      <c r="I396" t="s">
        <v>179</v>
      </c>
      <c r="J396">
        <f>YEAR(CONTROLE_PILHAS[[#This Row],[DATA]])</f>
        <v>2022</v>
      </c>
      <c r="K396">
        <f>MONTH(CONTROLE_PILHAS[[#This Row],[DATA]])</f>
        <v>5</v>
      </c>
      <c r="L396">
        <f>DAY(CONTROLE_PILHAS[[#This Row],[DATA]])</f>
        <v>30</v>
      </c>
    </row>
    <row r="397" spans="2:12" x14ac:dyDescent="0.25">
      <c r="B397" s="36" t="s">
        <v>98</v>
      </c>
      <c r="C397" s="30">
        <v>44712</v>
      </c>
      <c r="D397" s="36" t="s">
        <v>189</v>
      </c>
      <c r="E397" s="36" t="s">
        <v>222</v>
      </c>
      <c r="F397" s="36" t="s">
        <v>793</v>
      </c>
      <c r="G397" s="36" t="s">
        <v>356</v>
      </c>
      <c r="H397" s="36">
        <v>1</v>
      </c>
      <c r="I397" t="s">
        <v>179</v>
      </c>
      <c r="J397">
        <f>YEAR(CONTROLE_PILHAS[[#This Row],[DATA]])</f>
        <v>2022</v>
      </c>
      <c r="K397">
        <f>MONTH(CONTROLE_PILHAS[[#This Row],[DATA]])</f>
        <v>5</v>
      </c>
      <c r="L397">
        <f>DAY(CONTROLE_PILHAS[[#This Row],[DATA]])</f>
        <v>31</v>
      </c>
    </row>
    <row r="398" spans="2:12" x14ac:dyDescent="0.25">
      <c r="B398" s="36" t="s">
        <v>17</v>
      </c>
      <c r="C398" s="30">
        <v>44712</v>
      </c>
      <c r="D398" s="36" t="s">
        <v>189</v>
      </c>
      <c r="E398" s="36" t="s">
        <v>462</v>
      </c>
      <c r="F398" s="36" t="s">
        <v>793</v>
      </c>
      <c r="G398" s="36" t="s">
        <v>356</v>
      </c>
      <c r="H398" s="36">
        <v>1</v>
      </c>
      <c r="I398" t="s">
        <v>179</v>
      </c>
      <c r="J398">
        <f>YEAR(CONTROLE_PILHAS[[#This Row],[DATA]])</f>
        <v>2022</v>
      </c>
      <c r="K398">
        <f>MONTH(CONTROLE_PILHAS[[#This Row],[DATA]])</f>
        <v>5</v>
      </c>
      <c r="L398">
        <f>DAY(CONTROLE_PILHAS[[#This Row],[DATA]])</f>
        <v>31</v>
      </c>
    </row>
    <row r="399" spans="2:12" x14ac:dyDescent="0.25">
      <c r="B399" s="36" t="s">
        <v>4</v>
      </c>
      <c r="C399" s="30">
        <v>44712</v>
      </c>
      <c r="D399" s="36" t="s">
        <v>189</v>
      </c>
      <c r="E399" s="36" t="s">
        <v>222</v>
      </c>
      <c r="F399" s="36" t="s">
        <v>793</v>
      </c>
      <c r="G399" s="36" t="s">
        <v>356</v>
      </c>
      <c r="H399" s="36">
        <v>1</v>
      </c>
      <c r="I399" t="s">
        <v>179</v>
      </c>
      <c r="J399">
        <f>YEAR(CONTROLE_PILHAS[[#This Row],[DATA]])</f>
        <v>2022</v>
      </c>
      <c r="K399">
        <f>MONTH(CONTROLE_PILHAS[[#This Row],[DATA]])</f>
        <v>5</v>
      </c>
      <c r="L399">
        <f>DAY(CONTROLE_PILHAS[[#This Row],[DATA]])</f>
        <v>31</v>
      </c>
    </row>
    <row r="400" spans="2:12" x14ac:dyDescent="0.25">
      <c r="B400" s="36" t="s">
        <v>15</v>
      </c>
      <c r="C400" s="30">
        <v>44712</v>
      </c>
      <c r="D400" s="36" t="s">
        <v>189</v>
      </c>
      <c r="E400" s="36" t="s">
        <v>462</v>
      </c>
      <c r="F400" s="36" t="s">
        <v>793</v>
      </c>
      <c r="G400" s="36" t="s">
        <v>356</v>
      </c>
      <c r="H400" s="36">
        <v>1</v>
      </c>
      <c r="I400" t="s">
        <v>179</v>
      </c>
      <c r="J400">
        <f>YEAR(CONTROLE_PILHAS[[#This Row],[DATA]])</f>
        <v>2022</v>
      </c>
      <c r="K400">
        <f>MONTH(CONTROLE_PILHAS[[#This Row],[DATA]])</f>
        <v>5</v>
      </c>
      <c r="L400">
        <f>DAY(CONTROLE_PILHAS[[#This Row],[DATA]])</f>
        <v>31</v>
      </c>
    </row>
    <row r="401" spans="2:12" x14ac:dyDescent="0.25">
      <c r="B401" s="36" t="s">
        <v>5</v>
      </c>
      <c r="C401" s="30">
        <v>44713</v>
      </c>
      <c r="D401" s="36" t="s">
        <v>189</v>
      </c>
      <c r="E401" s="36" t="s">
        <v>222</v>
      </c>
      <c r="F401" s="36" t="s">
        <v>793</v>
      </c>
      <c r="G401" s="36" t="s">
        <v>356</v>
      </c>
      <c r="H401" s="36">
        <v>1</v>
      </c>
      <c r="I401" t="s">
        <v>179</v>
      </c>
      <c r="J401">
        <f>YEAR(CONTROLE_PILHAS[[#This Row],[DATA]])</f>
        <v>2022</v>
      </c>
      <c r="K401">
        <f>MONTH(CONTROLE_PILHAS[[#This Row],[DATA]])</f>
        <v>6</v>
      </c>
      <c r="L401">
        <f>DAY(CONTROLE_PILHAS[[#This Row],[DATA]])</f>
        <v>1</v>
      </c>
    </row>
    <row r="402" spans="2:12" x14ac:dyDescent="0.25">
      <c r="B402" s="36" t="s">
        <v>9</v>
      </c>
      <c r="C402" s="30">
        <v>44713</v>
      </c>
      <c r="D402" s="36" t="s">
        <v>189</v>
      </c>
      <c r="E402" s="36" t="s">
        <v>462</v>
      </c>
      <c r="F402" s="36" t="s">
        <v>793</v>
      </c>
      <c r="G402" s="36" t="s">
        <v>356</v>
      </c>
      <c r="H402" s="36">
        <v>1</v>
      </c>
      <c r="I402" t="s">
        <v>179</v>
      </c>
      <c r="J402">
        <f>YEAR(CONTROLE_PILHAS[[#This Row],[DATA]])</f>
        <v>2022</v>
      </c>
      <c r="K402">
        <f>MONTH(CONTROLE_PILHAS[[#This Row],[DATA]])</f>
        <v>6</v>
      </c>
      <c r="L402">
        <f>DAY(CONTROLE_PILHAS[[#This Row],[DATA]])</f>
        <v>1</v>
      </c>
    </row>
    <row r="403" spans="2:12" x14ac:dyDescent="0.25">
      <c r="B403" s="36" t="s">
        <v>18</v>
      </c>
      <c r="C403" s="30">
        <v>44715</v>
      </c>
      <c r="D403" s="36" t="s">
        <v>189</v>
      </c>
      <c r="E403" s="36" t="s">
        <v>462</v>
      </c>
      <c r="F403" s="36" t="s">
        <v>793</v>
      </c>
      <c r="G403" s="36" t="s">
        <v>191</v>
      </c>
      <c r="H403" s="36">
        <v>1</v>
      </c>
      <c r="I403" t="s">
        <v>179</v>
      </c>
      <c r="J403">
        <f>YEAR(CONTROLE_PILHAS[[#This Row],[DATA]])</f>
        <v>2022</v>
      </c>
      <c r="K403">
        <f>MONTH(CONTROLE_PILHAS[[#This Row],[DATA]])</f>
        <v>6</v>
      </c>
      <c r="L403">
        <f>DAY(CONTROLE_PILHAS[[#This Row],[DATA]])</f>
        <v>3</v>
      </c>
    </row>
    <row r="404" spans="2:12" x14ac:dyDescent="0.25">
      <c r="B404" s="36" t="s">
        <v>98</v>
      </c>
      <c r="C404" s="30">
        <v>44715</v>
      </c>
      <c r="D404" s="36" t="s">
        <v>189</v>
      </c>
      <c r="E404" s="36" t="s">
        <v>222</v>
      </c>
      <c r="F404" s="36" t="s">
        <v>793</v>
      </c>
      <c r="G404" s="36" t="s">
        <v>356</v>
      </c>
      <c r="H404" s="36">
        <v>1</v>
      </c>
      <c r="I404" t="s">
        <v>179</v>
      </c>
      <c r="J404">
        <f>YEAR(CONTROLE_PILHAS[[#This Row],[DATA]])</f>
        <v>2022</v>
      </c>
      <c r="K404">
        <f>MONTH(CONTROLE_PILHAS[[#This Row],[DATA]])</f>
        <v>6</v>
      </c>
      <c r="L404">
        <f>DAY(CONTROLE_PILHAS[[#This Row],[DATA]])</f>
        <v>3</v>
      </c>
    </row>
    <row r="405" spans="2:12" x14ac:dyDescent="0.25">
      <c r="B405" s="36" t="s">
        <v>22</v>
      </c>
      <c r="C405" s="30">
        <v>44718</v>
      </c>
      <c r="D405" s="36" t="s">
        <v>189</v>
      </c>
      <c r="E405" s="36" t="s">
        <v>222</v>
      </c>
      <c r="F405" s="36" t="s">
        <v>793</v>
      </c>
      <c r="G405" s="36" t="s">
        <v>356</v>
      </c>
      <c r="H405" s="36">
        <v>1</v>
      </c>
      <c r="I405" t="s">
        <v>179</v>
      </c>
      <c r="J405">
        <f>YEAR(CONTROLE_PILHAS[[#This Row],[DATA]])</f>
        <v>2022</v>
      </c>
      <c r="K405">
        <f>MONTH(CONTROLE_PILHAS[[#This Row],[DATA]])</f>
        <v>6</v>
      </c>
      <c r="L405">
        <f>DAY(CONTROLE_PILHAS[[#This Row],[DATA]])</f>
        <v>6</v>
      </c>
    </row>
    <row r="406" spans="2:12" x14ac:dyDescent="0.25">
      <c r="B406" s="36" t="s">
        <v>18</v>
      </c>
      <c r="C406" s="30">
        <v>44718</v>
      </c>
      <c r="D406" s="36" t="s">
        <v>189</v>
      </c>
      <c r="E406" s="36" t="s">
        <v>462</v>
      </c>
      <c r="F406" s="36" t="s">
        <v>793</v>
      </c>
      <c r="G406" s="36" t="s">
        <v>356</v>
      </c>
      <c r="H406" s="36">
        <v>1</v>
      </c>
      <c r="I406" t="s">
        <v>179</v>
      </c>
      <c r="J406">
        <f>YEAR(CONTROLE_PILHAS[[#This Row],[DATA]])</f>
        <v>2022</v>
      </c>
      <c r="K406">
        <f>MONTH(CONTROLE_PILHAS[[#This Row],[DATA]])</f>
        <v>6</v>
      </c>
      <c r="L406">
        <f>DAY(CONTROLE_PILHAS[[#This Row],[DATA]])</f>
        <v>6</v>
      </c>
    </row>
    <row r="407" spans="2:12" x14ac:dyDescent="0.25">
      <c r="B407" s="36" t="s">
        <v>40</v>
      </c>
      <c r="C407" s="30">
        <v>44718</v>
      </c>
      <c r="D407" s="36" t="s">
        <v>189</v>
      </c>
      <c r="E407" s="36" t="s">
        <v>222</v>
      </c>
      <c r="F407" s="36" t="s">
        <v>793</v>
      </c>
      <c r="G407" s="36" t="s">
        <v>356</v>
      </c>
      <c r="H407" s="36">
        <v>1</v>
      </c>
      <c r="I407" t="s">
        <v>179</v>
      </c>
      <c r="J407">
        <f>YEAR(CONTROLE_PILHAS[[#This Row],[DATA]])</f>
        <v>2022</v>
      </c>
      <c r="K407">
        <f>MONTH(CONTROLE_PILHAS[[#This Row],[DATA]])</f>
        <v>6</v>
      </c>
      <c r="L407">
        <f>DAY(CONTROLE_PILHAS[[#This Row],[DATA]])</f>
        <v>6</v>
      </c>
    </row>
    <row r="408" spans="2:12" x14ac:dyDescent="0.25">
      <c r="B408" s="36"/>
      <c r="C408" s="30"/>
      <c r="D408" s="36"/>
      <c r="E408" s="36"/>
      <c r="F408" s="36"/>
      <c r="G408" s="36"/>
      <c r="H408" s="36"/>
    </row>
    <row r="409" spans="2:12" x14ac:dyDescent="0.25">
      <c r="B409" s="36"/>
      <c r="C409" s="30"/>
      <c r="D409" s="36"/>
      <c r="E409" s="36"/>
      <c r="F409" s="36"/>
      <c r="G409" s="36"/>
      <c r="H409" s="36"/>
    </row>
    <row r="410" spans="2:12" x14ac:dyDescent="0.25">
      <c r="B410" s="36"/>
      <c r="C410" s="30"/>
      <c r="D410" s="36"/>
      <c r="E410" s="36"/>
      <c r="F410" s="36"/>
      <c r="G410" s="36"/>
      <c r="H410" s="36"/>
    </row>
    <row r="411" spans="2:12" x14ac:dyDescent="0.25">
      <c r="B411" s="36"/>
      <c r="C411" s="30"/>
      <c r="D411" s="36"/>
      <c r="E411" s="36"/>
      <c r="F411" s="36"/>
      <c r="G411" s="36"/>
      <c r="H411" s="36"/>
    </row>
    <row r="412" spans="2:12" x14ac:dyDescent="0.25">
      <c r="B412" s="36"/>
      <c r="C412" s="30"/>
      <c r="D412" s="36"/>
      <c r="E412" s="36"/>
      <c r="F412" s="36"/>
      <c r="G412" s="36"/>
      <c r="H412" s="36"/>
    </row>
    <row r="413" spans="2:12" x14ac:dyDescent="0.25">
      <c r="B413" s="36"/>
      <c r="C413" s="30"/>
      <c r="D413" s="36"/>
      <c r="E413" s="36"/>
      <c r="F413" s="36"/>
      <c r="G413" s="36"/>
      <c r="H413" s="36"/>
    </row>
    <row r="414" spans="2:12" x14ac:dyDescent="0.25">
      <c r="B414" s="36"/>
      <c r="C414" s="30"/>
      <c r="D414" s="36"/>
      <c r="E414" s="36"/>
      <c r="F414" s="36"/>
      <c r="G414" s="36"/>
      <c r="H414" s="36"/>
    </row>
    <row r="415" spans="2:12" x14ac:dyDescent="0.25">
      <c r="B415" s="36"/>
      <c r="C415" s="30"/>
      <c r="D415" s="36"/>
      <c r="E415" s="36"/>
      <c r="F415" s="36"/>
      <c r="G415" s="36"/>
      <c r="H415" s="36"/>
    </row>
    <row r="416" spans="2:12" x14ac:dyDescent="0.25">
      <c r="B416" s="36"/>
      <c r="C416" s="30"/>
      <c r="D416" s="36"/>
      <c r="E416" s="36"/>
      <c r="F416" s="36"/>
      <c r="G416" s="36"/>
      <c r="H416" s="36"/>
    </row>
    <row r="417" spans="2:8" x14ac:dyDescent="0.25">
      <c r="B417" s="36"/>
      <c r="C417" s="30"/>
      <c r="D417" s="36"/>
      <c r="E417" s="36"/>
      <c r="F417" s="36"/>
      <c r="G417" s="36"/>
      <c r="H417" s="36"/>
    </row>
    <row r="418" spans="2:8" x14ac:dyDescent="0.25">
      <c r="B418" s="36"/>
      <c r="C418" s="30"/>
      <c r="D418" s="36"/>
      <c r="E418" s="36"/>
      <c r="F418" s="36"/>
      <c r="G418" s="36"/>
      <c r="H418" s="36"/>
    </row>
    <row r="419" spans="2:8" x14ac:dyDescent="0.25">
      <c r="B419" s="36"/>
      <c r="C419" s="30"/>
      <c r="D419" s="36"/>
      <c r="E419" s="36"/>
      <c r="F419" s="36"/>
      <c r="G419" s="36"/>
      <c r="H419" s="36"/>
    </row>
    <row r="420" spans="2:8" x14ac:dyDescent="0.25">
      <c r="B420" s="36"/>
      <c r="C420" s="30"/>
      <c r="D420" s="36"/>
      <c r="E420" s="36"/>
      <c r="F420" s="36"/>
      <c r="G420" s="36"/>
      <c r="H420" s="36"/>
    </row>
    <row r="421" spans="2:8" x14ac:dyDescent="0.25">
      <c r="B421" s="36"/>
      <c r="C421" s="30"/>
      <c r="D421" s="36"/>
      <c r="E421" s="36"/>
      <c r="F421" s="36"/>
      <c r="G421" s="36"/>
      <c r="H421" s="36"/>
    </row>
    <row r="422" spans="2:8" x14ac:dyDescent="0.25">
      <c r="B422" s="36"/>
      <c r="C422" s="30"/>
      <c r="D422" s="36"/>
      <c r="E422" s="36"/>
      <c r="F422" s="36"/>
      <c r="G422" s="36"/>
      <c r="H422" s="36"/>
    </row>
    <row r="423" spans="2:8" x14ac:dyDescent="0.25">
      <c r="B423" s="36"/>
      <c r="C423" s="30"/>
      <c r="D423" s="36"/>
      <c r="E423" s="36"/>
      <c r="F423" s="36"/>
      <c r="G423" s="36"/>
      <c r="H423" s="36"/>
    </row>
    <row r="424" spans="2:8" x14ac:dyDescent="0.25">
      <c r="B424" s="36"/>
      <c r="C424" s="30"/>
      <c r="D424" s="36"/>
      <c r="E424" s="36"/>
      <c r="F424" s="36"/>
      <c r="G424" s="36"/>
      <c r="H424" s="36"/>
    </row>
    <row r="425" spans="2:8" x14ac:dyDescent="0.25">
      <c r="B425" s="36"/>
      <c r="C425" s="30"/>
      <c r="D425" s="36"/>
      <c r="E425" s="36"/>
      <c r="F425" s="36"/>
      <c r="G425" s="36"/>
      <c r="H425" s="36"/>
    </row>
    <row r="426" spans="2:8" x14ac:dyDescent="0.25">
      <c r="B426" s="36"/>
      <c r="C426" s="30"/>
      <c r="D426" s="36"/>
      <c r="E426" s="36"/>
      <c r="F426" s="36"/>
      <c r="G426" s="36"/>
      <c r="H426" s="36"/>
    </row>
    <row r="427" spans="2:8" x14ac:dyDescent="0.25">
      <c r="B427" s="36"/>
      <c r="C427" s="30"/>
      <c r="D427" s="36"/>
      <c r="E427" s="36"/>
      <c r="F427" s="36"/>
      <c r="G427" s="36"/>
      <c r="H427" s="36"/>
    </row>
    <row r="428" spans="2:8" x14ac:dyDescent="0.25">
      <c r="B428" s="36"/>
      <c r="C428" s="30"/>
      <c r="D428" s="36"/>
      <c r="E428" s="36"/>
      <c r="F428" s="36"/>
      <c r="G428" s="36"/>
      <c r="H428" s="36"/>
    </row>
    <row r="429" spans="2:8" x14ac:dyDescent="0.25">
      <c r="B429" s="36"/>
      <c r="C429" s="30"/>
      <c r="D429" s="36"/>
      <c r="E429" s="36"/>
      <c r="F429" s="36"/>
      <c r="G429" s="36"/>
      <c r="H429" s="36"/>
    </row>
    <row r="430" spans="2:8" x14ac:dyDescent="0.25">
      <c r="B430" s="36"/>
      <c r="C430" s="30"/>
      <c r="D430" s="36"/>
      <c r="E430" s="36"/>
      <c r="F430" s="36"/>
      <c r="G430" s="36"/>
      <c r="H430" s="36"/>
    </row>
    <row r="431" spans="2:8" x14ac:dyDescent="0.25">
      <c r="B431" s="36"/>
      <c r="C431" s="30"/>
      <c r="D431" s="36"/>
      <c r="E431" s="36"/>
      <c r="F431" s="36"/>
      <c r="G431" s="36"/>
      <c r="H431" s="36"/>
    </row>
    <row r="432" spans="2:8" x14ac:dyDescent="0.25">
      <c r="B432" s="36"/>
      <c r="C432" s="30"/>
      <c r="D432" s="36"/>
      <c r="E432" s="36"/>
      <c r="F432" s="36"/>
      <c r="G432" s="36"/>
      <c r="H432" s="36"/>
    </row>
    <row r="433" spans="2:8" x14ac:dyDescent="0.25">
      <c r="B433" s="36"/>
      <c r="C433" s="30"/>
      <c r="D433" s="36"/>
      <c r="E433" s="36"/>
      <c r="F433" s="36"/>
      <c r="G433" s="36"/>
      <c r="H433" s="36"/>
    </row>
    <row r="434" spans="2:8" x14ac:dyDescent="0.25">
      <c r="B434" s="36"/>
      <c r="C434" s="30"/>
      <c r="D434" s="36"/>
      <c r="E434" s="36"/>
      <c r="F434" s="36"/>
      <c r="G434" s="36"/>
      <c r="H434" s="36"/>
    </row>
    <row r="435" spans="2:8" x14ac:dyDescent="0.25">
      <c r="B435" s="36"/>
      <c r="C435" s="30"/>
      <c r="D435" s="36"/>
      <c r="E435" s="36"/>
      <c r="F435" s="36"/>
      <c r="G435" s="36"/>
      <c r="H435" s="36"/>
    </row>
    <row r="436" spans="2:8" x14ac:dyDescent="0.25">
      <c r="B436" s="36"/>
      <c r="C436" s="30"/>
      <c r="D436" s="36"/>
      <c r="E436" s="36"/>
      <c r="F436" s="36"/>
      <c r="G436" s="36"/>
      <c r="H436" s="36"/>
    </row>
    <row r="437" spans="2:8" x14ac:dyDescent="0.25">
      <c r="B437" s="36"/>
      <c r="C437" s="30"/>
      <c r="D437" s="36"/>
      <c r="E437" s="36"/>
      <c r="F437" s="36"/>
      <c r="G437" s="36"/>
      <c r="H437" s="36"/>
    </row>
    <row r="438" spans="2:8" x14ac:dyDescent="0.25">
      <c r="B438" s="36"/>
      <c r="C438" s="30"/>
      <c r="D438" s="36"/>
      <c r="E438" s="36"/>
      <c r="F438" s="36"/>
      <c r="G438" s="36"/>
      <c r="H438" s="36"/>
    </row>
    <row r="439" spans="2:8" x14ac:dyDescent="0.25">
      <c r="B439" s="36"/>
      <c r="C439" s="30"/>
      <c r="D439" s="36"/>
      <c r="E439" s="36"/>
      <c r="F439" s="36"/>
      <c r="G439" s="36"/>
      <c r="H439" s="36"/>
    </row>
    <row r="440" spans="2:8" x14ac:dyDescent="0.25">
      <c r="B440" s="36"/>
      <c r="C440" s="30"/>
      <c r="D440" s="36"/>
      <c r="E440" s="36"/>
      <c r="F440" s="36"/>
      <c r="G440" s="36"/>
      <c r="H440" s="36"/>
    </row>
    <row r="441" spans="2:8" x14ac:dyDescent="0.25">
      <c r="B441" s="36"/>
      <c r="C441" s="30"/>
      <c r="D441" s="36"/>
      <c r="E441" s="36"/>
      <c r="F441" s="36"/>
      <c r="G441" s="36"/>
      <c r="H441" s="36"/>
    </row>
    <row r="442" spans="2:8" x14ac:dyDescent="0.25">
      <c r="B442" s="36"/>
      <c r="C442" s="30"/>
      <c r="D442" s="36"/>
      <c r="E442" s="36"/>
      <c r="F442" s="36"/>
      <c r="G442" s="36"/>
      <c r="H442" s="36"/>
    </row>
    <row r="443" spans="2:8" x14ac:dyDescent="0.25">
      <c r="B443" s="36"/>
      <c r="C443" s="30"/>
      <c r="D443" s="36"/>
      <c r="E443" s="36"/>
      <c r="F443" s="36"/>
      <c r="G443" s="36"/>
      <c r="H443" s="36"/>
    </row>
    <row r="444" spans="2:8" x14ac:dyDescent="0.25">
      <c r="B444" s="36"/>
      <c r="C444" s="30"/>
      <c r="D444" s="36"/>
      <c r="E444" s="36"/>
      <c r="F444" s="36"/>
      <c r="G444" s="36"/>
      <c r="H444" s="36"/>
    </row>
    <row r="445" spans="2:8" x14ac:dyDescent="0.25">
      <c r="B445" s="36"/>
      <c r="C445" s="30"/>
      <c r="D445" s="36"/>
      <c r="E445" s="36"/>
      <c r="F445" s="36"/>
      <c r="G445" s="36"/>
      <c r="H445" s="36"/>
    </row>
    <row r="446" spans="2:8" x14ac:dyDescent="0.25">
      <c r="B446" s="36"/>
      <c r="C446" s="30"/>
      <c r="D446" s="36"/>
      <c r="E446" s="36"/>
      <c r="F446" s="36"/>
      <c r="G446" s="36"/>
      <c r="H446" s="36"/>
    </row>
    <row r="447" spans="2:8" x14ac:dyDescent="0.25">
      <c r="B447" s="36"/>
      <c r="C447" s="30"/>
      <c r="D447" s="36"/>
      <c r="E447" s="36"/>
      <c r="F447" s="36"/>
      <c r="G447" s="36"/>
      <c r="H447" s="36"/>
    </row>
    <row r="448" spans="2:8" x14ac:dyDescent="0.25">
      <c r="B448" s="36"/>
      <c r="C448" s="30"/>
      <c r="D448" s="36"/>
      <c r="E448" s="36"/>
      <c r="F448" s="36"/>
      <c r="G448" s="36"/>
      <c r="H448" s="36"/>
    </row>
    <row r="449" spans="2:8" x14ac:dyDescent="0.25">
      <c r="B449" s="36"/>
      <c r="C449" s="30"/>
      <c r="D449" s="36"/>
      <c r="E449" s="36"/>
      <c r="F449" s="36"/>
      <c r="G449" s="36"/>
      <c r="H449" s="36"/>
    </row>
    <row r="450" spans="2:8" x14ac:dyDescent="0.25">
      <c r="B450" s="36"/>
      <c r="C450" s="30"/>
      <c r="D450" s="36"/>
      <c r="E450" s="36"/>
      <c r="F450" s="36"/>
      <c r="G450" s="36"/>
      <c r="H450" s="36"/>
    </row>
    <row r="451" spans="2:8" x14ac:dyDescent="0.25">
      <c r="B451" s="36"/>
      <c r="C451" s="30"/>
      <c r="D451" s="36"/>
      <c r="E451" s="36"/>
      <c r="F451" s="36"/>
      <c r="G451" s="36"/>
      <c r="H451" s="36"/>
    </row>
    <row r="452" spans="2:8" x14ac:dyDescent="0.25">
      <c r="B452" s="36"/>
      <c r="C452" s="30"/>
      <c r="D452" s="36"/>
      <c r="E452" s="36"/>
      <c r="F452" s="36"/>
      <c r="G452" s="36"/>
      <c r="H452" s="36"/>
    </row>
    <row r="453" spans="2:8" x14ac:dyDescent="0.25">
      <c r="B453" s="36"/>
      <c r="C453" s="30"/>
      <c r="D453" s="36"/>
      <c r="E453" s="36"/>
      <c r="F453" s="36"/>
      <c r="G453" s="36"/>
      <c r="H453" s="36"/>
    </row>
    <row r="454" spans="2:8" x14ac:dyDescent="0.25">
      <c r="B454" s="36"/>
      <c r="C454" s="30"/>
      <c r="D454" s="36"/>
      <c r="E454" s="36"/>
      <c r="F454" s="36"/>
      <c r="G454" s="36"/>
      <c r="H454" s="36"/>
    </row>
    <row r="455" spans="2:8" x14ac:dyDescent="0.25">
      <c r="B455" s="36"/>
      <c r="C455" s="30"/>
      <c r="D455" s="36"/>
      <c r="E455" s="36"/>
      <c r="F455" s="36"/>
      <c r="G455" s="36"/>
      <c r="H455" s="36"/>
    </row>
    <row r="456" spans="2:8" x14ac:dyDescent="0.25">
      <c r="B456" s="36"/>
      <c r="C456" s="30"/>
      <c r="D456" s="36"/>
      <c r="E456" s="36"/>
      <c r="F456" s="36"/>
      <c r="G456" s="36"/>
      <c r="H456" s="36"/>
    </row>
    <row r="457" spans="2:8" x14ac:dyDescent="0.25">
      <c r="B457" s="36"/>
      <c r="C457" s="30"/>
      <c r="D457" s="36"/>
      <c r="E457" s="36"/>
      <c r="F457" s="36"/>
      <c r="G457" s="36"/>
      <c r="H457" s="36"/>
    </row>
    <row r="458" spans="2:8" x14ac:dyDescent="0.25">
      <c r="B458" s="36"/>
      <c r="C458" s="30"/>
      <c r="D458" s="36"/>
      <c r="E458" s="36"/>
      <c r="F458" s="36"/>
      <c r="G458" s="36"/>
      <c r="H458" s="36"/>
    </row>
    <row r="459" spans="2:8" x14ac:dyDescent="0.25">
      <c r="B459" s="36"/>
      <c r="C459" s="30"/>
      <c r="D459" s="36"/>
      <c r="E459" s="36"/>
      <c r="F459" s="36"/>
      <c r="G459" s="36"/>
      <c r="H459" s="36"/>
    </row>
    <row r="460" spans="2:8" x14ac:dyDescent="0.25">
      <c r="B460" s="36"/>
      <c r="C460" s="30"/>
      <c r="D460" s="36"/>
      <c r="E460" s="36"/>
      <c r="F460" s="36"/>
      <c r="G460" s="36"/>
      <c r="H460" s="36"/>
    </row>
    <row r="461" spans="2:8" x14ac:dyDescent="0.25">
      <c r="B461" s="36"/>
      <c r="C461" s="30"/>
      <c r="D461" s="36"/>
      <c r="E461" s="36"/>
      <c r="F461" s="36"/>
      <c r="G461" s="36"/>
      <c r="H461" s="36"/>
    </row>
    <row r="462" spans="2:8" x14ac:dyDescent="0.25">
      <c r="B462" s="36"/>
      <c r="C462" s="30"/>
      <c r="D462" s="36"/>
      <c r="E462" s="36"/>
      <c r="F462" s="36"/>
      <c r="G462" s="36"/>
      <c r="H462" s="36"/>
    </row>
    <row r="463" spans="2:8" x14ac:dyDescent="0.25">
      <c r="B463" s="36"/>
      <c r="C463" s="30"/>
      <c r="D463" s="36"/>
      <c r="E463" s="36"/>
      <c r="F463" s="36"/>
      <c r="G463" s="36"/>
      <c r="H463" s="36"/>
    </row>
    <row r="464" spans="2:8" x14ac:dyDescent="0.25">
      <c r="B464" s="36"/>
      <c r="C464" s="30"/>
      <c r="D464" s="36"/>
      <c r="E464" s="36"/>
      <c r="F464" s="36"/>
      <c r="G464" s="36"/>
      <c r="H464" s="36"/>
    </row>
    <row r="465" spans="2:8" x14ac:dyDescent="0.25">
      <c r="B465" s="36"/>
      <c r="C465" s="30"/>
      <c r="D465" s="36"/>
      <c r="E465" s="36"/>
      <c r="F465" s="36"/>
      <c r="G465" s="36"/>
      <c r="H465" s="36"/>
    </row>
    <row r="466" spans="2:8" x14ac:dyDescent="0.25">
      <c r="B466" s="36"/>
      <c r="C466" s="30"/>
      <c r="D466" s="36"/>
      <c r="E466" s="36"/>
      <c r="F466" s="36"/>
      <c r="G466" s="36"/>
      <c r="H466" s="36"/>
    </row>
    <row r="467" spans="2:8" x14ac:dyDescent="0.25">
      <c r="B467" s="36"/>
      <c r="C467" s="30"/>
      <c r="D467" s="36"/>
      <c r="E467" s="36"/>
      <c r="F467" s="36"/>
      <c r="G467" s="36"/>
      <c r="H467" s="36"/>
    </row>
    <row r="468" spans="2:8" x14ac:dyDescent="0.25">
      <c r="B468" s="36"/>
      <c r="C468" s="30"/>
      <c r="D468" s="36"/>
      <c r="E468" s="36"/>
      <c r="F468" s="36"/>
      <c r="G468" s="36"/>
      <c r="H468" s="36"/>
    </row>
    <row r="469" spans="2:8" x14ac:dyDescent="0.25">
      <c r="B469" s="36"/>
      <c r="C469" s="30"/>
      <c r="D469" s="36"/>
      <c r="E469" s="36"/>
      <c r="F469" s="36"/>
      <c r="G469" s="36"/>
      <c r="H469" s="36"/>
    </row>
    <row r="470" spans="2:8" x14ac:dyDescent="0.25">
      <c r="B470" s="36"/>
      <c r="C470" s="30"/>
      <c r="D470" s="36"/>
      <c r="E470" s="36"/>
      <c r="F470" s="36"/>
      <c r="G470" s="36"/>
      <c r="H470" s="36"/>
    </row>
    <row r="471" spans="2:8" x14ac:dyDescent="0.25">
      <c r="B471" s="36"/>
      <c r="C471" s="30"/>
      <c r="D471" s="36"/>
      <c r="E471" s="36"/>
      <c r="F471" s="36"/>
      <c r="G471" s="36"/>
      <c r="H471" s="36"/>
    </row>
    <row r="472" spans="2:8" x14ac:dyDescent="0.25">
      <c r="B472" s="36"/>
      <c r="C472" s="30"/>
      <c r="D472" s="36"/>
      <c r="E472" s="36"/>
      <c r="F472" s="36"/>
      <c r="G472" s="36"/>
      <c r="H472" s="36"/>
    </row>
    <row r="473" spans="2:8" x14ac:dyDescent="0.25">
      <c r="B473" s="36"/>
      <c r="C473" s="30"/>
      <c r="D473" s="36"/>
      <c r="E473" s="36"/>
      <c r="F473" s="36"/>
      <c r="G473" s="36"/>
      <c r="H473" s="36"/>
    </row>
    <row r="474" spans="2:8" x14ac:dyDescent="0.25">
      <c r="B474" s="36"/>
      <c r="C474" s="30"/>
      <c r="D474" s="36"/>
      <c r="E474" s="36"/>
      <c r="F474" s="36"/>
      <c r="G474" s="36"/>
      <c r="H474" s="36"/>
    </row>
    <row r="475" spans="2:8" x14ac:dyDescent="0.25">
      <c r="B475" s="36"/>
      <c r="C475" s="30"/>
      <c r="D475" s="36"/>
      <c r="E475" s="36"/>
      <c r="F475" s="36"/>
      <c r="G475" s="36"/>
      <c r="H475" s="36"/>
    </row>
    <row r="476" spans="2:8" x14ac:dyDescent="0.25">
      <c r="B476" s="36"/>
      <c r="C476" s="30"/>
      <c r="D476" s="36"/>
      <c r="E476" s="36"/>
      <c r="F476" s="36"/>
      <c r="G476" s="36"/>
      <c r="H476" s="36"/>
    </row>
    <row r="477" spans="2:8" x14ac:dyDescent="0.25">
      <c r="B477" s="36"/>
      <c r="C477" s="30"/>
      <c r="D477" s="36"/>
      <c r="E477" s="36"/>
      <c r="F477" s="36"/>
      <c r="G477" s="36"/>
      <c r="H477" s="36"/>
    </row>
    <row r="478" spans="2:8" x14ac:dyDescent="0.25">
      <c r="B478" s="36"/>
      <c r="C478" s="30"/>
      <c r="D478" s="36"/>
      <c r="E478" s="36"/>
      <c r="F478" s="36"/>
      <c r="G478" s="36"/>
      <c r="H478" s="36"/>
    </row>
    <row r="479" spans="2:8" x14ac:dyDescent="0.25">
      <c r="B479" s="36"/>
      <c r="C479" s="30"/>
      <c r="D479" s="36"/>
      <c r="E479" s="36"/>
      <c r="F479" s="36"/>
      <c r="G479" s="36"/>
      <c r="H479" s="36"/>
    </row>
    <row r="480" spans="2:8" x14ac:dyDescent="0.25">
      <c r="B480" s="36"/>
      <c r="C480" s="30"/>
      <c r="D480" s="36"/>
      <c r="E480" s="36"/>
      <c r="F480" s="36"/>
      <c r="G480" s="36"/>
      <c r="H480" s="36"/>
    </row>
    <row r="481" spans="2:8" x14ac:dyDescent="0.25">
      <c r="B481" s="36"/>
      <c r="C481" s="30"/>
      <c r="D481" s="36"/>
      <c r="E481" s="36"/>
      <c r="F481" s="36"/>
      <c r="G481" s="36"/>
      <c r="H481" s="36"/>
    </row>
    <row r="482" spans="2:8" x14ac:dyDescent="0.25">
      <c r="B482" s="36"/>
      <c r="C482" s="30"/>
      <c r="D482" s="36"/>
      <c r="E482" s="36"/>
      <c r="F482" s="36"/>
      <c r="G482" s="36"/>
      <c r="H482" s="36"/>
    </row>
    <row r="483" spans="2:8" x14ac:dyDescent="0.25">
      <c r="B483" s="36"/>
      <c r="C483" s="30"/>
      <c r="D483" s="36"/>
      <c r="E483" s="36"/>
      <c r="F483" s="36"/>
      <c r="G483" s="36"/>
      <c r="H483" s="36"/>
    </row>
    <row r="484" spans="2:8" x14ac:dyDescent="0.25">
      <c r="B484" s="36"/>
      <c r="C484" s="30"/>
      <c r="D484" s="36"/>
      <c r="E484" s="36"/>
      <c r="F484" s="36"/>
      <c r="G484" s="36"/>
      <c r="H484" s="36"/>
    </row>
    <row r="485" spans="2:8" x14ac:dyDescent="0.25">
      <c r="B485" s="36"/>
      <c r="C485" s="30"/>
      <c r="D485" s="36"/>
      <c r="E485" s="36"/>
      <c r="F485" s="36"/>
      <c r="G485" s="36"/>
      <c r="H485" s="36"/>
    </row>
    <row r="486" spans="2:8" x14ac:dyDescent="0.25">
      <c r="B486" s="36"/>
      <c r="C486" s="30"/>
      <c r="D486" s="36"/>
      <c r="E486" s="36"/>
      <c r="F486" s="36"/>
      <c r="G486" s="36"/>
      <c r="H486" s="36"/>
    </row>
    <row r="487" spans="2:8" x14ac:dyDescent="0.25">
      <c r="B487" s="36"/>
      <c r="C487" s="30"/>
      <c r="D487" s="36"/>
      <c r="E487" s="36"/>
      <c r="F487" s="36"/>
      <c r="G487" s="36"/>
      <c r="H487" s="36"/>
    </row>
    <row r="488" spans="2:8" x14ac:dyDescent="0.25">
      <c r="B488" s="36"/>
      <c r="C488" s="30"/>
      <c r="D488" s="36"/>
      <c r="E488" s="36"/>
      <c r="F488" s="36"/>
      <c r="G488" s="36"/>
      <c r="H488" s="36"/>
    </row>
    <row r="489" spans="2:8" x14ac:dyDescent="0.25">
      <c r="B489" s="36"/>
      <c r="C489" s="30"/>
      <c r="D489" s="36"/>
      <c r="E489" s="36"/>
      <c r="F489" s="36"/>
      <c r="G489" s="36"/>
      <c r="H489" s="36"/>
    </row>
    <row r="490" spans="2:8" x14ac:dyDescent="0.25">
      <c r="B490" s="36"/>
      <c r="C490" s="30"/>
      <c r="D490" s="36"/>
      <c r="E490" s="36"/>
      <c r="F490" s="36"/>
      <c r="G490" s="36"/>
      <c r="H490" s="36"/>
    </row>
    <row r="491" spans="2:8" x14ac:dyDescent="0.25">
      <c r="B491" s="36"/>
      <c r="C491" s="30"/>
      <c r="D491" s="36"/>
      <c r="E491" s="36"/>
      <c r="F491" s="36"/>
      <c r="G491" s="36"/>
      <c r="H491" s="36"/>
    </row>
    <row r="492" spans="2:8" x14ac:dyDescent="0.25">
      <c r="B492" s="36"/>
      <c r="C492" s="30"/>
      <c r="D492" s="36"/>
      <c r="E492" s="36"/>
      <c r="F492" s="36"/>
      <c r="G492" s="36"/>
      <c r="H492" s="36"/>
    </row>
    <row r="493" spans="2:8" x14ac:dyDescent="0.25">
      <c r="B493" s="36"/>
      <c r="C493" s="30"/>
      <c r="D493" s="36"/>
      <c r="E493" s="36"/>
      <c r="F493" s="36"/>
      <c r="G493" s="36"/>
      <c r="H493" s="36"/>
    </row>
    <row r="494" spans="2:8" x14ac:dyDescent="0.25">
      <c r="B494" s="36"/>
      <c r="C494" s="30"/>
      <c r="D494" s="36"/>
      <c r="E494" s="36"/>
      <c r="F494" s="36"/>
      <c r="G494" s="36"/>
      <c r="H494" s="36"/>
    </row>
    <row r="495" spans="2:8" x14ac:dyDescent="0.25">
      <c r="B495" s="36"/>
      <c r="C495" s="30"/>
      <c r="D495" s="36"/>
      <c r="E495" s="36"/>
      <c r="F495" s="36"/>
      <c r="G495" s="36"/>
      <c r="H495" s="36"/>
    </row>
    <row r="496" spans="2:8" x14ac:dyDescent="0.25">
      <c r="B496" s="36"/>
      <c r="C496" s="30"/>
      <c r="D496" s="36"/>
      <c r="E496" s="36"/>
      <c r="F496" s="36"/>
      <c r="G496" s="36"/>
      <c r="H496" s="36"/>
    </row>
    <row r="497" spans="2:8" x14ac:dyDescent="0.25">
      <c r="B497" s="36"/>
      <c r="C497" s="30"/>
      <c r="D497" s="36"/>
      <c r="E497" s="36"/>
      <c r="F497" s="36"/>
      <c r="G497" s="36"/>
      <c r="H497" s="36"/>
    </row>
    <row r="498" spans="2:8" x14ac:dyDescent="0.25">
      <c r="B498" s="36"/>
      <c r="C498" s="30"/>
      <c r="D498" s="36"/>
      <c r="E498" s="36"/>
      <c r="F498" s="36"/>
      <c r="G498" s="36"/>
      <c r="H498" s="36"/>
    </row>
    <row r="499" spans="2:8" x14ac:dyDescent="0.25">
      <c r="B499" s="36"/>
      <c r="C499" s="30"/>
      <c r="D499" s="36"/>
      <c r="E499" s="36"/>
      <c r="F499" s="36"/>
      <c r="G499" s="36"/>
      <c r="H499" s="36"/>
    </row>
    <row r="500" spans="2:8" x14ac:dyDescent="0.25">
      <c r="B500" s="36"/>
      <c r="C500" s="30"/>
      <c r="D500" s="36"/>
      <c r="E500" s="36"/>
      <c r="F500" s="36"/>
      <c r="G500" s="36"/>
      <c r="H500" s="36"/>
    </row>
    <row r="501" spans="2:8" x14ac:dyDescent="0.25">
      <c r="B501" s="36"/>
      <c r="C501" s="30"/>
      <c r="D501" s="36"/>
      <c r="E501" s="36"/>
      <c r="F501" s="36"/>
      <c r="G501" s="36"/>
      <c r="H501" s="36"/>
    </row>
    <row r="502" spans="2:8" x14ac:dyDescent="0.25">
      <c r="B502" s="36"/>
      <c r="C502" s="30"/>
      <c r="D502" s="36"/>
      <c r="E502" s="36"/>
      <c r="F502" s="36"/>
      <c r="G502" s="36"/>
      <c r="H502" s="36"/>
    </row>
    <row r="503" spans="2:8" x14ac:dyDescent="0.25">
      <c r="B503" s="36"/>
      <c r="C503" s="30"/>
      <c r="D503" s="36"/>
      <c r="E503" s="36"/>
      <c r="F503" s="36"/>
      <c r="G503" s="36"/>
      <c r="H503" s="36"/>
    </row>
    <row r="504" spans="2:8" x14ac:dyDescent="0.25">
      <c r="B504" s="36"/>
      <c r="C504" s="30"/>
      <c r="D504" s="36"/>
      <c r="E504" s="36"/>
      <c r="F504" s="36"/>
      <c r="G504" s="36"/>
      <c r="H504" s="36"/>
    </row>
    <row r="505" spans="2:8" x14ac:dyDescent="0.25">
      <c r="B505" s="36"/>
      <c r="C505" s="30"/>
      <c r="D505" s="36"/>
      <c r="E505" s="36"/>
      <c r="F505" s="36"/>
      <c r="G505" s="36"/>
      <c r="H505" s="36"/>
    </row>
    <row r="506" spans="2:8" x14ac:dyDescent="0.25">
      <c r="B506" s="36"/>
      <c r="C506" s="30"/>
      <c r="D506" s="36"/>
      <c r="E506" s="36"/>
      <c r="F506" s="36"/>
      <c r="G506" s="36"/>
      <c r="H506" s="36"/>
    </row>
    <row r="507" spans="2:8" x14ac:dyDescent="0.25">
      <c r="B507" s="36"/>
      <c r="C507" s="30"/>
      <c r="D507" s="36"/>
      <c r="E507" s="36"/>
      <c r="F507" s="36"/>
      <c r="G507" s="36"/>
      <c r="H507" s="36"/>
    </row>
    <row r="508" spans="2:8" x14ac:dyDescent="0.25">
      <c r="B508" s="36"/>
      <c r="C508" s="30"/>
      <c r="D508" s="36"/>
      <c r="E508" s="36"/>
      <c r="F508" s="36"/>
      <c r="G508" s="36"/>
      <c r="H508" s="36"/>
    </row>
    <row r="509" spans="2:8" x14ac:dyDescent="0.25">
      <c r="B509" s="36"/>
      <c r="C509" s="30"/>
      <c r="D509" s="36"/>
      <c r="E509" s="36"/>
      <c r="F509" s="36"/>
      <c r="G509" s="36"/>
      <c r="H509" s="36"/>
    </row>
    <row r="510" spans="2:8" x14ac:dyDescent="0.25">
      <c r="B510" s="36"/>
      <c r="C510" s="30"/>
      <c r="D510" s="36"/>
      <c r="E510" s="36"/>
      <c r="F510" s="36"/>
      <c r="G510" s="36"/>
      <c r="H510" s="36"/>
    </row>
    <row r="511" spans="2:8" x14ac:dyDescent="0.25">
      <c r="B511" s="36"/>
      <c r="C511" s="30"/>
      <c r="D511" s="36"/>
      <c r="E511" s="36"/>
      <c r="F511" s="36"/>
      <c r="G511" s="36"/>
      <c r="H511" s="36"/>
    </row>
    <row r="512" spans="2:8" x14ac:dyDescent="0.25">
      <c r="B512" s="36"/>
      <c r="C512" s="30"/>
      <c r="D512" s="36"/>
      <c r="E512" s="36"/>
      <c r="F512" s="36"/>
      <c r="G512" s="36"/>
      <c r="H512" s="36"/>
    </row>
    <row r="513" spans="2:8" x14ac:dyDescent="0.25">
      <c r="B513" s="36"/>
      <c r="C513" s="30"/>
      <c r="D513" s="36"/>
      <c r="E513" s="36"/>
      <c r="F513" s="36"/>
      <c r="G513" s="36"/>
      <c r="H513" s="36"/>
    </row>
    <row r="514" spans="2:8" x14ac:dyDescent="0.25">
      <c r="B514" s="36"/>
      <c r="C514" s="30"/>
      <c r="D514" s="36"/>
      <c r="E514" s="36"/>
      <c r="F514" s="36"/>
      <c r="G514" s="36"/>
      <c r="H514" s="36"/>
    </row>
    <row r="515" spans="2:8" x14ac:dyDescent="0.25">
      <c r="B515" s="36"/>
      <c r="C515" s="30"/>
      <c r="D515" s="36"/>
      <c r="E515" s="36"/>
      <c r="F515" s="36"/>
      <c r="G515" s="36"/>
      <c r="H515" s="36"/>
    </row>
    <row r="516" spans="2:8" x14ac:dyDescent="0.25">
      <c r="B516" s="36"/>
      <c r="C516" s="30"/>
      <c r="D516" s="36"/>
      <c r="E516" s="36"/>
      <c r="F516" s="36"/>
      <c r="G516" s="36"/>
      <c r="H516" s="36"/>
    </row>
    <row r="517" spans="2:8" x14ac:dyDescent="0.25">
      <c r="B517" s="36"/>
      <c r="C517" s="30"/>
      <c r="D517" s="36"/>
      <c r="E517" s="36"/>
      <c r="F517" s="36"/>
      <c r="G517" s="36"/>
      <c r="H517" s="36"/>
    </row>
    <row r="518" spans="2:8" x14ac:dyDescent="0.25">
      <c r="B518" s="36"/>
      <c r="C518" s="30"/>
      <c r="D518" s="36"/>
      <c r="E518" s="36"/>
      <c r="F518" s="36"/>
      <c r="G518" s="36"/>
      <c r="H518" s="36"/>
    </row>
    <row r="519" spans="2:8" x14ac:dyDescent="0.25">
      <c r="B519" s="36"/>
      <c r="C519" s="30"/>
      <c r="D519" s="36"/>
      <c r="E519" s="36"/>
      <c r="F519" s="36"/>
      <c r="G519" s="36"/>
      <c r="H519" s="36"/>
    </row>
    <row r="520" spans="2:8" x14ac:dyDescent="0.25">
      <c r="B520" s="36"/>
      <c r="C520" s="30"/>
      <c r="D520" s="36"/>
      <c r="E520" s="36"/>
      <c r="F520" s="36"/>
      <c r="G520" s="36"/>
      <c r="H520" s="36"/>
    </row>
    <row r="521" spans="2:8" x14ac:dyDescent="0.25">
      <c r="B521" s="36"/>
      <c r="C521" s="30"/>
      <c r="D521" s="36"/>
      <c r="E521" s="36"/>
      <c r="F521" s="36"/>
      <c r="G521" s="36"/>
      <c r="H521" s="36"/>
    </row>
    <row r="522" spans="2:8" x14ac:dyDescent="0.25">
      <c r="B522" s="36"/>
      <c r="C522" s="30"/>
      <c r="D522" s="36"/>
      <c r="E522" s="36"/>
      <c r="F522" s="36"/>
      <c r="G522" s="36"/>
      <c r="H522" s="36"/>
    </row>
    <row r="523" spans="2:8" x14ac:dyDescent="0.25">
      <c r="B523" s="36"/>
      <c r="C523" s="30"/>
      <c r="D523" s="36"/>
      <c r="E523" s="36"/>
      <c r="F523" s="36"/>
      <c r="G523" s="36"/>
      <c r="H523" s="36"/>
    </row>
    <row r="524" spans="2:8" x14ac:dyDescent="0.25">
      <c r="B524" s="36"/>
      <c r="C524" s="30"/>
      <c r="D524" s="36"/>
      <c r="E524" s="36"/>
      <c r="F524" s="36"/>
      <c r="G524" s="36"/>
      <c r="H524" s="36"/>
    </row>
    <row r="525" spans="2:8" x14ac:dyDescent="0.25">
      <c r="B525" s="36"/>
      <c r="C525" s="30"/>
      <c r="D525" s="36"/>
      <c r="E525" s="36"/>
      <c r="F525" s="36"/>
      <c r="G525" s="36"/>
      <c r="H525" s="36"/>
    </row>
    <row r="526" spans="2:8" x14ac:dyDescent="0.25">
      <c r="B526" s="36"/>
      <c r="C526" s="30"/>
      <c r="D526" s="36"/>
      <c r="E526" s="36"/>
      <c r="F526" s="36"/>
      <c r="G526" s="36"/>
      <c r="H526" s="36"/>
    </row>
    <row r="527" spans="2:8" x14ac:dyDescent="0.25">
      <c r="B527" s="36"/>
      <c r="C527" s="30"/>
      <c r="D527" s="36"/>
      <c r="E527" s="36"/>
      <c r="F527" s="36"/>
      <c r="G527" s="36"/>
      <c r="H527" s="36"/>
    </row>
    <row r="528" spans="2:8" x14ac:dyDescent="0.25">
      <c r="B528" s="36"/>
      <c r="C528" s="30"/>
      <c r="D528" s="36"/>
      <c r="E528" s="36"/>
      <c r="F528" s="36"/>
      <c r="G528" s="36"/>
      <c r="H528" s="36"/>
    </row>
    <row r="529" spans="2:8" x14ac:dyDescent="0.25">
      <c r="B529" s="36"/>
      <c r="C529" s="30"/>
      <c r="D529" s="36"/>
      <c r="E529" s="36"/>
      <c r="F529" s="36"/>
      <c r="G529" s="36"/>
      <c r="H529" s="36"/>
    </row>
    <row r="530" spans="2:8" x14ac:dyDescent="0.25">
      <c r="B530" s="36"/>
      <c r="C530" s="30"/>
      <c r="D530" s="36"/>
      <c r="E530" s="36"/>
      <c r="F530" s="36"/>
      <c r="G530" s="36"/>
      <c r="H530" s="36"/>
    </row>
    <row r="531" spans="2:8" x14ac:dyDescent="0.25">
      <c r="B531" s="36"/>
      <c r="C531" s="30"/>
      <c r="D531" s="36"/>
      <c r="E531" s="36"/>
      <c r="F531" s="36"/>
      <c r="G531" s="36"/>
      <c r="H531" s="36"/>
    </row>
    <row r="532" spans="2:8" x14ac:dyDescent="0.25">
      <c r="B532" s="36"/>
      <c r="C532" s="30"/>
      <c r="D532" s="36"/>
      <c r="E532" s="36"/>
      <c r="F532" s="36"/>
      <c r="G532" s="36"/>
      <c r="H532" s="36"/>
    </row>
    <row r="533" spans="2:8" x14ac:dyDescent="0.25">
      <c r="B533" s="36"/>
      <c r="C533" s="30"/>
      <c r="D533" s="36"/>
      <c r="E533" s="36"/>
      <c r="F533" s="36"/>
      <c r="G533" s="36"/>
      <c r="H533" s="36"/>
    </row>
    <row r="534" spans="2:8" x14ac:dyDescent="0.25">
      <c r="B534" s="36"/>
      <c r="C534" s="30"/>
      <c r="D534" s="36"/>
      <c r="E534" s="36"/>
      <c r="F534" s="36"/>
      <c r="G534" s="36"/>
      <c r="H534" s="36"/>
    </row>
    <row r="535" spans="2:8" x14ac:dyDescent="0.25">
      <c r="B535" s="36"/>
      <c r="C535" s="30"/>
      <c r="D535" s="36"/>
      <c r="E535" s="36"/>
      <c r="F535" s="36"/>
      <c r="G535" s="36"/>
      <c r="H535" s="36"/>
    </row>
    <row r="536" spans="2:8" x14ac:dyDescent="0.25">
      <c r="B536" s="36"/>
      <c r="C536" s="30"/>
      <c r="D536" s="36"/>
      <c r="E536" s="36"/>
      <c r="F536" s="36"/>
      <c r="G536" s="36"/>
      <c r="H536" s="36"/>
    </row>
    <row r="537" spans="2:8" x14ac:dyDescent="0.25">
      <c r="B537" s="36"/>
      <c r="C537" s="30"/>
      <c r="D537" s="36"/>
      <c r="E537" s="36"/>
      <c r="F537" s="36"/>
      <c r="G537" s="36"/>
      <c r="H537" s="36"/>
    </row>
    <row r="538" spans="2:8" x14ac:dyDescent="0.25">
      <c r="B538" s="36"/>
      <c r="C538" s="30"/>
      <c r="D538" s="36"/>
      <c r="E538" s="36"/>
      <c r="F538" s="36"/>
      <c r="G538" s="36"/>
      <c r="H538" s="36"/>
    </row>
    <row r="539" spans="2:8" x14ac:dyDescent="0.25">
      <c r="B539" s="36"/>
      <c r="C539" s="30"/>
      <c r="D539" s="36"/>
      <c r="E539" s="36"/>
      <c r="F539" s="36"/>
      <c r="G539" s="36"/>
      <c r="H539" s="36"/>
    </row>
    <row r="540" spans="2:8" x14ac:dyDescent="0.25">
      <c r="B540" s="36"/>
      <c r="C540" s="30"/>
      <c r="D540" s="36"/>
      <c r="E540" s="36"/>
      <c r="F540" s="36"/>
      <c r="G540" s="36"/>
      <c r="H540" s="36"/>
    </row>
    <row r="541" spans="2:8" x14ac:dyDescent="0.25">
      <c r="B541" s="36"/>
      <c r="C541" s="30"/>
      <c r="D541" s="36"/>
      <c r="E541" s="36"/>
      <c r="F541" s="36"/>
      <c r="G541" s="36"/>
      <c r="H541" s="36"/>
    </row>
    <row r="542" spans="2:8" x14ac:dyDescent="0.25">
      <c r="B542" s="36"/>
      <c r="C542" s="30"/>
      <c r="D542" s="36"/>
      <c r="E542" s="36"/>
      <c r="F542" s="36"/>
      <c r="G542" s="36"/>
      <c r="H542" s="36"/>
    </row>
    <row r="543" spans="2:8" x14ac:dyDescent="0.25">
      <c r="B543" s="36"/>
      <c r="C543" s="30"/>
      <c r="D543" s="36"/>
      <c r="E543" s="36"/>
      <c r="F543" s="36"/>
      <c r="G543" s="36"/>
      <c r="H543" s="36"/>
    </row>
    <row r="544" spans="2:8" x14ac:dyDescent="0.25">
      <c r="B544" s="36"/>
      <c r="C544" s="30"/>
      <c r="D544" s="36"/>
      <c r="E544" s="36"/>
      <c r="F544" s="36"/>
      <c r="G544" s="36"/>
      <c r="H544" s="36"/>
    </row>
    <row r="545" spans="2:8" x14ac:dyDescent="0.25">
      <c r="B545" s="36"/>
      <c r="C545" s="30"/>
      <c r="D545" s="36"/>
      <c r="E545" s="36"/>
      <c r="F545" s="36"/>
      <c r="G545" s="36"/>
      <c r="H545" s="36"/>
    </row>
    <row r="546" spans="2:8" x14ac:dyDescent="0.25">
      <c r="B546" s="36"/>
      <c r="C546" s="30"/>
      <c r="D546" s="36"/>
      <c r="E546" s="36"/>
      <c r="F546" s="36"/>
      <c r="G546" s="36"/>
      <c r="H546" s="36"/>
    </row>
    <row r="547" spans="2:8" x14ac:dyDescent="0.25">
      <c r="B547" s="36"/>
      <c r="C547" s="30"/>
      <c r="D547" s="36"/>
      <c r="E547" s="36"/>
      <c r="F547" s="36"/>
      <c r="G547" s="36"/>
      <c r="H547" s="36"/>
    </row>
    <row r="548" spans="2:8" x14ac:dyDescent="0.25">
      <c r="B548" s="36"/>
      <c r="C548" s="30"/>
      <c r="D548" s="36"/>
      <c r="E548" s="36"/>
      <c r="F548" s="36"/>
      <c r="G548" s="36"/>
      <c r="H548" s="36"/>
    </row>
    <row r="549" spans="2:8" x14ac:dyDescent="0.25">
      <c r="B549" s="36"/>
      <c r="C549" s="30"/>
      <c r="D549" s="36"/>
      <c r="E549" s="36"/>
      <c r="F549" s="36"/>
      <c r="G549" s="36"/>
      <c r="H549" s="36"/>
    </row>
    <row r="550" spans="2:8" x14ac:dyDescent="0.25">
      <c r="B550" s="36"/>
      <c r="C550" s="30"/>
      <c r="D550" s="36"/>
      <c r="E550" s="36"/>
      <c r="F550" s="36"/>
      <c r="G550" s="36"/>
      <c r="H550" s="36"/>
    </row>
    <row r="551" spans="2:8" x14ac:dyDescent="0.25">
      <c r="B551" s="36"/>
      <c r="C551" s="30"/>
      <c r="D551" s="36"/>
      <c r="E551" s="36"/>
      <c r="F551" s="36"/>
      <c r="G551" s="36"/>
      <c r="H551" s="36"/>
    </row>
    <row r="552" spans="2:8" x14ac:dyDescent="0.25">
      <c r="B552" s="36"/>
      <c r="C552" s="30"/>
      <c r="D552" s="36"/>
      <c r="E552" s="36"/>
      <c r="F552" s="36"/>
      <c r="G552" s="36"/>
      <c r="H552" s="36"/>
    </row>
    <row r="553" spans="2:8" x14ac:dyDescent="0.25">
      <c r="B553" s="36"/>
      <c r="C553" s="30"/>
      <c r="D553" s="36"/>
      <c r="E553" s="36"/>
      <c r="F553" s="36"/>
      <c r="G553" s="36"/>
      <c r="H553" s="36"/>
    </row>
    <row r="554" spans="2:8" x14ac:dyDescent="0.25">
      <c r="B554" s="36"/>
      <c r="C554" s="30"/>
      <c r="D554" s="36"/>
      <c r="E554" s="36"/>
      <c r="F554" s="36"/>
      <c r="G554" s="36"/>
      <c r="H554" s="36"/>
    </row>
    <row r="555" spans="2:8" x14ac:dyDescent="0.25">
      <c r="B555" s="36"/>
      <c r="C555" s="30"/>
      <c r="D555" s="36"/>
      <c r="E555" s="36"/>
      <c r="F555" s="36"/>
      <c r="G555" s="36"/>
      <c r="H555" s="36"/>
    </row>
    <row r="556" spans="2:8" x14ac:dyDescent="0.25">
      <c r="B556" s="36"/>
      <c r="C556" s="30"/>
      <c r="D556" s="36"/>
      <c r="E556" s="36"/>
      <c r="F556" s="36"/>
      <c r="G556" s="36"/>
      <c r="H556" s="36"/>
    </row>
    <row r="557" spans="2:8" x14ac:dyDescent="0.25">
      <c r="B557" s="36"/>
      <c r="C557" s="30"/>
      <c r="D557" s="36"/>
      <c r="E557" s="36"/>
      <c r="F557" s="36"/>
      <c r="G557" s="36"/>
      <c r="H557" s="36"/>
    </row>
    <row r="558" spans="2:8" x14ac:dyDescent="0.25">
      <c r="B558" s="36"/>
      <c r="C558" s="30"/>
      <c r="D558" s="36"/>
      <c r="E558" s="36"/>
      <c r="F558" s="36"/>
      <c r="G558" s="36"/>
      <c r="H558" s="36"/>
    </row>
    <row r="559" spans="2:8" x14ac:dyDescent="0.25">
      <c r="B559" s="36"/>
      <c r="C559" s="30"/>
      <c r="D559" s="36"/>
      <c r="E559" s="36"/>
      <c r="F559" s="36"/>
      <c r="G559" s="36"/>
      <c r="H559" s="36"/>
    </row>
    <row r="560" spans="2:8" x14ac:dyDescent="0.25">
      <c r="B560" s="36"/>
      <c r="C560" s="30"/>
      <c r="D560" s="36"/>
      <c r="E560" s="36"/>
      <c r="F560" s="36"/>
      <c r="G560" s="36"/>
      <c r="H560" s="36"/>
    </row>
    <row r="561" spans="2:8" x14ac:dyDescent="0.25">
      <c r="B561" s="36"/>
      <c r="C561" s="30"/>
      <c r="D561" s="36"/>
      <c r="E561" s="36"/>
      <c r="F561" s="36"/>
      <c r="G561" s="36"/>
      <c r="H561" s="36"/>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23</vt:i4>
      </vt:variant>
      <vt:variant>
        <vt:lpstr>Intervalos Nomeados</vt:lpstr>
      </vt:variant>
      <vt:variant>
        <vt:i4>20</vt:i4>
      </vt:variant>
    </vt:vector>
  </HeadingPairs>
  <TitlesOfParts>
    <vt:vector size="43" baseType="lpstr">
      <vt:lpstr>COMPUTADOR</vt:lpstr>
      <vt:lpstr>LOUSA - DIGITAL</vt:lpstr>
      <vt:lpstr>PROJETOR</vt:lpstr>
      <vt:lpstr>CAMERA GO- PRO</vt:lpstr>
      <vt:lpstr>HOME THEATHER</vt:lpstr>
      <vt:lpstr>MICROFONE</vt:lpstr>
      <vt:lpstr>CÂMERAS DE SEGURANÇA</vt:lpstr>
      <vt:lpstr>ACESSORIOS</vt:lpstr>
      <vt:lpstr>ENERGIA</vt:lpstr>
      <vt:lpstr>PREVIS.COMPRAS</vt:lpstr>
      <vt:lpstr>APOSENTADOS </vt:lpstr>
      <vt:lpstr>ORÇAMENTOS</vt:lpstr>
      <vt:lpstr>DADOS EQUIPAMENTOS</vt:lpstr>
      <vt:lpstr>3D-PLANI</vt:lpstr>
      <vt:lpstr>TABELA DINAMICA PILH</vt:lpstr>
      <vt:lpstr>AUXILIAR</vt:lpstr>
      <vt:lpstr>CONTR. PILHAS - AUXILIAR</vt:lpstr>
      <vt:lpstr>GRÁFICOS</vt:lpstr>
      <vt:lpstr>Planilha1</vt:lpstr>
      <vt:lpstr>LANÇ. QUAL. PROJ</vt:lpstr>
      <vt:lpstr>1 -RESERV EQUI (2)</vt:lpstr>
      <vt:lpstr>3D - LANÇ</vt:lpstr>
      <vt:lpstr>CONTROLE_PILHAS</vt:lpstr>
      <vt:lpstr>AUXILIAR!Ano</vt:lpstr>
      <vt:lpstr>'CONTR. PILHAS - AUXILIAR'!Ano</vt:lpstr>
      <vt:lpstr>AUXILIAR!Estado</vt:lpstr>
      <vt:lpstr>'CONTR. PILHAS - AUXILIAR'!Estado</vt:lpstr>
      <vt:lpstr>AUXILIAR!IndiceAno</vt:lpstr>
      <vt:lpstr>'CONTR. PILHAS - AUXILIAR'!IndiceAno</vt:lpstr>
      <vt:lpstr>AUXILIAR!IndiceEstado</vt:lpstr>
      <vt:lpstr>'CONTR. PILHAS - AUXILIAR'!IndiceEstado</vt:lpstr>
      <vt:lpstr>AUXILIAR!ListaAnos</vt:lpstr>
      <vt:lpstr>'CONTR. PILHAS - AUXILIAR'!ListaAnos</vt:lpstr>
      <vt:lpstr>AUXILIAR!ListaEstados</vt:lpstr>
      <vt:lpstr>'CONTR. PILHAS - AUXILIAR'!ListaEstados</vt:lpstr>
      <vt:lpstr>AUXILIAR!ListaMeses</vt:lpstr>
      <vt:lpstr>'CONTR. PILHAS - AUXILIAR'!ListaMeses</vt:lpstr>
      <vt:lpstr>AUXILIAR!ListaVendas</vt:lpstr>
      <vt:lpstr>'CONTR. PILHAS - AUXILIAR'!ListaVendas</vt:lpstr>
      <vt:lpstr>AUXILIAR!Mes</vt:lpstr>
      <vt:lpstr>'CONTR. PILHAS - AUXILIAR'!Mes</vt:lpstr>
      <vt:lpstr>AUXILIAR!TabelaEstados</vt:lpstr>
      <vt:lpstr>'CONTR. PILHAS - AUXILIAR'!TabelaEstados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suporte_ti</dc:creator>
  <cp:lastModifiedBy>Tecnologia</cp:lastModifiedBy>
  <dcterms:created xsi:type="dcterms:W3CDTF">2020-09-24T13:17:30Z</dcterms:created>
  <dcterms:modified xsi:type="dcterms:W3CDTF">2022-09-06T14:43:30Z</dcterms:modified>
</cp:coreProperties>
</file>